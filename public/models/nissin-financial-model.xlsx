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tuedu-my.sharepoint.com/personal/zhao0439_e_ntu_edu_sg/Documents/"/>
    </mc:Choice>
  </mc:AlternateContent>
  <xr:revisionPtr revIDLastSave="0" documentId="8_{82B03F90-EF68-475A-B291-BAABFCFDE01A}" xr6:coauthVersionLast="47" xr6:coauthVersionMax="47" xr10:uidLastSave="{00000000-0000-0000-0000-000000000000}"/>
  <bookViews>
    <workbookView xWindow="-103" yWindow="-103" windowWidth="22149" windowHeight="11829" firstSheet="4" activeTab="4" xr2:uid="{00000000-000D-0000-FFFF-FFFF00000000}"/>
  </bookViews>
  <sheets>
    <sheet name="Master" sheetId="5" r:id="rId1"/>
    <sheet name="Drivers" sheetId="3" r:id="rId2"/>
    <sheet name="Operating Model" sheetId="1" r:id="rId3"/>
    <sheet name="Valuation" sheetId="4" r:id="rId4"/>
    <sheet name="Relative Valuation" sheetId="6" r:id="rId5"/>
    <sheet name="RTAGlobal" sheetId="2" state="veryHidden" r:id="rId6"/>
  </sheets>
  <definedNames>
    <definedName name="CIQWBGuid" hidden="1">"72f8b5fc-e99c-4617-80da-ac5b6aaf7203"</definedName>
    <definedName name="CIQWBInfo" hidden="1">"{ ""CIQVersion"":""9.52.4409.4666""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45941.6018055556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3" i="3" l="1"/>
  <c r="D55" i="4"/>
  <c r="I122" i="3"/>
  <c r="I124" i="3"/>
  <c r="I125" i="3"/>
  <c r="I126" i="3"/>
  <c r="I127" i="3"/>
  <c r="I128" i="3"/>
  <c r="I129" i="3"/>
  <c r="I121" i="3"/>
  <c r="D27" i="4"/>
  <c r="D25" i="4"/>
  <c r="D24" i="4"/>
  <c r="D43" i="4"/>
  <c r="D45" i="4"/>
  <c r="F18" i="4"/>
  <c r="G18" i="4"/>
  <c r="H18" i="4"/>
  <c r="I18" i="4"/>
  <c r="J18" i="4"/>
  <c r="K18" i="4"/>
  <c r="D52" i="4"/>
  <c r="G10" i="4"/>
  <c r="H10" i="4" s="1"/>
  <c r="G8" i="4"/>
  <c r="G9" i="4" s="1"/>
  <c r="H8" i="4" s="1"/>
  <c r="H9" i="4" s="1"/>
  <c r="E9" i="4"/>
  <c r="F11" i="4" s="1"/>
  <c r="D46" i="4"/>
  <c r="D50" i="4" s="1"/>
  <c r="D44" i="4"/>
  <c r="E10" i="4"/>
  <c r="H37" i="4"/>
  <c r="K37" i="4" s="1"/>
  <c r="H36" i="4"/>
  <c r="K36" i="4" s="1"/>
  <c r="H35" i="4"/>
  <c r="K35" i="4" s="1"/>
  <c r="H34" i="4"/>
  <c r="K34" i="4" s="1"/>
  <c r="H33" i="4"/>
  <c r="K33" i="4" s="1"/>
  <c r="H32" i="4"/>
  <c r="K32" i="4" s="1"/>
  <c r="AC131" i="1"/>
  <c r="AD131" i="1"/>
  <c r="AE131" i="1" s="1"/>
  <c r="AF131" i="1" s="1"/>
  <c r="AG131" i="1" s="1"/>
  <c r="AH131" i="1" s="1"/>
  <c r="AI131" i="1" s="1"/>
  <c r="AJ131" i="1" s="1"/>
  <c r="AK131" i="1" s="1"/>
  <c r="AL131" i="1" s="1"/>
  <c r="AM131" i="1" s="1"/>
  <c r="AN131" i="1" s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B130" i="1"/>
  <c r="DN16" i="6"/>
  <c r="DN17" i="6"/>
  <c r="DN18" i="6"/>
  <c r="DN19" i="6"/>
  <c r="DN20" i="6"/>
  <c r="DN21" i="6"/>
  <c r="DN22" i="6"/>
  <c r="DN23" i="6"/>
  <c r="DN15" i="6"/>
  <c r="DM16" i="6"/>
  <c r="DM17" i="6"/>
  <c r="DM18" i="6"/>
  <c r="DM19" i="6"/>
  <c r="DM20" i="6"/>
  <c r="DM21" i="6"/>
  <c r="DM22" i="6"/>
  <c r="DM23" i="6"/>
  <c r="DM15" i="6"/>
  <c r="DL16" i="6"/>
  <c r="DL17" i="6"/>
  <c r="DL18" i="6"/>
  <c r="DL19" i="6"/>
  <c r="DL20" i="6"/>
  <c r="DL21" i="6"/>
  <c r="DL22" i="6"/>
  <c r="DL23" i="6"/>
  <c r="DL15" i="6"/>
  <c r="DK16" i="6"/>
  <c r="DK17" i="6"/>
  <c r="DK18" i="6"/>
  <c r="DK19" i="6"/>
  <c r="DK20" i="6"/>
  <c r="DK21" i="6"/>
  <c r="DK22" i="6"/>
  <c r="DK23" i="6"/>
  <c r="DK15" i="6"/>
  <c r="DH16" i="6"/>
  <c r="DH17" i="6"/>
  <c r="DH18" i="6"/>
  <c r="DH19" i="6"/>
  <c r="DH20" i="6"/>
  <c r="DH21" i="6"/>
  <c r="DH22" i="6"/>
  <c r="DH23" i="6"/>
  <c r="DH15" i="6"/>
  <c r="DG16" i="6"/>
  <c r="DG17" i="6"/>
  <c r="DG18" i="6"/>
  <c r="DG19" i="6"/>
  <c r="DG20" i="6"/>
  <c r="DG21" i="6"/>
  <c r="DG22" i="6"/>
  <c r="DG23" i="6"/>
  <c r="DG15" i="6"/>
  <c r="DF16" i="6"/>
  <c r="DF17" i="6"/>
  <c r="DF18" i="6"/>
  <c r="DF19" i="6"/>
  <c r="DF20" i="6"/>
  <c r="DF21" i="6"/>
  <c r="DF22" i="6"/>
  <c r="DF23" i="6"/>
  <c r="DF15" i="6"/>
  <c r="DE15" i="6"/>
  <c r="AN6" i="6"/>
  <c r="DB16" i="6"/>
  <c r="DC16" i="6"/>
  <c r="DD16" i="6"/>
  <c r="DB17" i="6"/>
  <c r="DC17" i="6"/>
  <c r="DD17" i="6"/>
  <c r="DB18" i="6"/>
  <c r="DC18" i="6"/>
  <c r="DD18" i="6"/>
  <c r="DB19" i="6"/>
  <c r="DC19" i="6"/>
  <c r="DD19" i="6"/>
  <c r="DB20" i="6"/>
  <c r="DC20" i="6"/>
  <c r="DD20" i="6"/>
  <c r="DB21" i="6"/>
  <c r="DC21" i="6"/>
  <c r="DD21" i="6"/>
  <c r="DB22" i="6"/>
  <c r="DC22" i="6"/>
  <c r="DD22" i="6"/>
  <c r="DB23" i="6"/>
  <c r="DC23" i="6"/>
  <c r="DD23" i="6"/>
  <c r="DD15" i="6"/>
  <c r="DC15" i="6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DB15" i="6"/>
  <c r="AC47" i="1"/>
  <c r="AD47" i="1"/>
  <c r="AE47" i="1"/>
  <c r="AG47" i="1"/>
  <c r="AH47" i="1"/>
  <c r="AI47" i="1"/>
  <c r="AK47" i="1"/>
  <c r="AL47" i="1"/>
  <c r="AM47" i="1"/>
  <c r="AO47" i="1"/>
  <c r="AP47" i="1"/>
  <c r="AQ47" i="1"/>
  <c r="AS47" i="1"/>
  <c r="AT47" i="1"/>
  <c r="AU47" i="1"/>
  <c r="CV87" i="6"/>
  <c r="BY66" i="6"/>
  <c r="CW89" i="6" s="1"/>
  <c r="BY65" i="6"/>
  <c r="CU89" i="6" s="1"/>
  <c r="CW88" i="6"/>
  <c r="CU88" i="6"/>
  <c r="BY44" i="6"/>
  <c r="BY45" i="6"/>
  <c r="BY47" i="6"/>
  <c r="BY46" i="6"/>
  <c r="AB136" i="1"/>
  <c r="AC136" i="1" s="1"/>
  <c r="AD136" i="1" s="1"/>
  <c r="AE136" i="1" s="1"/>
  <c r="AF136" i="1" s="1"/>
  <c r="AG136" i="1" s="1"/>
  <c r="AH136" i="1" s="1"/>
  <c r="AI136" i="1" s="1"/>
  <c r="AJ136" i="1" s="1"/>
  <c r="AK136" i="1" s="1"/>
  <c r="AL136" i="1" s="1"/>
  <c r="AM136" i="1" s="1"/>
  <c r="AN136" i="1" s="1"/>
  <c r="AO136" i="1" s="1"/>
  <c r="AP136" i="1" s="1"/>
  <c r="AQ136" i="1" s="1"/>
  <c r="AR136" i="1" s="1"/>
  <c r="AS136" i="1" s="1"/>
  <c r="AT136" i="1" s="1"/>
  <c r="AU136" i="1" s="1"/>
  <c r="AV136" i="1" s="1"/>
  <c r="CW87" i="6"/>
  <c r="CU87" i="6"/>
  <c r="CY59" i="6"/>
  <c r="CT59" i="6"/>
  <c r="CU59" i="6"/>
  <c r="CV59" i="6"/>
  <c r="CT60" i="6"/>
  <c r="CV60" i="6"/>
  <c r="CT61" i="6"/>
  <c r="CV61" i="6"/>
  <c r="CT62" i="6"/>
  <c r="CU62" i="6"/>
  <c r="CV62" i="6"/>
  <c r="CT63" i="6"/>
  <c r="CU63" i="6"/>
  <c r="CV63" i="6"/>
  <c r="CT64" i="6"/>
  <c r="CU64" i="6"/>
  <c r="CV64" i="6"/>
  <c r="CT65" i="6"/>
  <c r="CV65" i="6"/>
  <c r="CT66" i="6"/>
  <c r="CV66" i="6"/>
  <c r="CT67" i="6"/>
  <c r="CU67" i="6"/>
  <c r="CV67" i="6"/>
  <c r="DA30" i="6"/>
  <c r="CW29" i="6"/>
  <c r="CW30" i="6"/>
  <c r="CW31" i="6"/>
  <c r="CW32" i="6"/>
  <c r="CW33" i="6"/>
  <c r="CW34" i="6"/>
  <c r="CW35" i="6"/>
  <c r="CW36" i="6"/>
  <c r="CW28" i="6"/>
  <c r="AB157" i="1"/>
  <c r="AC157" i="1" s="1"/>
  <c r="AD157" i="1" s="1"/>
  <c r="AE157" i="1" s="1"/>
  <c r="AF157" i="1" s="1"/>
  <c r="AG157" i="1" s="1"/>
  <c r="AH157" i="1" s="1"/>
  <c r="AI157" i="1" s="1"/>
  <c r="AJ157" i="1" s="1"/>
  <c r="AK157" i="1" s="1"/>
  <c r="AL157" i="1" s="1"/>
  <c r="AM157" i="1" s="1"/>
  <c r="AN157" i="1" s="1"/>
  <c r="AO157" i="1" s="1"/>
  <c r="AP157" i="1" s="1"/>
  <c r="AQ157" i="1" s="1"/>
  <c r="AR157" i="1" s="1"/>
  <c r="AS157" i="1" s="1"/>
  <c r="AT157" i="1" s="1"/>
  <c r="AU157" i="1" s="1"/>
  <c r="AV157" i="1" s="1"/>
  <c r="AB156" i="1"/>
  <c r="AC156" i="1" s="1"/>
  <c r="AD156" i="1" s="1"/>
  <c r="AE156" i="1" s="1"/>
  <c r="AF156" i="1" s="1"/>
  <c r="AG156" i="1" s="1"/>
  <c r="AH156" i="1" s="1"/>
  <c r="AI156" i="1" s="1"/>
  <c r="AJ156" i="1" s="1"/>
  <c r="AK156" i="1" s="1"/>
  <c r="AL156" i="1" s="1"/>
  <c r="AM156" i="1" s="1"/>
  <c r="AN156" i="1" s="1"/>
  <c r="AO156" i="1" s="1"/>
  <c r="AP156" i="1" s="1"/>
  <c r="AQ156" i="1" s="1"/>
  <c r="AR156" i="1" s="1"/>
  <c r="AS156" i="1" s="1"/>
  <c r="AT156" i="1" s="1"/>
  <c r="AU156" i="1" s="1"/>
  <c r="AV156" i="1" s="1"/>
  <c r="AB155" i="1"/>
  <c r="AC155" i="1" s="1"/>
  <c r="AD155" i="1" s="1"/>
  <c r="AE155" i="1" s="1"/>
  <c r="AF155" i="1" s="1"/>
  <c r="AG155" i="1" s="1"/>
  <c r="AH155" i="1" s="1"/>
  <c r="AI155" i="1" s="1"/>
  <c r="AJ155" i="1" s="1"/>
  <c r="AK155" i="1" s="1"/>
  <c r="AL155" i="1" s="1"/>
  <c r="AM155" i="1" s="1"/>
  <c r="AN155" i="1" s="1"/>
  <c r="AO155" i="1" s="1"/>
  <c r="AP155" i="1" s="1"/>
  <c r="AQ155" i="1" s="1"/>
  <c r="AR155" i="1" s="1"/>
  <c r="AS155" i="1" s="1"/>
  <c r="AT155" i="1" s="1"/>
  <c r="AU155" i="1" s="1"/>
  <c r="AV155" i="1" s="1"/>
  <c r="AB149" i="1"/>
  <c r="AC149" i="1" s="1"/>
  <c r="AD149" i="1" s="1"/>
  <c r="AE149" i="1" s="1"/>
  <c r="AF149" i="1" s="1"/>
  <c r="AG149" i="1" s="1"/>
  <c r="AH149" i="1" s="1"/>
  <c r="AI149" i="1" s="1"/>
  <c r="AJ149" i="1" s="1"/>
  <c r="AK149" i="1" s="1"/>
  <c r="AL149" i="1" s="1"/>
  <c r="AM149" i="1" s="1"/>
  <c r="AN149" i="1" s="1"/>
  <c r="AO149" i="1" s="1"/>
  <c r="AP149" i="1" s="1"/>
  <c r="AQ149" i="1" s="1"/>
  <c r="AR149" i="1" s="1"/>
  <c r="AS149" i="1" s="1"/>
  <c r="AT149" i="1" s="1"/>
  <c r="AU149" i="1" s="1"/>
  <c r="AV149" i="1" s="1"/>
  <c r="AB148" i="1"/>
  <c r="AC148" i="1" s="1"/>
  <c r="AD148" i="1" s="1"/>
  <c r="AE148" i="1" s="1"/>
  <c r="AF148" i="1" s="1"/>
  <c r="AG148" i="1" s="1"/>
  <c r="AH148" i="1" s="1"/>
  <c r="AI148" i="1" s="1"/>
  <c r="AJ148" i="1" s="1"/>
  <c r="AK148" i="1" s="1"/>
  <c r="AL148" i="1" s="1"/>
  <c r="AM148" i="1" s="1"/>
  <c r="AN148" i="1" s="1"/>
  <c r="AO148" i="1" s="1"/>
  <c r="AP148" i="1" s="1"/>
  <c r="AQ148" i="1" s="1"/>
  <c r="AR148" i="1" s="1"/>
  <c r="AS148" i="1" s="1"/>
  <c r="AT148" i="1" s="1"/>
  <c r="AU148" i="1" s="1"/>
  <c r="AV148" i="1" s="1"/>
  <c r="AB147" i="1"/>
  <c r="AC147" i="1" s="1"/>
  <c r="AD147" i="1" s="1"/>
  <c r="AE147" i="1" s="1"/>
  <c r="AF147" i="1" s="1"/>
  <c r="AG147" i="1" s="1"/>
  <c r="AH147" i="1" s="1"/>
  <c r="AI147" i="1" s="1"/>
  <c r="AJ147" i="1" s="1"/>
  <c r="AK147" i="1" s="1"/>
  <c r="AL147" i="1" s="1"/>
  <c r="AM147" i="1" s="1"/>
  <c r="AN147" i="1" s="1"/>
  <c r="AO147" i="1" s="1"/>
  <c r="AP147" i="1" s="1"/>
  <c r="AQ147" i="1" s="1"/>
  <c r="AR147" i="1" s="1"/>
  <c r="AS147" i="1" s="1"/>
  <c r="AT147" i="1" s="1"/>
  <c r="AU147" i="1" s="1"/>
  <c r="AV147" i="1" s="1"/>
  <c r="AB145" i="1"/>
  <c r="AC145" i="1" s="1"/>
  <c r="AD145" i="1" s="1"/>
  <c r="AE145" i="1" s="1"/>
  <c r="AF145" i="1" s="1"/>
  <c r="AG145" i="1" s="1"/>
  <c r="AH145" i="1" s="1"/>
  <c r="AI145" i="1" s="1"/>
  <c r="AJ145" i="1" s="1"/>
  <c r="AK145" i="1" s="1"/>
  <c r="AL145" i="1" s="1"/>
  <c r="AM145" i="1" s="1"/>
  <c r="AN145" i="1" s="1"/>
  <c r="AO145" i="1" s="1"/>
  <c r="AP145" i="1" s="1"/>
  <c r="AQ145" i="1" s="1"/>
  <c r="AR145" i="1" s="1"/>
  <c r="AS145" i="1" s="1"/>
  <c r="AT145" i="1" s="1"/>
  <c r="AU145" i="1" s="1"/>
  <c r="AV145" i="1" s="1"/>
  <c r="AB144" i="1"/>
  <c r="AC144" i="1" s="1"/>
  <c r="AD144" i="1" s="1"/>
  <c r="AE144" i="1" s="1"/>
  <c r="AF144" i="1" s="1"/>
  <c r="AG144" i="1" s="1"/>
  <c r="AH144" i="1" s="1"/>
  <c r="AI144" i="1" s="1"/>
  <c r="AJ144" i="1" s="1"/>
  <c r="AK144" i="1" s="1"/>
  <c r="AL144" i="1" s="1"/>
  <c r="AM144" i="1" s="1"/>
  <c r="AN144" i="1" s="1"/>
  <c r="AO144" i="1" s="1"/>
  <c r="AP144" i="1" s="1"/>
  <c r="AQ144" i="1" s="1"/>
  <c r="AR144" i="1" s="1"/>
  <c r="AS144" i="1" s="1"/>
  <c r="AT144" i="1" s="1"/>
  <c r="AU144" i="1" s="1"/>
  <c r="AV144" i="1" s="1"/>
  <c r="AB140" i="1"/>
  <c r="AC140" i="1" s="1"/>
  <c r="AB139" i="1"/>
  <c r="AC139" i="1" s="1"/>
  <c r="AD139" i="1" s="1"/>
  <c r="AE139" i="1" s="1"/>
  <c r="AF139" i="1" s="1"/>
  <c r="AG139" i="1" s="1"/>
  <c r="AH139" i="1" s="1"/>
  <c r="AI139" i="1" s="1"/>
  <c r="AJ139" i="1" s="1"/>
  <c r="AK139" i="1" s="1"/>
  <c r="AL139" i="1" s="1"/>
  <c r="AM139" i="1" s="1"/>
  <c r="AN139" i="1" s="1"/>
  <c r="AO139" i="1" s="1"/>
  <c r="AP139" i="1" s="1"/>
  <c r="AQ139" i="1" s="1"/>
  <c r="AR139" i="1" s="1"/>
  <c r="AS139" i="1" s="1"/>
  <c r="AT139" i="1" s="1"/>
  <c r="AU139" i="1" s="1"/>
  <c r="AV139" i="1" s="1"/>
  <c r="AB138" i="1"/>
  <c r="AC138" i="1" s="1"/>
  <c r="AD138" i="1" s="1"/>
  <c r="AE138" i="1" s="1"/>
  <c r="AF138" i="1" s="1"/>
  <c r="AG138" i="1" s="1"/>
  <c r="AH138" i="1" s="1"/>
  <c r="AI138" i="1" s="1"/>
  <c r="AJ138" i="1" s="1"/>
  <c r="AK138" i="1" s="1"/>
  <c r="AL138" i="1" s="1"/>
  <c r="AM138" i="1" s="1"/>
  <c r="AN138" i="1" s="1"/>
  <c r="AO138" i="1" s="1"/>
  <c r="AP138" i="1" s="1"/>
  <c r="AQ138" i="1" s="1"/>
  <c r="AR138" i="1" s="1"/>
  <c r="AS138" i="1" s="1"/>
  <c r="AT138" i="1" s="1"/>
  <c r="AU138" i="1" s="1"/>
  <c r="AV138" i="1" s="1"/>
  <c r="AB137" i="1"/>
  <c r="AC137" i="1" s="1"/>
  <c r="AD137" i="1" s="1"/>
  <c r="AE137" i="1" s="1"/>
  <c r="AF137" i="1" s="1"/>
  <c r="AG137" i="1" s="1"/>
  <c r="AH137" i="1" s="1"/>
  <c r="AI137" i="1" s="1"/>
  <c r="AJ137" i="1" s="1"/>
  <c r="AK137" i="1" s="1"/>
  <c r="AL137" i="1" s="1"/>
  <c r="AM137" i="1" s="1"/>
  <c r="AN137" i="1" s="1"/>
  <c r="AO137" i="1" s="1"/>
  <c r="AP137" i="1" s="1"/>
  <c r="AQ137" i="1" s="1"/>
  <c r="AR137" i="1" s="1"/>
  <c r="AS137" i="1" s="1"/>
  <c r="AT137" i="1" s="1"/>
  <c r="AU137" i="1" s="1"/>
  <c r="AV137" i="1" s="1"/>
  <c r="AB127" i="1"/>
  <c r="AC127" i="1" s="1"/>
  <c r="AD127" i="1" s="1"/>
  <c r="AE127" i="1" s="1"/>
  <c r="AF127" i="1" s="1"/>
  <c r="AG127" i="1" s="1"/>
  <c r="AH127" i="1" s="1"/>
  <c r="AI127" i="1" s="1"/>
  <c r="AJ127" i="1" s="1"/>
  <c r="AK127" i="1" s="1"/>
  <c r="AL127" i="1" s="1"/>
  <c r="AM127" i="1" s="1"/>
  <c r="AN127" i="1" s="1"/>
  <c r="AO127" i="1" s="1"/>
  <c r="AP127" i="1" s="1"/>
  <c r="AQ127" i="1" s="1"/>
  <c r="AR127" i="1" s="1"/>
  <c r="AS127" i="1" s="1"/>
  <c r="AT127" i="1" s="1"/>
  <c r="AU127" i="1" s="1"/>
  <c r="AV127" i="1" s="1"/>
  <c r="AB126" i="1"/>
  <c r="AC126" i="1" s="1"/>
  <c r="AD126" i="1" s="1"/>
  <c r="AE126" i="1" s="1"/>
  <c r="AF126" i="1" s="1"/>
  <c r="AG126" i="1" s="1"/>
  <c r="AH126" i="1" s="1"/>
  <c r="AI126" i="1" s="1"/>
  <c r="AJ126" i="1" s="1"/>
  <c r="AK126" i="1" s="1"/>
  <c r="AL126" i="1" s="1"/>
  <c r="AM126" i="1" s="1"/>
  <c r="AN126" i="1" s="1"/>
  <c r="AO126" i="1" s="1"/>
  <c r="AP126" i="1" s="1"/>
  <c r="AQ126" i="1" s="1"/>
  <c r="AR126" i="1" s="1"/>
  <c r="AS126" i="1" s="1"/>
  <c r="AT126" i="1" s="1"/>
  <c r="AU126" i="1" s="1"/>
  <c r="AV126" i="1" s="1"/>
  <c r="AB125" i="1"/>
  <c r="AC125" i="1" s="1"/>
  <c r="AD125" i="1" s="1"/>
  <c r="AE125" i="1" s="1"/>
  <c r="AF125" i="1" s="1"/>
  <c r="AG125" i="1" s="1"/>
  <c r="AH125" i="1" s="1"/>
  <c r="AI125" i="1" s="1"/>
  <c r="AJ125" i="1" s="1"/>
  <c r="AK125" i="1" s="1"/>
  <c r="AL125" i="1" s="1"/>
  <c r="AM125" i="1" s="1"/>
  <c r="AN125" i="1" s="1"/>
  <c r="AO125" i="1" s="1"/>
  <c r="AP125" i="1" s="1"/>
  <c r="AQ125" i="1" s="1"/>
  <c r="AR125" i="1" s="1"/>
  <c r="AS125" i="1" s="1"/>
  <c r="AT125" i="1" s="1"/>
  <c r="AU125" i="1" s="1"/>
  <c r="AV125" i="1" s="1"/>
  <c r="CZ16" i="6"/>
  <c r="CZ17" i="6"/>
  <c r="CZ18" i="6"/>
  <c r="CZ19" i="6"/>
  <c r="CZ20" i="6"/>
  <c r="CZ21" i="6"/>
  <c r="CZ22" i="6"/>
  <c r="CZ23" i="6"/>
  <c r="CZ15" i="6"/>
  <c r="AB123" i="1"/>
  <c r="AC123" i="1" s="1"/>
  <c r="AC81" i="1"/>
  <c r="AD81" i="1"/>
  <c r="AE81" i="1"/>
  <c r="AG81" i="1"/>
  <c r="AH81" i="1"/>
  <c r="AI81" i="1"/>
  <c r="AK81" i="1"/>
  <c r="AL81" i="1"/>
  <c r="AM81" i="1"/>
  <c r="AO81" i="1"/>
  <c r="AP81" i="1"/>
  <c r="AQ81" i="1"/>
  <c r="AS81" i="1"/>
  <c r="AT81" i="1"/>
  <c r="AU81" i="1"/>
  <c r="AC82" i="1"/>
  <c r="AD82" i="1"/>
  <c r="AE82" i="1"/>
  <c r="AG82" i="1"/>
  <c r="AH82" i="1"/>
  <c r="AI82" i="1"/>
  <c r="AK82" i="1"/>
  <c r="AL82" i="1"/>
  <c r="AM82" i="1"/>
  <c r="AO82" i="1"/>
  <c r="AP82" i="1"/>
  <c r="AQ82" i="1"/>
  <c r="AS82" i="1"/>
  <c r="AT82" i="1"/>
  <c r="AU82" i="1"/>
  <c r="AB82" i="1"/>
  <c r="AF82" i="1" s="1"/>
  <c r="AJ82" i="1" s="1"/>
  <c r="AN82" i="1" s="1"/>
  <c r="AR82" i="1" s="1"/>
  <c r="AV82" i="1" s="1"/>
  <c r="AB81" i="1"/>
  <c r="CU17" i="6"/>
  <c r="CU16" i="6"/>
  <c r="CU15" i="6"/>
  <c r="I87" i="6"/>
  <c r="AC87" i="1"/>
  <c r="AC98" i="1" s="1"/>
  <c r="AD87" i="1"/>
  <c r="AD98" i="1" s="1"/>
  <c r="AE87" i="1"/>
  <c r="AE98" i="1" s="1"/>
  <c r="AG87" i="1"/>
  <c r="AG98" i="1" s="1"/>
  <c r="AH87" i="1"/>
  <c r="AH98" i="1" s="1"/>
  <c r="AI87" i="1"/>
  <c r="AI98" i="1" s="1"/>
  <c r="AK87" i="1"/>
  <c r="AK98" i="1" s="1"/>
  <c r="AL87" i="1"/>
  <c r="AL98" i="1" s="1"/>
  <c r="AM87" i="1"/>
  <c r="AM98" i="1" s="1"/>
  <c r="AO87" i="1"/>
  <c r="AO98" i="1" s="1"/>
  <c r="AP87" i="1"/>
  <c r="AP98" i="1" s="1"/>
  <c r="AQ87" i="1"/>
  <c r="AQ98" i="1" s="1"/>
  <c r="AS87" i="1"/>
  <c r="AS98" i="1" s="1"/>
  <c r="AT87" i="1"/>
  <c r="AT98" i="1" s="1"/>
  <c r="AU87" i="1"/>
  <c r="AU98" i="1" s="1"/>
  <c r="AB87" i="1"/>
  <c r="AB135" i="1" s="1"/>
  <c r="AC135" i="1" s="1"/>
  <c r="AD135" i="1" s="1"/>
  <c r="AE135" i="1" s="1"/>
  <c r="AC80" i="1"/>
  <c r="AD80" i="1"/>
  <c r="AE80" i="1"/>
  <c r="AG80" i="1"/>
  <c r="AH80" i="1"/>
  <c r="AI80" i="1"/>
  <c r="AK80" i="1"/>
  <c r="AL80" i="1"/>
  <c r="AM80" i="1"/>
  <c r="AO80" i="1"/>
  <c r="AP80" i="1"/>
  <c r="AQ80" i="1"/>
  <c r="AS80" i="1"/>
  <c r="AT80" i="1"/>
  <c r="AU80" i="1"/>
  <c r="AB80" i="1"/>
  <c r="AB122" i="1" s="1"/>
  <c r="AC122" i="1" s="1"/>
  <c r="AD122" i="1" s="1"/>
  <c r="AE122" i="1" s="1"/>
  <c r="AC79" i="1"/>
  <c r="AD79" i="1"/>
  <c r="AE79" i="1"/>
  <c r="AG79" i="1"/>
  <c r="AH79" i="1"/>
  <c r="AI79" i="1"/>
  <c r="AK79" i="1"/>
  <c r="AL79" i="1"/>
  <c r="AM79" i="1"/>
  <c r="AO79" i="1"/>
  <c r="AP79" i="1"/>
  <c r="AQ79" i="1"/>
  <c r="AS79" i="1"/>
  <c r="AT79" i="1"/>
  <c r="AU79" i="1"/>
  <c r="AB79" i="1"/>
  <c r="AB76" i="1"/>
  <c r="AC63" i="1"/>
  <c r="AE63" i="1"/>
  <c r="AG63" i="1"/>
  <c r="AI63" i="1"/>
  <c r="AK63" i="1"/>
  <c r="AM63" i="1"/>
  <c r="AO63" i="1"/>
  <c r="AQ63" i="1"/>
  <c r="AS63" i="1"/>
  <c r="AU63" i="1"/>
  <c r="AB63" i="1"/>
  <c r="AC60" i="1"/>
  <c r="AE60" i="1"/>
  <c r="AG60" i="1"/>
  <c r="AI60" i="1"/>
  <c r="AK60" i="1"/>
  <c r="AM60" i="1"/>
  <c r="AO60" i="1"/>
  <c r="AQ60" i="1"/>
  <c r="AS60" i="1"/>
  <c r="AU60" i="1"/>
  <c r="AB60" i="1"/>
  <c r="AB146" i="1" s="1"/>
  <c r="AC146" i="1" s="1"/>
  <c r="D34" i="1"/>
  <c r="H160" i="3"/>
  <c r="I160" i="3"/>
  <c r="J160" i="3"/>
  <c r="K160" i="3"/>
  <c r="L160" i="3"/>
  <c r="M160" i="3"/>
  <c r="N160" i="3"/>
  <c r="O160" i="3"/>
  <c r="P160" i="3"/>
  <c r="Q160" i="3"/>
  <c r="R160" i="3"/>
  <c r="S160" i="3"/>
  <c r="T160" i="3"/>
  <c r="U160" i="3"/>
  <c r="V160" i="3"/>
  <c r="W160" i="3"/>
  <c r="X160" i="3"/>
  <c r="Y160" i="3"/>
  <c r="Z160" i="3"/>
  <c r="AB160" i="3"/>
  <c r="K116" i="3"/>
  <c r="L115" i="3" s="1"/>
  <c r="L116" i="3" s="1"/>
  <c r="M115" i="3" s="1"/>
  <c r="M116" i="3" s="1"/>
  <c r="N115" i="3" s="1"/>
  <c r="N116" i="3" s="1"/>
  <c r="O115" i="3" s="1"/>
  <c r="O116" i="3" s="1"/>
  <c r="P115" i="3" s="1"/>
  <c r="P116" i="3" s="1"/>
  <c r="Q115" i="3" s="1"/>
  <c r="Q116" i="3" s="1"/>
  <c r="R115" i="3" s="1"/>
  <c r="R116" i="3" s="1"/>
  <c r="S115" i="3" s="1"/>
  <c r="S116" i="3" s="1"/>
  <c r="T115" i="3" s="1"/>
  <c r="T116" i="3" s="1"/>
  <c r="U115" i="3" s="1"/>
  <c r="U116" i="3" s="1"/>
  <c r="V115" i="3" s="1"/>
  <c r="V116" i="3" s="1"/>
  <c r="W115" i="3" s="1"/>
  <c r="W116" i="3" s="1"/>
  <c r="X115" i="3" s="1"/>
  <c r="X116" i="3" s="1"/>
  <c r="Y115" i="3" s="1"/>
  <c r="Y116" i="3" s="1"/>
  <c r="Z115" i="3" s="1"/>
  <c r="Z116" i="3" s="1"/>
  <c r="AA115" i="3" s="1"/>
  <c r="AA116" i="3" s="1"/>
  <c r="AB115" i="3" s="1"/>
  <c r="AB116" i="3" s="1"/>
  <c r="AC115" i="3" s="1"/>
  <c r="AC116" i="3" s="1"/>
  <c r="AD115" i="3" s="1"/>
  <c r="AD116" i="3" s="1"/>
  <c r="AE115" i="3" s="1"/>
  <c r="AE116" i="3" s="1"/>
  <c r="AF115" i="3" s="1"/>
  <c r="AF116" i="3" s="1"/>
  <c r="AG115" i="3" s="1"/>
  <c r="AG116" i="3" s="1"/>
  <c r="AH115" i="3" s="1"/>
  <c r="AH116" i="3" s="1"/>
  <c r="AI115" i="3" s="1"/>
  <c r="AI116" i="3" s="1"/>
  <c r="H156" i="3"/>
  <c r="I156" i="3"/>
  <c r="J156" i="3"/>
  <c r="K156" i="3"/>
  <c r="L156" i="3"/>
  <c r="M156" i="3"/>
  <c r="N156" i="3"/>
  <c r="O156" i="3"/>
  <c r="P156" i="3"/>
  <c r="Q156" i="3"/>
  <c r="R156" i="3"/>
  <c r="S156" i="3"/>
  <c r="T156" i="3"/>
  <c r="U156" i="3"/>
  <c r="V156" i="3"/>
  <c r="W156" i="3"/>
  <c r="X156" i="3"/>
  <c r="Y156" i="3"/>
  <c r="Z156" i="3"/>
  <c r="AA156" i="3"/>
  <c r="AB156" i="3"/>
  <c r="AB68" i="1"/>
  <c r="L142" i="3"/>
  <c r="L143" i="3"/>
  <c r="L141" i="3"/>
  <c r="E179" i="3"/>
  <c r="E180" i="3"/>
  <c r="E181" i="3"/>
  <c r="E178" i="3"/>
  <c r="I10" i="4" l="1"/>
  <c r="I8" i="4"/>
  <c r="I9" i="4" s="1"/>
  <c r="H11" i="4"/>
  <c r="K38" i="4"/>
  <c r="G11" i="4"/>
  <c r="AC150" i="1"/>
  <c r="AF81" i="1"/>
  <c r="AJ81" i="1" s="1"/>
  <c r="AN81" i="1" s="1"/>
  <c r="AR81" i="1" s="1"/>
  <c r="AV81" i="1" s="1"/>
  <c r="AB116" i="1"/>
  <c r="CV88" i="6"/>
  <c r="CV89" i="6"/>
  <c r="CU21" i="6"/>
  <c r="CU18" i="6"/>
  <c r="AD140" i="1"/>
  <c r="AD123" i="1"/>
  <c r="CU22" i="6"/>
  <c r="CU19" i="6"/>
  <c r="CU23" i="6"/>
  <c r="CU20" i="6"/>
  <c r="AF87" i="1"/>
  <c r="AJ87" i="1"/>
  <c r="AN87" i="1"/>
  <c r="AR87" i="1"/>
  <c r="AV87" i="1"/>
  <c r="AF80" i="1"/>
  <c r="AJ80" i="1"/>
  <c r="AN80" i="1"/>
  <c r="AR80" i="1"/>
  <c r="AV80" i="1"/>
  <c r="AF77" i="1"/>
  <c r="AC76" i="1"/>
  <c r="AF79" i="1"/>
  <c r="AJ79" i="1"/>
  <c r="AN79" i="1"/>
  <c r="AR79" i="1"/>
  <c r="AV79" i="1"/>
  <c r="AF63" i="1"/>
  <c r="AJ63" i="1"/>
  <c r="AN63" i="1"/>
  <c r="AR63" i="1"/>
  <c r="AV63" i="1"/>
  <c r="AF60" i="1"/>
  <c r="AJ60" i="1"/>
  <c r="AN60" i="1"/>
  <c r="AR60" i="1"/>
  <c r="AV60" i="1"/>
  <c r="Q161" i="3"/>
  <c r="X161" i="3"/>
  <c r="H161" i="3"/>
  <c r="M161" i="3"/>
  <c r="K161" i="3"/>
  <c r="U161" i="3"/>
  <c r="J161" i="3"/>
  <c r="V161" i="3"/>
  <c r="W161" i="3"/>
  <c r="T161" i="3"/>
  <c r="S161" i="3"/>
  <c r="R161" i="3"/>
  <c r="Z161" i="3"/>
  <c r="Y161" i="3"/>
  <c r="I161" i="3"/>
  <c r="P161" i="3"/>
  <c r="O161" i="3"/>
  <c r="N161" i="3"/>
  <c r="AB161" i="3"/>
  <c r="AB162" i="3" s="1"/>
  <c r="L161" i="3"/>
  <c r="J10" i="4" l="1"/>
  <c r="J8" i="4"/>
  <c r="J9" i="4" s="1"/>
  <c r="K8" i="4" s="1"/>
  <c r="K9" i="4" s="1"/>
  <c r="K11" i="4" s="1"/>
  <c r="L11" i="4" s="1"/>
  <c r="I11" i="4"/>
  <c r="AF122" i="1"/>
  <c r="AG122" i="1" s="1"/>
  <c r="AH122" i="1" s="1"/>
  <c r="AI122" i="1" s="1"/>
  <c r="AJ122" i="1" s="1"/>
  <c r="AK122" i="1" s="1"/>
  <c r="AL122" i="1" s="1"/>
  <c r="AM122" i="1" s="1"/>
  <c r="AN122" i="1" s="1"/>
  <c r="AO122" i="1" s="1"/>
  <c r="AP122" i="1" s="1"/>
  <c r="AQ122" i="1" s="1"/>
  <c r="AR122" i="1" s="1"/>
  <c r="AS122" i="1" s="1"/>
  <c r="AT122" i="1" s="1"/>
  <c r="AU122" i="1" s="1"/>
  <c r="AV122" i="1" s="1"/>
  <c r="AF135" i="1"/>
  <c r="AG135" i="1" s="1"/>
  <c r="AH135" i="1" s="1"/>
  <c r="AI135" i="1" s="1"/>
  <c r="AJ135" i="1" s="1"/>
  <c r="AK135" i="1" s="1"/>
  <c r="AL135" i="1" s="1"/>
  <c r="AM135" i="1" s="1"/>
  <c r="AN135" i="1" s="1"/>
  <c r="AO135" i="1" s="1"/>
  <c r="AP135" i="1" s="1"/>
  <c r="AQ135" i="1" s="1"/>
  <c r="AR135" i="1" s="1"/>
  <c r="AS135" i="1" s="1"/>
  <c r="AT135" i="1" s="1"/>
  <c r="AU135" i="1" s="1"/>
  <c r="AV135" i="1" s="1"/>
  <c r="AF98" i="1"/>
  <c r="AC116" i="1"/>
  <c r="AE140" i="1"/>
  <c r="AE123" i="1"/>
  <c r="AJ98" i="1"/>
  <c r="AG77" i="1"/>
  <c r="AD76" i="1"/>
  <c r="K10" i="4" l="1"/>
  <c r="J11" i="4"/>
  <c r="AD116" i="1"/>
  <c r="AF140" i="1"/>
  <c r="AF123" i="1"/>
  <c r="AN98" i="1"/>
  <c r="AH77" i="1"/>
  <c r="AE76" i="1"/>
  <c r="AE116" i="1" l="1"/>
  <c r="AG140" i="1"/>
  <c r="AG123" i="1"/>
  <c r="AR98" i="1"/>
  <c r="AV98" i="1"/>
  <c r="AI77" i="1"/>
  <c r="AF76" i="1"/>
  <c r="AC33" i="1"/>
  <c r="AG33" i="1" s="1"/>
  <c r="AD33" i="1"/>
  <c r="AE33" i="1"/>
  <c r="AH33" i="1"/>
  <c r="AI33" i="1"/>
  <c r="AL33" i="1"/>
  <c r="AM33" i="1"/>
  <c r="AQ33" i="1" s="1"/>
  <c r="AC34" i="1"/>
  <c r="AC62" i="1" s="1"/>
  <c r="AD34" i="1"/>
  <c r="AD62" i="1" s="1"/>
  <c r="AE34" i="1"/>
  <c r="AE62" i="1" s="1"/>
  <c r="AG34" i="1"/>
  <c r="AG62" i="1" s="1"/>
  <c r="AH34" i="1"/>
  <c r="AI34" i="1"/>
  <c r="AK34" i="1"/>
  <c r="AB34" i="1"/>
  <c r="AB33" i="1"/>
  <c r="AF33" i="1" l="1"/>
  <c r="AJ33" i="1"/>
  <c r="AN33" i="1"/>
  <c r="AF34" i="1"/>
  <c r="AB124" i="1"/>
  <c r="AC124" i="1" s="1"/>
  <c r="AD124" i="1" s="1"/>
  <c r="AE124" i="1" s="1"/>
  <c r="AF124" i="1" s="1"/>
  <c r="AG124" i="1" s="1"/>
  <c r="AH124" i="1" s="1"/>
  <c r="AI124" i="1" s="1"/>
  <c r="AO34" i="1"/>
  <c r="AK62" i="1"/>
  <c r="AM34" i="1"/>
  <c r="AI62" i="1"/>
  <c r="AL34" i="1"/>
  <c r="AH62" i="1"/>
  <c r="AP33" i="1"/>
  <c r="AT33" i="1" s="1"/>
  <c r="AF116" i="1"/>
  <c r="AH140" i="1"/>
  <c r="AH123" i="1"/>
  <c r="AJ77" i="1"/>
  <c r="AG76" i="1"/>
  <c r="AU33" i="1"/>
  <c r="AK33" i="1"/>
  <c r="AO33" i="1"/>
  <c r="Z77" i="1"/>
  <c r="Z76" i="1"/>
  <c r="AA62" i="1"/>
  <c r="Z59" i="1"/>
  <c r="AA160" i="3" s="1"/>
  <c r="AA161" i="3" s="1"/>
  <c r="AJ5" i="6"/>
  <c r="R5" i="6"/>
  <c r="Q5" i="6"/>
  <c r="CG5" i="6"/>
  <c r="BY5" i="6"/>
  <c r="BX5" i="6"/>
  <c r="BW5" i="6"/>
  <c r="BV5" i="6"/>
  <c r="BU5" i="6"/>
  <c r="BL5" i="6"/>
  <c r="BK5" i="6"/>
  <c r="BJ5" i="6"/>
  <c r="BH5" i="6"/>
  <c r="CZ95" i="6"/>
  <c r="CP95" i="6"/>
  <c r="CT95" i="6" s="1"/>
  <c r="CZ94" i="6"/>
  <c r="CP94" i="6"/>
  <c r="CU94" i="6" s="1"/>
  <c r="CZ93" i="6"/>
  <c r="CP93" i="6"/>
  <c r="CR53" i="6"/>
  <c r="CU53" i="6"/>
  <c r="CV53" i="6"/>
  <c r="CW53" i="6"/>
  <c r="DB53" i="6"/>
  <c r="DE53" i="6"/>
  <c r="DF53" i="6"/>
  <c r="DG53" i="6"/>
  <c r="CR54" i="6"/>
  <c r="CU54" i="6"/>
  <c r="CV54" i="6"/>
  <c r="CW54" i="6"/>
  <c r="DB54" i="6"/>
  <c r="DE54" i="6"/>
  <c r="DF54" i="6"/>
  <c r="DG54" i="6"/>
  <c r="CR55" i="6"/>
  <c r="CU55" i="6"/>
  <c r="DB55" i="6"/>
  <c r="DE55" i="6"/>
  <c r="DF55" i="6"/>
  <c r="DG55" i="6"/>
  <c r="CR67" i="6"/>
  <c r="DF67" i="6"/>
  <c r="DG67" i="6"/>
  <c r="CR68" i="6"/>
  <c r="DF68" i="6"/>
  <c r="DG68" i="6"/>
  <c r="CR69" i="6"/>
  <c r="DF69" i="6"/>
  <c r="DG69" i="6"/>
  <c r="U65" i="6"/>
  <c r="V65" i="6"/>
  <c r="W65" i="6"/>
  <c r="Y65" i="6"/>
  <c r="Z65" i="6"/>
  <c r="AA65" i="6"/>
  <c r="AB65" i="6"/>
  <c r="AG65" i="6"/>
  <c r="AH65" i="6"/>
  <c r="AI65" i="6"/>
  <c r="AL65" i="6"/>
  <c r="AM65" i="6"/>
  <c r="AN65" i="6"/>
  <c r="AO65" i="6"/>
  <c r="AQ65" i="6"/>
  <c r="AX65" i="6"/>
  <c r="BB65" i="6"/>
  <c r="BD65" i="6"/>
  <c r="BE65" i="6"/>
  <c r="BF65" i="6"/>
  <c r="BR65" i="6"/>
  <c r="BS65" i="6"/>
  <c r="CA65" i="6"/>
  <c r="CB65" i="6"/>
  <c r="CC65" i="6"/>
  <c r="CH65" i="6"/>
  <c r="CJ65" i="6"/>
  <c r="CG42" i="6"/>
  <c r="BX42" i="6"/>
  <c r="BW42" i="6"/>
  <c r="BV42" i="6"/>
  <c r="BL42" i="6"/>
  <c r="BK42" i="6"/>
  <c r="BJ42" i="6"/>
  <c r="BA42" i="6"/>
  <c r="AZ42" i="6"/>
  <c r="AW42" i="6"/>
  <c r="AV42" i="6"/>
  <c r="BY42" i="6" s="1"/>
  <c r="AJ42" i="6"/>
  <c r="R42" i="6"/>
  <c r="Q42" i="6"/>
  <c r="P42" i="6"/>
  <c r="O42" i="6"/>
  <c r="CG61" i="6"/>
  <c r="CG57" i="6"/>
  <c r="CG55" i="6"/>
  <c r="CG53" i="6"/>
  <c r="CG51" i="6"/>
  <c r="BY55" i="6"/>
  <c r="BY57" i="6"/>
  <c r="BY59" i="6"/>
  <c r="BY61" i="6"/>
  <c r="BY51" i="6"/>
  <c r="BW53" i="6"/>
  <c r="BW55" i="6"/>
  <c r="BW57" i="6"/>
  <c r="BW59" i="6"/>
  <c r="BW61" i="6"/>
  <c r="BW51" i="6"/>
  <c r="BV53" i="6"/>
  <c r="BV55" i="6"/>
  <c r="BV57" i="6"/>
  <c r="BV59" i="6"/>
  <c r="BV61" i="6"/>
  <c r="BV51" i="6"/>
  <c r="BV65" i="6" s="1"/>
  <c r="BJ53" i="6"/>
  <c r="BK53" i="6"/>
  <c r="BL53" i="6"/>
  <c r="BN53" i="6" s="1"/>
  <c r="CE53" i="6" s="1"/>
  <c r="BJ55" i="6"/>
  <c r="BK55" i="6"/>
  <c r="BL55" i="6"/>
  <c r="BN55" i="6" s="1"/>
  <c r="CE55" i="6" s="1"/>
  <c r="BJ57" i="6"/>
  <c r="BK57" i="6"/>
  <c r="BL57" i="6"/>
  <c r="BN57" i="6" s="1"/>
  <c r="CE57" i="6" s="1"/>
  <c r="BJ59" i="6"/>
  <c r="BK59" i="6"/>
  <c r="BL59" i="6"/>
  <c r="BN59" i="6" s="1"/>
  <c r="CE59" i="6" s="1"/>
  <c r="BJ61" i="6"/>
  <c r="BK61" i="6"/>
  <c r="BL61" i="6"/>
  <c r="BN61" i="6" s="1"/>
  <c r="CE61" i="6" s="1"/>
  <c r="BL51" i="6"/>
  <c r="BK51" i="6"/>
  <c r="BK65" i="6" s="1"/>
  <c r="BJ51" i="6"/>
  <c r="BJ65" i="6" s="1"/>
  <c r="BA53" i="6"/>
  <c r="BA55" i="6"/>
  <c r="BA57" i="6"/>
  <c r="BA59" i="6"/>
  <c r="BA61" i="6"/>
  <c r="BA51" i="6"/>
  <c r="BA65" i="6" s="1"/>
  <c r="AZ53" i="6"/>
  <c r="BQ53" i="6" s="1"/>
  <c r="AZ55" i="6"/>
  <c r="BQ55" i="6" s="1"/>
  <c r="AZ57" i="6"/>
  <c r="BQ57" i="6" s="1"/>
  <c r="AZ59" i="6"/>
  <c r="BQ59" i="6" s="1"/>
  <c r="AZ61" i="6"/>
  <c r="BQ61" i="6" s="1"/>
  <c r="AZ51" i="6"/>
  <c r="AW53" i="6"/>
  <c r="AW55" i="6"/>
  <c r="BU55" i="6" s="1"/>
  <c r="AW57" i="6"/>
  <c r="BU57" i="6" s="1"/>
  <c r="AW59" i="6"/>
  <c r="BU59" i="6" s="1"/>
  <c r="AW61" i="6"/>
  <c r="BU61" i="6" s="1"/>
  <c r="AW51" i="6"/>
  <c r="AV53" i="6"/>
  <c r="BX53" i="6" s="1"/>
  <c r="AV55" i="6"/>
  <c r="BX55" i="6" s="1"/>
  <c r="AV57" i="6"/>
  <c r="BX57" i="6" s="1"/>
  <c r="AV59" i="6"/>
  <c r="BX59" i="6" s="1"/>
  <c r="AV61" i="6"/>
  <c r="BX61" i="6" s="1"/>
  <c r="AV51" i="6"/>
  <c r="R53" i="6"/>
  <c r="R55" i="6"/>
  <c r="R57" i="6"/>
  <c r="R59" i="6"/>
  <c r="R61" i="6"/>
  <c r="R51" i="6"/>
  <c r="Q55" i="6"/>
  <c r="Q53" i="6"/>
  <c r="Q57" i="6"/>
  <c r="Q59" i="6"/>
  <c r="Q61" i="6"/>
  <c r="Q51" i="6"/>
  <c r="P55" i="6"/>
  <c r="BH55" i="6" s="1"/>
  <c r="P53" i="6"/>
  <c r="BH53" i="6" s="1"/>
  <c r="P57" i="6"/>
  <c r="BH57" i="6" s="1"/>
  <c r="P59" i="6"/>
  <c r="BH59" i="6" s="1"/>
  <c r="P61" i="6"/>
  <c r="BH61" i="6" s="1"/>
  <c r="P51" i="6"/>
  <c r="O55" i="6"/>
  <c r="O53" i="6"/>
  <c r="O57" i="6"/>
  <c r="O59" i="6"/>
  <c r="O61" i="6"/>
  <c r="O51" i="6"/>
  <c r="CJ66" i="6"/>
  <c r="CH66" i="6"/>
  <c r="CC66" i="6"/>
  <c r="CB66" i="6"/>
  <c r="CA66" i="6"/>
  <c r="BS66" i="6"/>
  <c r="BR66" i="6"/>
  <c r="BL66" i="6"/>
  <c r="BK66" i="6"/>
  <c r="BJ66" i="6"/>
  <c r="BF66" i="6"/>
  <c r="BE66" i="6"/>
  <c r="BD66" i="6"/>
  <c r="BB66" i="6"/>
  <c r="BA66" i="6"/>
  <c r="AZ66" i="6"/>
  <c r="AX66" i="6"/>
  <c r="AQ66" i="6"/>
  <c r="AO66" i="6"/>
  <c r="AN66" i="6"/>
  <c r="AM66" i="6"/>
  <c r="AL66" i="6"/>
  <c r="AI66" i="6"/>
  <c r="AH66" i="6"/>
  <c r="AG66" i="6"/>
  <c r="AC66" i="6"/>
  <c r="AB66" i="6"/>
  <c r="AA66" i="6"/>
  <c r="Z66" i="6"/>
  <c r="Y66" i="6"/>
  <c r="W66" i="6"/>
  <c r="V66" i="6"/>
  <c r="U66" i="6"/>
  <c r="T66" i="6"/>
  <c r="O66" i="6"/>
  <c r="M66" i="6"/>
  <c r="L66" i="6"/>
  <c r="K66" i="6"/>
  <c r="J66" i="6"/>
  <c r="H66" i="6"/>
  <c r="G66" i="6"/>
  <c r="H65" i="6"/>
  <c r="J65" i="6"/>
  <c r="K65" i="6"/>
  <c r="L65" i="6"/>
  <c r="M65" i="6"/>
  <c r="T65" i="6"/>
  <c r="G65" i="6"/>
  <c r="H64" i="6"/>
  <c r="J64" i="6"/>
  <c r="K64" i="6"/>
  <c r="L64" i="6"/>
  <c r="M64" i="6"/>
  <c r="G64" i="6"/>
  <c r="U64" i="6"/>
  <c r="V64" i="6"/>
  <c r="W64" i="6"/>
  <c r="Y64" i="6"/>
  <c r="Z64" i="6"/>
  <c r="AA64" i="6"/>
  <c r="AB64" i="6"/>
  <c r="AG64" i="6"/>
  <c r="AH64" i="6"/>
  <c r="AI64" i="6"/>
  <c r="AL64" i="6"/>
  <c r="AM64" i="6"/>
  <c r="AN64" i="6"/>
  <c r="AO64" i="6"/>
  <c r="AQ64" i="6"/>
  <c r="AX64" i="6"/>
  <c r="BB64" i="6"/>
  <c r="BD64" i="6"/>
  <c r="BE64" i="6"/>
  <c r="BF64" i="6"/>
  <c r="BR64" i="6"/>
  <c r="BS64" i="6"/>
  <c r="CA64" i="6"/>
  <c r="CB64" i="6"/>
  <c r="CC64" i="6"/>
  <c r="CH64" i="6"/>
  <c r="CJ64" i="6"/>
  <c r="T64" i="6"/>
  <c r="P38" i="1"/>
  <c r="H98" i="1"/>
  <c r="L162" i="3" l="1"/>
  <c r="N162" i="3"/>
  <c r="T162" i="3"/>
  <c r="P162" i="3"/>
  <c r="Y162" i="3"/>
  <c r="U162" i="3"/>
  <c r="X162" i="3"/>
  <c r="J162" i="3"/>
  <c r="I162" i="3"/>
  <c r="W162" i="3"/>
  <c r="O162" i="3"/>
  <c r="AA162" i="3"/>
  <c r="K162" i="3"/>
  <c r="S162" i="3"/>
  <c r="M162" i="3"/>
  <c r="H162" i="3"/>
  <c r="Q162" i="3"/>
  <c r="R162" i="3"/>
  <c r="Z162" i="3"/>
  <c r="V162" i="3"/>
  <c r="AS33" i="1"/>
  <c r="AG116" i="1"/>
  <c r="AP34" i="1"/>
  <c r="AL62" i="1"/>
  <c r="AQ34" i="1"/>
  <c r="AM62" i="1"/>
  <c r="AS34" i="1"/>
  <c r="AS62" i="1" s="1"/>
  <c r="AO62" i="1"/>
  <c r="AJ34" i="1"/>
  <c r="AF62" i="1"/>
  <c r="AR33" i="1"/>
  <c r="AV33" i="1" s="1"/>
  <c r="CG66" i="6"/>
  <c r="CZ36" i="6" s="1"/>
  <c r="CG65" i="6"/>
  <c r="CY36" i="6" s="1"/>
  <c r="O64" i="6"/>
  <c r="O65" i="6"/>
  <c r="P64" i="6"/>
  <c r="P65" i="6"/>
  <c r="BH51" i="6"/>
  <c r="P66" i="6"/>
  <c r="Q64" i="6"/>
  <c r="Q65" i="6"/>
  <c r="Q66" i="6"/>
  <c r="R64" i="6"/>
  <c r="R65" i="6"/>
  <c r="AV65" i="6"/>
  <c r="BX51" i="6"/>
  <c r="AV66" i="6"/>
  <c r="AW65" i="6"/>
  <c r="BU51" i="6"/>
  <c r="AW66" i="6"/>
  <c r="BU53" i="6"/>
  <c r="AZ65" i="6"/>
  <c r="BQ51" i="6"/>
  <c r="BL65" i="6"/>
  <c r="BN51" i="6"/>
  <c r="BV66" i="6"/>
  <c r="BQ42" i="6"/>
  <c r="BH42" i="6"/>
  <c r="BU42" i="6" s="1"/>
  <c r="BN42" i="6"/>
  <c r="CE42" i="6" s="1"/>
  <c r="BN5" i="6"/>
  <c r="CE5" i="6" s="1"/>
  <c r="AI140" i="1"/>
  <c r="AI123" i="1"/>
  <c r="AK77" i="1"/>
  <c r="AH76" i="1"/>
  <c r="CZ109" i="6"/>
  <c r="DE95" i="6"/>
  <c r="DD95" i="6"/>
  <c r="DC95" i="6"/>
  <c r="CU95" i="6"/>
  <c r="CP109" i="6"/>
  <c r="DC94" i="6"/>
  <c r="CZ108" i="6"/>
  <c r="DE94" i="6"/>
  <c r="DD94" i="6"/>
  <c r="CP108" i="6"/>
  <c r="CT94" i="6"/>
  <c r="DE93" i="6"/>
  <c r="CZ107" i="6"/>
  <c r="DD93" i="6"/>
  <c r="DC93" i="6"/>
  <c r="CP107" i="6"/>
  <c r="CU93" i="6"/>
  <c r="CT93" i="6"/>
  <c r="CV55" i="6"/>
  <c r="CW55" i="6"/>
  <c r="R66" i="6"/>
  <c r="AN34" i="1" l="1"/>
  <c r="AJ62" i="1"/>
  <c r="AJ124" i="1"/>
  <c r="AK124" i="1" s="1"/>
  <c r="AL124" i="1" s="1"/>
  <c r="AM124" i="1" s="1"/>
  <c r="AN124" i="1" s="1"/>
  <c r="AO124" i="1" s="1"/>
  <c r="AP124" i="1" s="1"/>
  <c r="AQ124" i="1" s="1"/>
  <c r="AU34" i="1"/>
  <c r="AU62" i="1" s="1"/>
  <c r="AQ62" i="1"/>
  <c r="AT34" i="1"/>
  <c r="AT62" i="1" s="1"/>
  <c r="AP62" i="1"/>
  <c r="AH116" i="1"/>
  <c r="E161" i="3"/>
  <c r="D161" i="3"/>
  <c r="DA36" i="6"/>
  <c r="BN66" i="6"/>
  <c r="BN65" i="6"/>
  <c r="CE51" i="6"/>
  <c r="BQ64" i="6"/>
  <c r="BQ65" i="6"/>
  <c r="BQ66" i="6"/>
  <c r="BU65" i="6"/>
  <c r="BU66" i="6"/>
  <c r="BX66" i="6"/>
  <c r="BX65" i="6"/>
  <c r="BH66" i="6"/>
  <c r="BH65" i="6"/>
  <c r="AJ140" i="1"/>
  <c r="AJ123" i="1"/>
  <c r="AL77" i="1"/>
  <c r="AI76" i="1"/>
  <c r="DE109" i="6"/>
  <c r="DC109" i="6"/>
  <c r="DD109" i="6"/>
  <c r="CS109" i="6"/>
  <c r="CT109" i="6"/>
  <c r="CU109" i="6"/>
  <c r="DC108" i="6"/>
  <c r="DD108" i="6"/>
  <c r="DE108" i="6"/>
  <c r="CS108" i="6"/>
  <c r="CT108" i="6"/>
  <c r="CU108" i="6"/>
  <c r="DC107" i="6"/>
  <c r="DD107" i="6"/>
  <c r="DE107" i="6"/>
  <c r="CS107" i="6"/>
  <c r="CT107" i="6"/>
  <c r="CU107" i="6"/>
  <c r="L130" i="3"/>
  <c r="M130" i="3"/>
  <c r="N130" i="3"/>
  <c r="K130" i="3"/>
  <c r="J106" i="3"/>
  <c r="H106" i="3"/>
  <c r="I106" i="3"/>
  <c r="H107" i="3"/>
  <c r="I107" i="3"/>
  <c r="J107" i="3"/>
  <c r="G107" i="3"/>
  <c r="G106" i="3"/>
  <c r="D132" i="3" s="1"/>
  <c r="K118" i="3"/>
  <c r="T114" i="6"/>
  <c r="T115" i="6"/>
  <c r="T116" i="6"/>
  <c r="T117" i="6"/>
  <c r="T118" i="6"/>
  <c r="T113" i="6"/>
  <c r="J115" i="6"/>
  <c r="J116" i="6"/>
  <c r="J117" i="6"/>
  <c r="J118" i="6"/>
  <c r="J119" i="6"/>
  <c r="J114" i="6"/>
  <c r="S89" i="6"/>
  <c r="S88" i="6"/>
  <c r="S102" i="6" s="1"/>
  <c r="S87" i="6"/>
  <c r="S101" i="6" s="1"/>
  <c r="I89" i="6"/>
  <c r="I103" i="6" s="1"/>
  <c r="I88" i="6"/>
  <c r="I102" i="6" s="1"/>
  <c r="P5" i="6"/>
  <c r="O5" i="6"/>
  <c r="H47" i="6"/>
  <c r="J47" i="6"/>
  <c r="K47" i="6"/>
  <c r="L47" i="6"/>
  <c r="M47" i="6"/>
  <c r="T47" i="6"/>
  <c r="U47" i="6"/>
  <c r="V47" i="6"/>
  <c r="W47" i="6"/>
  <c r="Y47" i="6"/>
  <c r="Z47" i="6"/>
  <c r="AA47" i="6"/>
  <c r="AB47" i="6"/>
  <c r="AG47" i="6"/>
  <c r="AH47" i="6"/>
  <c r="AI47" i="6"/>
  <c r="AL47" i="6"/>
  <c r="AM47" i="6"/>
  <c r="AN47" i="6"/>
  <c r="AO47" i="6"/>
  <c r="AQ47" i="6"/>
  <c r="AX47" i="6"/>
  <c r="BB47" i="6"/>
  <c r="BD47" i="6"/>
  <c r="BE47" i="6"/>
  <c r="BF47" i="6"/>
  <c r="BR47" i="6"/>
  <c r="BS47" i="6"/>
  <c r="CA47" i="6"/>
  <c r="CB47" i="6"/>
  <c r="CC47" i="6"/>
  <c r="CH47" i="6"/>
  <c r="G47" i="6"/>
  <c r="H46" i="6"/>
  <c r="J46" i="6"/>
  <c r="K46" i="6"/>
  <c r="L46" i="6"/>
  <c r="M46" i="6"/>
  <c r="T46" i="6"/>
  <c r="U46" i="6"/>
  <c r="V46" i="6"/>
  <c r="W46" i="6"/>
  <c r="Y46" i="6"/>
  <c r="Z46" i="6"/>
  <c r="AA46" i="6"/>
  <c r="AB46" i="6"/>
  <c r="AG46" i="6"/>
  <c r="AH46" i="6"/>
  <c r="AI46" i="6"/>
  <c r="AL46" i="6"/>
  <c r="AM46" i="6"/>
  <c r="AN46" i="6"/>
  <c r="AO46" i="6"/>
  <c r="AQ46" i="6"/>
  <c r="AX46" i="6"/>
  <c r="BB46" i="6"/>
  <c r="BD46" i="6"/>
  <c r="BE46" i="6"/>
  <c r="BF46" i="6"/>
  <c r="BR46" i="6"/>
  <c r="BS46" i="6"/>
  <c r="CA46" i="6"/>
  <c r="CB46" i="6"/>
  <c r="CC46" i="6"/>
  <c r="CH46" i="6"/>
  <c r="G46" i="6"/>
  <c r="H26" i="6"/>
  <c r="J26" i="6"/>
  <c r="K26" i="6"/>
  <c r="L26" i="6"/>
  <c r="M26" i="6"/>
  <c r="T26" i="6"/>
  <c r="U26" i="6"/>
  <c r="V26" i="6"/>
  <c r="W26" i="6"/>
  <c r="Y26" i="6"/>
  <c r="Z26" i="6"/>
  <c r="AA26" i="6"/>
  <c r="AB26" i="6"/>
  <c r="AG26" i="6"/>
  <c r="AH26" i="6"/>
  <c r="AI26" i="6"/>
  <c r="AL26" i="6"/>
  <c r="AM26" i="6"/>
  <c r="AN26" i="6"/>
  <c r="AO26" i="6"/>
  <c r="AQ26" i="6"/>
  <c r="AX26" i="6"/>
  <c r="BB26" i="6"/>
  <c r="BD26" i="6"/>
  <c r="BE26" i="6"/>
  <c r="BF26" i="6"/>
  <c r="BR26" i="6"/>
  <c r="BS26" i="6"/>
  <c r="CA26" i="6"/>
  <c r="CB26" i="6"/>
  <c r="CC26" i="6"/>
  <c r="CH26" i="6"/>
  <c r="CJ26" i="6"/>
  <c r="G26" i="6"/>
  <c r="BR25" i="6"/>
  <c r="BS25" i="6"/>
  <c r="CA25" i="6"/>
  <c r="CB25" i="6"/>
  <c r="CC25" i="6"/>
  <c r="V89" i="6" s="1"/>
  <c r="CH25" i="6"/>
  <c r="CJ25" i="6"/>
  <c r="AX25" i="6"/>
  <c r="BB25" i="6"/>
  <c r="BD25" i="6"/>
  <c r="BE25" i="6"/>
  <c r="BF25" i="6"/>
  <c r="AH25" i="6"/>
  <c r="AI25" i="6"/>
  <c r="AL25" i="6"/>
  <c r="AM25" i="6"/>
  <c r="AN25" i="6"/>
  <c r="AO25" i="6"/>
  <c r="AQ25" i="6"/>
  <c r="AG25" i="6"/>
  <c r="H25" i="6"/>
  <c r="J25" i="6"/>
  <c r="K25" i="6"/>
  <c r="L25" i="6"/>
  <c r="M25" i="6"/>
  <c r="T25" i="6"/>
  <c r="U25" i="6"/>
  <c r="V25" i="6"/>
  <c r="W25" i="6"/>
  <c r="Y25" i="6"/>
  <c r="Z25" i="6"/>
  <c r="AA25" i="6"/>
  <c r="AB25" i="6"/>
  <c r="G25" i="6"/>
  <c r="BR45" i="6"/>
  <c r="BS45" i="6"/>
  <c r="CA45" i="6"/>
  <c r="CB45" i="6"/>
  <c r="CC45" i="6"/>
  <c r="CH45" i="6"/>
  <c r="AX45" i="6"/>
  <c r="BB45" i="6"/>
  <c r="BD45" i="6"/>
  <c r="BE45" i="6"/>
  <c r="BF45" i="6"/>
  <c r="AH45" i="6"/>
  <c r="AI45" i="6"/>
  <c r="AL45" i="6"/>
  <c r="AM45" i="6"/>
  <c r="AN45" i="6"/>
  <c r="AO45" i="6"/>
  <c r="AQ45" i="6"/>
  <c r="AG45" i="6"/>
  <c r="H45" i="6"/>
  <c r="J45" i="6"/>
  <c r="K45" i="6"/>
  <c r="L45" i="6"/>
  <c r="M45" i="6"/>
  <c r="T45" i="6"/>
  <c r="U45" i="6"/>
  <c r="V45" i="6"/>
  <c r="W45" i="6"/>
  <c r="Y45" i="6"/>
  <c r="Z45" i="6"/>
  <c r="AA45" i="6"/>
  <c r="AB45" i="6"/>
  <c r="G45" i="6"/>
  <c r="AI116" i="1" l="1"/>
  <c r="AR34" i="1"/>
  <c r="AN62" i="1"/>
  <c r="CE66" i="6"/>
  <c r="CE65" i="6"/>
  <c r="AK140" i="1"/>
  <c r="AK123" i="1"/>
  <c r="AM77" i="1"/>
  <c r="AJ76" i="1"/>
  <c r="D108" i="3"/>
  <c r="D26" i="1" s="1"/>
  <c r="D129" i="3"/>
  <c r="D128" i="3"/>
  <c r="D127" i="3"/>
  <c r="D124" i="3"/>
  <c r="D122" i="3"/>
  <c r="D123" i="3"/>
  <c r="D121" i="3"/>
  <c r="X87" i="6"/>
  <c r="V88" i="6"/>
  <c r="X88" i="6"/>
  <c r="L118" i="3"/>
  <c r="K117" i="3"/>
  <c r="K119" i="3"/>
  <c r="X89" i="6"/>
  <c r="X102" i="6"/>
  <c r="V87" i="6"/>
  <c r="S103" i="6"/>
  <c r="X103" i="6" s="1"/>
  <c r="V101" i="6"/>
  <c r="W101" i="6"/>
  <c r="M102" i="6"/>
  <c r="L102" i="6"/>
  <c r="N102" i="6"/>
  <c r="N103" i="6"/>
  <c r="L103" i="6"/>
  <c r="M103" i="6"/>
  <c r="N88" i="6"/>
  <c r="V102" i="6"/>
  <c r="I101" i="6"/>
  <c r="V103" i="6"/>
  <c r="L89" i="6"/>
  <c r="X101" i="6"/>
  <c r="N89" i="6"/>
  <c r="W102" i="6"/>
  <c r="CH44" i="6"/>
  <c r="CC44" i="6"/>
  <c r="CB44" i="6"/>
  <c r="CA44" i="6"/>
  <c r="BS44" i="6"/>
  <c r="BR44" i="6"/>
  <c r="BF44" i="6"/>
  <c r="BE44" i="6"/>
  <c r="BD44" i="6"/>
  <c r="BB44" i="6"/>
  <c r="AX44" i="6"/>
  <c r="AQ44" i="6"/>
  <c r="AO44" i="6"/>
  <c r="AN44" i="6"/>
  <c r="AM44" i="6"/>
  <c r="AL44" i="6"/>
  <c r="AI44" i="6"/>
  <c r="AH44" i="6"/>
  <c r="AG44" i="6"/>
  <c r="AB44" i="6"/>
  <c r="AA44" i="6"/>
  <c r="Z44" i="6"/>
  <c r="Y44" i="6"/>
  <c r="W44" i="6"/>
  <c r="V44" i="6"/>
  <c r="U44" i="6"/>
  <c r="T44" i="6"/>
  <c r="M44" i="6"/>
  <c r="L44" i="6"/>
  <c r="K44" i="6"/>
  <c r="J44" i="6"/>
  <c r="H44" i="6"/>
  <c r="G44" i="6"/>
  <c r="CG40" i="6"/>
  <c r="BX40" i="6"/>
  <c r="BW40" i="6"/>
  <c r="BV40" i="6"/>
  <c r="BL40" i="6"/>
  <c r="BK40" i="6"/>
  <c r="BJ40" i="6"/>
  <c r="BA40" i="6"/>
  <c r="AZ40" i="6"/>
  <c r="BQ40" i="6" s="1"/>
  <c r="AW40" i="6"/>
  <c r="AV40" i="6"/>
  <c r="BY40" i="6" s="1"/>
  <c r="AJ40" i="6"/>
  <c r="R40" i="6"/>
  <c r="Q40" i="6"/>
  <c r="P40" i="6"/>
  <c r="O40" i="6"/>
  <c r="CG38" i="6"/>
  <c r="BX38" i="6"/>
  <c r="BW38" i="6"/>
  <c r="BV38" i="6"/>
  <c r="BL38" i="6"/>
  <c r="BK38" i="6"/>
  <c r="BJ38" i="6"/>
  <c r="BA38" i="6"/>
  <c r="AZ38" i="6"/>
  <c r="BQ38" i="6" s="1"/>
  <c r="AW38" i="6"/>
  <c r="AV38" i="6"/>
  <c r="BY38" i="6" s="1"/>
  <c r="AJ38" i="6"/>
  <c r="R38" i="6"/>
  <c r="Q38" i="6"/>
  <c r="P38" i="6"/>
  <c r="O38" i="6"/>
  <c r="CG36" i="6"/>
  <c r="BX36" i="6"/>
  <c r="BW36" i="6"/>
  <c r="BV36" i="6"/>
  <c r="BL36" i="6"/>
  <c r="BK36" i="6"/>
  <c r="BJ36" i="6"/>
  <c r="BA36" i="6"/>
  <c r="AZ36" i="6"/>
  <c r="AW36" i="6"/>
  <c r="AV36" i="6"/>
  <c r="BY36" i="6" s="1"/>
  <c r="AJ36" i="6"/>
  <c r="R36" i="6"/>
  <c r="Q36" i="6"/>
  <c r="P36" i="6"/>
  <c r="O36" i="6"/>
  <c r="CG34" i="6"/>
  <c r="BX34" i="6"/>
  <c r="BW34" i="6"/>
  <c r="BV34" i="6"/>
  <c r="BL34" i="6"/>
  <c r="BK34" i="6"/>
  <c r="BJ34" i="6"/>
  <c r="BA34" i="6"/>
  <c r="AZ34" i="6"/>
  <c r="BQ34" i="6" s="1"/>
  <c r="AW34" i="6"/>
  <c r="AV34" i="6"/>
  <c r="BY34" i="6" s="1"/>
  <c r="AJ34" i="6"/>
  <c r="R34" i="6"/>
  <c r="Q34" i="6"/>
  <c r="P34" i="6"/>
  <c r="O34" i="6"/>
  <c r="CG32" i="6"/>
  <c r="BX32" i="6"/>
  <c r="BW32" i="6"/>
  <c r="BV32" i="6"/>
  <c r="BL32" i="6"/>
  <c r="BK32" i="6"/>
  <c r="BJ32" i="6"/>
  <c r="BA32" i="6"/>
  <c r="AZ32" i="6"/>
  <c r="AW32" i="6"/>
  <c r="AV32" i="6"/>
  <c r="BY32" i="6" s="1"/>
  <c r="AJ32" i="6"/>
  <c r="R32" i="6"/>
  <c r="Q32" i="6"/>
  <c r="P32" i="6"/>
  <c r="O32" i="6"/>
  <c r="CG30" i="6"/>
  <c r="BX30" i="6"/>
  <c r="BW30" i="6"/>
  <c r="BV30" i="6"/>
  <c r="BL30" i="6"/>
  <c r="BK30" i="6"/>
  <c r="BJ30" i="6"/>
  <c r="BA30" i="6"/>
  <c r="AZ30" i="6"/>
  <c r="AW30" i="6"/>
  <c r="AV30" i="6"/>
  <c r="BY30" i="6" s="1"/>
  <c r="AJ30" i="6"/>
  <c r="R30" i="6"/>
  <c r="Q30" i="6"/>
  <c r="P30" i="6"/>
  <c r="O30" i="6"/>
  <c r="CJ24" i="6"/>
  <c r="CH24" i="6"/>
  <c r="CC24" i="6"/>
  <c r="W89" i="6" s="1"/>
  <c r="CB24" i="6"/>
  <c r="W88" i="6" s="1"/>
  <c r="CA24" i="6"/>
  <c r="W87" i="6" s="1"/>
  <c r="BS24" i="6"/>
  <c r="M89" i="6" s="1"/>
  <c r="BR24" i="6"/>
  <c r="M88" i="6" s="1"/>
  <c r="BF24" i="6"/>
  <c r="BE24" i="6"/>
  <c r="BD24" i="6"/>
  <c r="BB24" i="6"/>
  <c r="AX24" i="6"/>
  <c r="AQ24" i="6"/>
  <c r="AO24" i="6"/>
  <c r="AN24" i="6"/>
  <c r="AM24" i="6"/>
  <c r="AL24" i="6"/>
  <c r="AI24" i="6"/>
  <c r="AH24" i="6"/>
  <c r="AG24" i="6"/>
  <c r="AB24" i="6"/>
  <c r="AA24" i="6"/>
  <c r="Z24" i="6"/>
  <c r="Y24" i="6"/>
  <c r="W24" i="6"/>
  <c r="V24" i="6"/>
  <c r="U24" i="6"/>
  <c r="T24" i="6"/>
  <c r="M24" i="6"/>
  <c r="L24" i="6"/>
  <c r="K24" i="6"/>
  <c r="J24" i="6"/>
  <c r="H24" i="6"/>
  <c r="G24" i="6"/>
  <c r="CJ23" i="6"/>
  <c r="CH23" i="6"/>
  <c r="CC23" i="6"/>
  <c r="CB23" i="6"/>
  <c r="CA23" i="6"/>
  <c r="BS23" i="6"/>
  <c r="BR23" i="6"/>
  <c r="BF23" i="6"/>
  <c r="BE23" i="6"/>
  <c r="BD23" i="6"/>
  <c r="BB23" i="6"/>
  <c r="AX23" i="6"/>
  <c r="AQ23" i="6"/>
  <c r="AO23" i="6"/>
  <c r="AN23" i="6"/>
  <c r="AM23" i="6"/>
  <c r="AL23" i="6"/>
  <c r="AI23" i="6"/>
  <c r="AH23" i="6"/>
  <c r="AG23" i="6"/>
  <c r="AB23" i="6"/>
  <c r="AA23" i="6"/>
  <c r="Z23" i="6"/>
  <c r="Y23" i="6"/>
  <c r="W23" i="6"/>
  <c r="V23" i="6"/>
  <c r="U23" i="6"/>
  <c r="T23" i="6"/>
  <c r="M23" i="6"/>
  <c r="L23" i="6"/>
  <c r="K23" i="6"/>
  <c r="J23" i="6"/>
  <c r="H23" i="6"/>
  <c r="G23" i="6"/>
  <c r="CG21" i="6"/>
  <c r="BY21" i="6"/>
  <c r="BX21" i="6"/>
  <c r="BW21" i="6"/>
  <c r="BV21" i="6"/>
  <c r="BL21" i="6"/>
  <c r="BK21" i="6"/>
  <c r="BJ21" i="6"/>
  <c r="BA21" i="6"/>
  <c r="AZ21" i="6"/>
  <c r="AW21" i="6"/>
  <c r="AV21" i="6"/>
  <c r="AJ21" i="6"/>
  <c r="R21" i="6"/>
  <c r="Q21" i="6"/>
  <c r="P21" i="6"/>
  <c r="O21" i="6"/>
  <c r="CG19" i="6"/>
  <c r="BY19" i="6"/>
  <c r="BX19" i="6"/>
  <c r="BW19" i="6"/>
  <c r="BV19" i="6"/>
  <c r="BL19" i="6"/>
  <c r="BK19" i="6"/>
  <c r="BJ19" i="6"/>
  <c r="BA19" i="6"/>
  <c r="AZ19" i="6"/>
  <c r="BQ19" i="6" s="1"/>
  <c r="AW19" i="6"/>
  <c r="AV19" i="6"/>
  <c r="AJ19" i="6"/>
  <c r="R19" i="6"/>
  <c r="Q19" i="6"/>
  <c r="P19" i="6"/>
  <c r="O19" i="6"/>
  <c r="CG17" i="6"/>
  <c r="BY17" i="6"/>
  <c r="BX17" i="6"/>
  <c r="BW17" i="6"/>
  <c r="BV17" i="6"/>
  <c r="BL17" i="6"/>
  <c r="BK17" i="6"/>
  <c r="BJ17" i="6"/>
  <c r="BA17" i="6"/>
  <c r="AZ17" i="6"/>
  <c r="AW17" i="6"/>
  <c r="AV17" i="6"/>
  <c r="AJ17" i="6"/>
  <c r="R17" i="6"/>
  <c r="Q17" i="6"/>
  <c r="P17" i="6"/>
  <c r="O17" i="6"/>
  <c r="CG15" i="6"/>
  <c r="BY15" i="6"/>
  <c r="BX15" i="6"/>
  <c r="BW15" i="6"/>
  <c r="BV15" i="6"/>
  <c r="BL15" i="6"/>
  <c r="BK15" i="6"/>
  <c r="BJ15" i="6"/>
  <c r="BA15" i="6"/>
  <c r="AZ15" i="6"/>
  <c r="BQ15" i="6" s="1"/>
  <c r="AW15" i="6"/>
  <c r="AV15" i="6"/>
  <c r="AJ15" i="6"/>
  <c r="R15" i="6"/>
  <c r="Q15" i="6"/>
  <c r="P15" i="6"/>
  <c r="O15" i="6"/>
  <c r="CG13" i="6"/>
  <c r="BY13" i="6"/>
  <c r="BX13" i="6"/>
  <c r="BW13" i="6"/>
  <c r="BV13" i="6"/>
  <c r="BL13" i="6"/>
  <c r="BK13" i="6"/>
  <c r="BJ13" i="6"/>
  <c r="BA13" i="6"/>
  <c r="AZ13" i="6"/>
  <c r="AW13" i="6"/>
  <c r="AV13" i="6"/>
  <c r="R13" i="6"/>
  <c r="Q13" i="6"/>
  <c r="P13" i="6"/>
  <c r="O13" i="6"/>
  <c r="CG11" i="6"/>
  <c r="BY11" i="6"/>
  <c r="BX11" i="6"/>
  <c r="BW11" i="6"/>
  <c r="BV11" i="6"/>
  <c r="BU11" i="6"/>
  <c r="BQ11" i="6"/>
  <c r="BN11" i="6"/>
  <c r="BH11" i="6"/>
  <c r="R11" i="6"/>
  <c r="Q11" i="6"/>
  <c r="P11" i="6"/>
  <c r="O11" i="6"/>
  <c r="G6" i="1"/>
  <c r="H5" i="1" s="1"/>
  <c r="G8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I38" i="1"/>
  <c r="J38" i="1"/>
  <c r="K38" i="1"/>
  <c r="L38" i="1"/>
  <c r="M38" i="1"/>
  <c r="N38" i="1"/>
  <c r="O38" i="1"/>
  <c r="Q38" i="1"/>
  <c r="R38" i="1"/>
  <c r="S38" i="1"/>
  <c r="H44" i="1"/>
  <c r="H47" i="1"/>
  <c r="AB47" i="1" s="1"/>
  <c r="Z60" i="1"/>
  <c r="Z61" i="1"/>
  <c r="G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B62" i="1"/>
  <c r="Z63" i="1"/>
  <c r="Z64" i="1"/>
  <c r="Z65" i="1"/>
  <c r="U71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G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Y155" i="1"/>
  <c r="Y160" i="1" s="1"/>
  <c r="Y162" i="1" s="1"/>
  <c r="G160" i="1"/>
  <c r="G162" i="1" s="1"/>
  <c r="H160" i="1"/>
  <c r="H162" i="1" s="1"/>
  <c r="I160" i="1"/>
  <c r="I162" i="1" s="1"/>
  <c r="J160" i="1"/>
  <c r="J162" i="1" s="1"/>
  <c r="K160" i="1"/>
  <c r="K162" i="1" s="1"/>
  <c r="L160" i="1"/>
  <c r="L162" i="1" s="1"/>
  <c r="M160" i="1"/>
  <c r="M162" i="1" s="1"/>
  <c r="N160" i="1"/>
  <c r="N162" i="1" s="1"/>
  <c r="O160" i="1"/>
  <c r="O162" i="1" s="1"/>
  <c r="P160" i="1"/>
  <c r="P162" i="1" s="1"/>
  <c r="Q160" i="1"/>
  <c r="Q162" i="1" s="1"/>
  <c r="R160" i="1"/>
  <c r="R162" i="1" s="1"/>
  <c r="S160" i="1"/>
  <c r="S162" i="1" s="1"/>
  <c r="T160" i="1"/>
  <c r="T162" i="1" s="1"/>
  <c r="U160" i="1"/>
  <c r="U162" i="1" s="1"/>
  <c r="V160" i="1"/>
  <c r="V162" i="1" s="1"/>
  <c r="W160" i="1"/>
  <c r="W162" i="1" s="1"/>
  <c r="X160" i="1"/>
  <c r="X162" i="1" s="1"/>
  <c r="Z160" i="1"/>
  <c r="Z162" i="1" s="1"/>
  <c r="AA160" i="1"/>
  <c r="AA162" i="1" s="1"/>
  <c r="H6" i="3"/>
  <c r="I5" i="3" s="1"/>
  <c r="H8" i="3"/>
  <c r="H153" i="3" s="1"/>
  <c r="H13" i="3"/>
  <c r="H24" i="3" s="1"/>
  <c r="H155" i="3" s="1"/>
  <c r="H157" i="3" s="1"/>
  <c r="I13" i="3"/>
  <c r="I24" i="3" s="1"/>
  <c r="I155" i="3" s="1"/>
  <c r="I157" i="3" s="1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J20" i="3"/>
  <c r="K20" i="3"/>
  <c r="L20" i="3"/>
  <c r="M20" i="3"/>
  <c r="M51" i="3" s="1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H60" i="3"/>
  <c r="H61" i="3" s="1"/>
  <c r="I61" i="3" s="1"/>
  <c r="P123" i="3" l="1"/>
  <c r="AC16" i="1" s="1"/>
  <c r="H123" i="3"/>
  <c r="O122" i="3"/>
  <c r="S122" i="3" s="1"/>
  <c r="H122" i="3"/>
  <c r="O124" i="3"/>
  <c r="S124" i="3" s="1"/>
  <c r="H124" i="3"/>
  <c r="Q121" i="3"/>
  <c r="H121" i="3"/>
  <c r="AD63" i="1"/>
  <c r="AH63" i="1"/>
  <c r="AL63" i="1"/>
  <c r="AP63" i="1"/>
  <c r="AT63" i="1"/>
  <c r="AD60" i="1"/>
  <c r="AD146" i="1" s="1"/>
  <c r="AH60" i="1"/>
  <c r="AL60" i="1"/>
  <c r="AP60" i="1"/>
  <c r="AT60" i="1"/>
  <c r="AF47" i="1"/>
  <c r="AJ47" i="1"/>
  <c r="AN47" i="1"/>
  <c r="AR47" i="1"/>
  <c r="AV47" i="1"/>
  <c r="AB117" i="1"/>
  <c r="AC117" i="1" s="1"/>
  <c r="AD117" i="1" s="1"/>
  <c r="AE117" i="1" s="1"/>
  <c r="AF117" i="1" s="1"/>
  <c r="AG117" i="1" s="1"/>
  <c r="AH117" i="1" s="1"/>
  <c r="AI117" i="1" s="1"/>
  <c r="AJ117" i="1" s="1"/>
  <c r="AK117" i="1" s="1"/>
  <c r="AL117" i="1" s="1"/>
  <c r="AM117" i="1" s="1"/>
  <c r="AN117" i="1" s="1"/>
  <c r="AO117" i="1" s="1"/>
  <c r="AP117" i="1" s="1"/>
  <c r="AQ117" i="1" s="1"/>
  <c r="AR117" i="1" s="1"/>
  <c r="AS117" i="1" s="1"/>
  <c r="AT117" i="1" s="1"/>
  <c r="AU117" i="1" s="1"/>
  <c r="AV117" i="1" s="1"/>
  <c r="AB38" i="1"/>
  <c r="AE38" i="1"/>
  <c r="AD38" i="1"/>
  <c r="AC38" i="1"/>
  <c r="AB37" i="1"/>
  <c r="AE37" i="1"/>
  <c r="AD37" i="1"/>
  <c r="AC37" i="1"/>
  <c r="AB32" i="1"/>
  <c r="AE32" i="1"/>
  <c r="AD32" i="1"/>
  <c r="AC32" i="1"/>
  <c r="Z24" i="1"/>
  <c r="Z27" i="1" s="1"/>
  <c r="Z35" i="1" s="1"/>
  <c r="Z39" i="1" s="1"/>
  <c r="AV34" i="1"/>
  <c r="AV62" i="1" s="1"/>
  <c r="AR62" i="1"/>
  <c r="AR124" i="1"/>
  <c r="AS124" i="1" s="1"/>
  <c r="AT124" i="1" s="1"/>
  <c r="AU124" i="1" s="1"/>
  <c r="AV124" i="1" s="1"/>
  <c r="AJ116" i="1"/>
  <c r="Z89" i="6"/>
  <c r="Y89" i="6"/>
  <c r="Z102" i="6"/>
  <c r="Z101" i="6"/>
  <c r="Z87" i="6"/>
  <c r="Y87" i="6"/>
  <c r="Z88" i="6"/>
  <c r="Y88" i="6"/>
  <c r="AL140" i="1"/>
  <c r="AL123" i="1"/>
  <c r="AN77" i="1"/>
  <c r="AK76" i="1"/>
  <c r="AB15" i="1"/>
  <c r="AB17" i="1"/>
  <c r="M24" i="1"/>
  <c r="M27" i="1" s="1"/>
  <c r="M35" i="1" s="1"/>
  <c r="J24" i="1"/>
  <c r="J27" i="1" s="1"/>
  <c r="V151" i="1"/>
  <c r="S24" i="1"/>
  <c r="S27" i="1" s="1"/>
  <c r="S35" i="1" s="1"/>
  <c r="S39" i="1" s="1"/>
  <c r="S42" i="1" s="1"/>
  <c r="S45" i="1" s="1"/>
  <c r="P24" i="1"/>
  <c r="P27" i="1" s="1"/>
  <c r="P35" i="1" s="1"/>
  <c r="P39" i="1" s="1"/>
  <c r="M39" i="1"/>
  <c r="I30" i="3"/>
  <c r="I29" i="3"/>
  <c r="H30" i="3"/>
  <c r="H29" i="3"/>
  <c r="AA24" i="1"/>
  <c r="AA27" i="1" s="1"/>
  <c r="AA35" i="1" s="1"/>
  <c r="AA39" i="1" s="1"/>
  <c r="AA42" i="1" s="1"/>
  <c r="AA48" i="1" s="1"/>
  <c r="AA51" i="1" s="1"/>
  <c r="K24" i="1"/>
  <c r="K27" i="1" s="1"/>
  <c r="K35" i="1" s="1"/>
  <c r="K39" i="1" s="1"/>
  <c r="X24" i="1"/>
  <c r="X27" i="1" s="1"/>
  <c r="X35" i="1" s="1"/>
  <c r="X39" i="1" s="1"/>
  <c r="H24" i="1"/>
  <c r="H27" i="1" s="1"/>
  <c r="H35" i="1" s="1"/>
  <c r="H39" i="1" s="1"/>
  <c r="H42" i="1" s="1"/>
  <c r="J35" i="1"/>
  <c r="J39" i="1" s="1"/>
  <c r="J58" i="1" s="1"/>
  <c r="J69" i="1" s="1"/>
  <c r="J73" i="1" s="1"/>
  <c r="J101" i="1" s="1"/>
  <c r="Q122" i="3"/>
  <c r="O123" i="3"/>
  <c r="Q124" i="3"/>
  <c r="P124" i="3"/>
  <c r="R124" i="3"/>
  <c r="R122" i="3"/>
  <c r="P122" i="3"/>
  <c r="L151" i="1"/>
  <c r="L164" i="1" s="1"/>
  <c r="AA151" i="1"/>
  <c r="AA164" i="1" s="1"/>
  <c r="K151" i="1"/>
  <c r="K164" i="1" s="1"/>
  <c r="V24" i="1"/>
  <c r="V27" i="1" s="1"/>
  <c r="V35" i="1" s="1"/>
  <c r="V39" i="1" s="1"/>
  <c r="N24" i="1"/>
  <c r="N27" i="1" s="1"/>
  <c r="N35" i="1" s="1"/>
  <c r="N39" i="1" s="1"/>
  <c r="N151" i="1"/>
  <c r="N164" i="1" s="1"/>
  <c r="T151" i="1"/>
  <c r="T164" i="1" s="1"/>
  <c r="W24" i="1"/>
  <c r="W27" i="1" s="1"/>
  <c r="W35" i="1" s="1"/>
  <c r="W39" i="1" s="1"/>
  <c r="W42" i="1" s="1"/>
  <c r="G24" i="1"/>
  <c r="G27" i="1" s="1"/>
  <c r="G35" i="1" s="1"/>
  <c r="G39" i="1" s="1"/>
  <c r="J151" i="1"/>
  <c r="J164" i="1" s="1"/>
  <c r="U24" i="1"/>
  <c r="U27" i="1" s="1"/>
  <c r="U35" i="1" s="1"/>
  <c r="U39" i="1" s="1"/>
  <c r="U42" i="1" s="1"/>
  <c r="M151" i="1"/>
  <c r="S151" i="1"/>
  <c r="S164" i="1" s="1"/>
  <c r="Z151" i="1"/>
  <c r="Z164" i="1" s="1"/>
  <c r="G151" i="1"/>
  <c r="G164" i="1" s="1"/>
  <c r="W151" i="1"/>
  <c r="W164" i="1" s="1"/>
  <c r="U151" i="1"/>
  <c r="U164" i="1" s="1"/>
  <c r="Q151" i="1"/>
  <c r="Q164" i="1" s="1"/>
  <c r="BH21" i="6"/>
  <c r="X151" i="1"/>
  <c r="X164" i="1" s="1"/>
  <c r="H151" i="1"/>
  <c r="H164" i="1" s="1"/>
  <c r="G9" i="1"/>
  <c r="T24" i="1"/>
  <c r="T27" i="1" s="1"/>
  <c r="T35" i="1" s="1"/>
  <c r="T39" i="1" s="1"/>
  <c r="G7" i="1"/>
  <c r="R24" i="1"/>
  <c r="R27" i="1" s="1"/>
  <c r="R35" i="1" s="1"/>
  <c r="R39" i="1" s="1"/>
  <c r="R58" i="1" s="1"/>
  <c r="R69" i="1" s="1"/>
  <c r="R73" i="1" s="1"/>
  <c r="R101" i="1" s="1"/>
  <c r="Q24" i="1"/>
  <c r="Q27" i="1" s="1"/>
  <c r="Q35" i="1" s="1"/>
  <c r="Q39" i="1" s="1"/>
  <c r="Q42" i="1" s="1"/>
  <c r="R151" i="1"/>
  <c r="R164" i="1" s="1"/>
  <c r="O24" i="1"/>
  <c r="O27" i="1" s="1"/>
  <c r="O35" i="1" s="1"/>
  <c r="O39" i="1" s="1"/>
  <c r="P151" i="1"/>
  <c r="P164" i="1" s="1"/>
  <c r="Y151" i="1"/>
  <c r="Y164" i="1" s="1"/>
  <c r="I151" i="1"/>
  <c r="I164" i="1" s="1"/>
  <c r="O151" i="1"/>
  <c r="O164" i="1" s="1"/>
  <c r="L24" i="1"/>
  <c r="L27" i="1" s="1"/>
  <c r="L35" i="1" s="1"/>
  <c r="L39" i="1" s="1"/>
  <c r="Y24" i="1"/>
  <c r="Y27" i="1" s="1"/>
  <c r="Y35" i="1" s="1"/>
  <c r="Y39" i="1" s="1"/>
  <c r="Y58" i="1" s="1"/>
  <c r="Y69" i="1" s="1"/>
  <c r="Y73" i="1" s="1"/>
  <c r="Y101" i="1" s="1"/>
  <c r="Y104" i="1" s="1"/>
  <c r="I24" i="1"/>
  <c r="I27" i="1" s="1"/>
  <c r="I35" i="1" s="1"/>
  <c r="I39" i="1" s="1"/>
  <c r="I58" i="1" s="1"/>
  <c r="I69" i="1" s="1"/>
  <c r="I73" i="1" s="1"/>
  <c r="I101" i="1" s="1"/>
  <c r="P51" i="3"/>
  <c r="Y44" i="3"/>
  <c r="V51" i="3"/>
  <c r="X51" i="3"/>
  <c r="P44" i="3"/>
  <c r="AB44" i="3"/>
  <c r="O24" i="3"/>
  <c r="O155" i="3" s="1"/>
  <c r="O157" i="3" s="1"/>
  <c r="W44" i="3"/>
  <c r="R51" i="3"/>
  <c r="V44" i="3"/>
  <c r="O51" i="3"/>
  <c r="N24" i="3"/>
  <c r="N155" i="3" s="1"/>
  <c r="N157" i="3" s="1"/>
  <c r="AB51" i="3"/>
  <c r="O44" i="3"/>
  <c r="U24" i="3"/>
  <c r="U155" i="3" s="1"/>
  <c r="U157" i="3" s="1"/>
  <c r="U44" i="3"/>
  <c r="S51" i="3"/>
  <c r="L119" i="3"/>
  <c r="L117" i="3"/>
  <c r="AA51" i="3"/>
  <c r="Z24" i="3"/>
  <c r="Z155" i="3" s="1"/>
  <c r="Z157" i="3" s="1"/>
  <c r="T51" i="3"/>
  <c r="W51" i="3"/>
  <c r="Z44" i="3"/>
  <c r="R44" i="3"/>
  <c r="W24" i="3"/>
  <c r="W155" i="3" s="1"/>
  <c r="W157" i="3" s="1"/>
  <c r="Q51" i="3"/>
  <c r="X44" i="3"/>
  <c r="V24" i="3"/>
  <c r="V155" i="3" s="1"/>
  <c r="V157" i="3" s="1"/>
  <c r="H62" i="3"/>
  <c r="I59" i="3"/>
  <c r="I60" i="3" s="1"/>
  <c r="J59" i="3" s="1"/>
  <c r="J60" i="3" s="1"/>
  <c r="K59" i="3" s="1"/>
  <c r="K60" i="3" s="1"/>
  <c r="S24" i="3"/>
  <c r="S155" i="3" s="1"/>
  <c r="S157" i="3" s="1"/>
  <c r="M24" i="3"/>
  <c r="M155" i="3" s="1"/>
  <c r="M157" i="3" s="1"/>
  <c r="AA24" i="3"/>
  <c r="AA155" i="3" s="1"/>
  <c r="AA157" i="3" s="1"/>
  <c r="U51" i="3"/>
  <c r="T24" i="3"/>
  <c r="T155" i="3" s="1"/>
  <c r="T157" i="3" s="1"/>
  <c r="H9" i="3"/>
  <c r="AE49" i="3"/>
  <c r="R24" i="3"/>
  <c r="R155" i="3" s="1"/>
  <c r="R157" i="3" s="1"/>
  <c r="H7" i="3"/>
  <c r="H152" i="3" s="1"/>
  <c r="AE53" i="3"/>
  <c r="AE45" i="3"/>
  <c r="AE47" i="3"/>
  <c r="K24" i="3"/>
  <c r="K155" i="3" s="1"/>
  <c r="K157" i="3" s="1"/>
  <c r="AE54" i="3"/>
  <c r="N51" i="3"/>
  <c r="Q44" i="3"/>
  <c r="J24" i="3"/>
  <c r="J155" i="3" s="1"/>
  <c r="J157" i="3" s="1"/>
  <c r="AE50" i="3"/>
  <c r="N44" i="3"/>
  <c r="M44" i="3"/>
  <c r="W103" i="6"/>
  <c r="Z103" i="6" s="1"/>
  <c r="BU40" i="6"/>
  <c r="BN36" i="6"/>
  <c r="CE36" i="6" s="1"/>
  <c r="BN40" i="6"/>
  <c r="CE40" i="6" s="1"/>
  <c r="Q26" i="6"/>
  <c r="Q25" i="6"/>
  <c r="BX25" i="6"/>
  <c r="BX26" i="6"/>
  <c r="AW25" i="6"/>
  <c r="AW26" i="6"/>
  <c r="AJ47" i="6"/>
  <c r="AJ45" i="6"/>
  <c r="AJ46" i="6"/>
  <c r="BV45" i="6"/>
  <c r="BV47" i="6"/>
  <c r="BV46" i="6"/>
  <c r="R25" i="6"/>
  <c r="R26" i="6"/>
  <c r="BY26" i="6"/>
  <c r="BY25" i="6"/>
  <c r="BQ13" i="6"/>
  <c r="AZ25" i="6"/>
  <c r="AZ26" i="6"/>
  <c r="AV45" i="6"/>
  <c r="AV47" i="6"/>
  <c r="AV46" i="6"/>
  <c r="BW46" i="6"/>
  <c r="BW45" i="6"/>
  <c r="BW47" i="6"/>
  <c r="CG25" i="6"/>
  <c r="CG26" i="6"/>
  <c r="BA25" i="6"/>
  <c r="BA26" i="6"/>
  <c r="AW47" i="6"/>
  <c r="AW46" i="6"/>
  <c r="AW45" i="6"/>
  <c r="BX45" i="6"/>
  <c r="BX46" i="6"/>
  <c r="BX47" i="6"/>
  <c r="BJ25" i="6"/>
  <c r="BJ26" i="6"/>
  <c r="AZ46" i="6"/>
  <c r="AZ45" i="6"/>
  <c r="AZ47" i="6"/>
  <c r="CG47" i="6"/>
  <c r="CZ33" i="6" s="1"/>
  <c r="CG45" i="6"/>
  <c r="CG46" i="6"/>
  <c r="CY33" i="6" s="1"/>
  <c r="BK25" i="6"/>
  <c r="BK26" i="6"/>
  <c r="O46" i="6"/>
  <c r="O47" i="6"/>
  <c r="O45" i="6"/>
  <c r="BA46" i="6"/>
  <c r="BA45" i="6"/>
  <c r="BA47" i="6"/>
  <c r="BL25" i="6"/>
  <c r="BL26" i="6"/>
  <c r="P47" i="6"/>
  <c r="P46" i="6"/>
  <c r="P45" i="6"/>
  <c r="BJ46" i="6"/>
  <c r="BJ47" i="6"/>
  <c r="BJ45" i="6"/>
  <c r="O25" i="6"/>
  <c r="O26" i="6"/>
  <c r="BV25" i="6"/>
  <c r="BV26" i="6"/>
  <c r="Q46" i="6"/>
  <c r="Q45" i="6"/>
  <c r="Q47" i="6"/>
  <c r="BK46" i="6"/>
  <c r="BK45" i="6"/>
  <c r="BK47" i="6"/>
  <c r="P25" i="6"/>
  <c r="P26" i="6"/>
  <c r="BW25" i="6"/>
  <c r="BW26" i="6"/>
  <c r="AV26" i="6"/>
  <c r="AV25" i="6"/>
  <c r="AJ25" i="6"/>
  <c r="AJ26" i="6"/>
  <c r="R46" i="6"/>
  <c r="R47" i="6"/>
  <c r="R45" i="6"/>
  <c r="BL46" i="6"/>
  <c r="BL45" i="6"/>
  <c r="BL47" i="6"/>
  <c r="BJ44" i="6"/>
  <c r="BU32" i="6"/>
  <c r="BN13" i="6"/>
  <c r="CE13" i="6" s="1"/>
  <c r="BH17" i="6"/>
  <c r="O24" i="6"/>
  <c r="BH34" i="6"/>
  <c r="BH36" i="6"/>
  <c r="BH38" i="6"/>
  <c r="BH13" i="6"/>
  <c r="BY24" i="6"/>
  <c r="BW44" i="6"/>
  <c r="AV24" i="6"/>
  <c r="BK44" i="6"/>
  <c r="BN19" i="6"/>
  <c r="CE19" i="6" s="1"/>
  <c r="BN21" i="6"/>
  <c r="CE21" i="6" s="1"/>
  <c r="BN32" i="6"/>
  <c r="CE32" i="6" s="1"/>
  <c r="BW24" i="6"/>
  <c r="AJ44" i="6"/>
  <c r="AV44" i="6"/>
  <c r="BH40" i="6"/>
  <c r="BY23" i="6"/>
  <c r="BU15" i="6"/>
  <c r="BQ17" i="6"/>
  <c r="BQ23" i="6" s="1"/>
  <c r="AW44" i="6"/>
  <c r="P24" i="6"/>
  <c r="Q44" i="6"/>
  <c r="AJ24" i="6"/>
  <c r="BU38" i="6"/>
  <c r="BN17" i="6"/>
  <c r="CE17" i="6" s="1"/>
  <c r="BH15" i="6"/>
  <c r="BU21" i="6"/>
  <c r="AV23" i="6"/>
  <c r="BH30" i="6"/>
  <c r="CG44" i="6"/>
  <c r="BU34" i="6"/>
  <c r="BQ36" i="6"/>
  <c r="BN30" i="6"/>
  <c r="R24" i="6"/>
  <c r="BH19" i="6"/>
  <c r="O44" i="6"/>
  <c r="BX24" i="6"/>
  <c r="P44" i="6"/>
  <c r="BK24" i="6"/>
  <c r="BU17" i="6"/>
  <c r="BX44" i="6"/>
  <c r="BU36" i="6"/>
  <c r="BN38" i="6"/>
  <c r="CE38" i="6" s="1"/>
  <c r="Q24" i="6"/>
  <c r="BV24" i="6"/>
  <c r="BV23" i="6"/>
  <c r="BN15" i="6"/>
  <c r="CE15" i="6" s="1"/>
  <c r="AW24" i="6"/>
  <c r="AW23" i="6"/>
  <c r="BU19" i="6"/>
  <c r="R44" i="6"/>
  <c r="BV44" i="6"/>
  <c r="BN34" i="6"/>
  <c r="CE34" i="6" s="1"/>
  <c r="CG24" i="6"/>
  <c r="CG23" i="6"/>
  <c r="BU13" i="6"/>
  <c r="BA24" i="6"/>
  <c r="BA23" i="6"/>
  <c r="CE11" i="6"/>
  <c r="BJ24" i="6"/>
  <c r="BQ32" i="6"/>
  <c r="BH32" i="6"/>
  <c r="AZ44" i="6"/>
  <c r="BA44" i="6"/>
  <c r="BL44" i="6"/>
  <c r="AJ23" i="6"/>
  <c r="BJ23" i="6"/>
  <c r="O23" i="6"/>
  <c r="AZ23" i="6"/>
  <c r="BK23" i="6"/>
  <c r="BW23" i="6"/>
  <c r="AZ24" i="6"/>
  <c r="BU30" i="6"/>
  <c r="P23" i="6"/>
  <c r="BL23" i="6"/>
  <c r="BX23" i="6"/>
  <c r="BL24" i="6"/>
  <c r="Q23" i="6"/>
  <c r="R23" i="6"/>
  <c r="J61" i="3"/>
  <c r="Z42" i="1"/>
  <c r="Z58" i="1"/>
  <c r="Z69" i="1" s="1"/>
  <c r="Z73" i="1" s="1"/>
  <c r="Z101" i="1" s="1"/>
  <c r="I6" i="3"/>
  <c r="I8" i="3"/>
  <c r="I153" i="3" s="1"/>
  <c r="Z51" i="3"/>
  <c r="AE46" i="3"/>
  <c r="M42" i="1"/>
  <c r="M58" i="1"/>
  <c r="M69" i="1" s="1"/>
  <c r="M73" i="1" s="1"/>
  <c r="M101" i="1" s="1"/>
  <c r="Y51" i="3"/>
  <c r="L44" i="3"/>
  <c r="Q24" i="3"/>
  <c r="Q155" i="3" s="1"/>
  <c r="Q157" i="3" s="1"/>
  <c r="AB24" i="3"/>
  <c r="AB155" i="3" s="1"/>
  <c r="AB157" i="3" s="1"/>
  <c r="AB158" i="3" s="1"/>
  <c r="AB163" i="3" s="1"/>
  <c r="L51" i="3"/>
  <c r="L24" i="3"/>
  <c r="L155" i="3" s="1"/>
  <c r="L157" i="3" s="1"/>
  <c r="P24" i="3"/>
  <c r="P155" i="3" s="1"/>
  <c r="P157" i="3" s="1"/>
  <c r="AE48" i="3"/>
  <c r="T44" i="3"/>
  <c r="Y24" i="3"/>
  <c r="Y155" i="3" s="1"/>
  <c r="Y157" i="3" s="1"/>
  <c r="Y42" i="1"/>
  <c r="AE52" i="3"/>
  <c r="X24" i="3"/>
  <c r="X155" i="3" s="1"/>
  <c r="X157" i="3" s="1"/>
  <c r="V164" i="1"/>
  <c r="AA44" i="3"/>
  <c r="S44" i="3"/>
  <c r="H6" i="1"/>
  <c r="H8" i="1"/>
  <c r="T123" i="3" l="1"/>
  <c r="P121" i="3"/>
  <c r="T121" i="3" s="1"/>
  <c r="R123" i="3"/>
  <c r="O121" i="3"/>
  <c r="AB14" i="1" s="1"/>
  <c r="R121" i="3"/>
  <c r="V121" i="3" s="1"/>
  <c r="Q123" i="3"/>
  <c r="Y158" i="3"/>
  <c r="Y163" i="3" s="1"/>
  <c r="AA158" i="3"/>
  <c r="AA163" i="3" s="1"/>
  <c r="G42" i="1"/>
  <c r="D41" i="1"/>
  <c r="AK116" i="1"/>
  <c r="AG32" i="1"/>
  <c r="AH68" i="1" s="1"/>
  <c r="AD68" i="1"/>
  <c r="AK32" i="1"/>
  <c r="AH32" i="1"/>
  <c r="AI68" i="1" s="1"/>
  <c r="AE68" i="1"/>
  <c r="AL32" i="1"/>
  <c r="AI32" i="1"/>
  <c r="AJ68" i="1" s="1"/>
  <c r="AF68" i="1"/>
  <c r="AM32" i="1"/>
  <c r="AC68" i="1"/>
  <c r="AF32" i="1"/>
  <c r="AC70" i="1"/>
  <c r="AG37" i="1"/>
  <c r="AH37" i="1"/>
  <c r="AH70" i="1" s="1"/>
  <c r="AD70" i="1"/>
  <c r="AL37" i="1"/>
  <c r="AE70" i="1"/>
  <c r="AI37" i="1"/>
  <c r="AB70" i="1"/>
  <c r="AF37" i="1"/>
  <c r="AC71" i="1"/>
  <c r="AG38" i="1"/>
  <c r="AD71" i="1"/>
  <c r="AH38" i="1"/>
  <c r="AE71" i="1"/>
  <c r="AI38" i="1"/>
  <c r="AB71" i="1"/>
  <c r="AF38" i="1"/>
  <c r="AD150" i="1"/>
  <c r="AE146" i="1"/>
  <c r="DA33" i="6"/>
  <c r="AM140" i="1"/>
  <c r="AM123" i="1"/>
  <c r="AO77" i="1"/>
  <c r="AL76" i="1"/>
  <c r="M158" i="3"/>
  <c r="M163" i="3" s="1"/>
  <c r="U158" i="3"/>
  <c r="U163" i="3" s="1"/>
  <c r="P158" i="3"/>
  <c r="P163" i="3" s="1"/>
  <c r="V158" i="3"/>
  <c r="V163" i="3" s="1"/>
  <c r="J158" i="3"/>
  <c r="J163" i="3" s="1"/>
  <c r="S158" i="3"/>
  <c r="S163" i="3" s="1"/>
  <c r="L158" i="3"/>
  <c r="L163" i="3" s="1"/>
  <c r="K158" i="3"/>
  <c r="K163" i="3" s="1"/>
  <c r="N158" i="3"/>
  <c r="N163" i="3" s="1"/>
  <c r="W158" i="3"/>
  <c r="W163" i="3" s="1"/>
  <c r="Q158" i="3"/>
  <c r="Q163" i="3" s="1"/>
  <c r="R158" i="3"/>
  <c r="R163" i="3" s="1"/>
  <c r="O158" i="3"/>
  <c r="O163" i="3" s="1"/>
  <c r="Z158" i="3"/>
  <c r="Z163" i="3" s="1"/>
  <c r="H158" i="3"/>
  <c r="T158" i="3"/>
  <c r="T163" i="3" s="1"/>
  <c r="X158" i="3"/>
  <c r="X163" i="3" s="1"/>
  <c r="I158" i="3"/>
  <c r="I163" i="3" s="1"/>
  <c r="AD14" i="1"/>
  <c r="V122" i="3"/>
  <c r="AE15" i="1"/>
  <c r="V124" i="3"/>
  <c r="AE17" i="1"/>
  <c r="V123" i="3"/>
  <c r="AE16" i="1"/>
  <c r="T124" i="3"/>
  <c r="AC17" i="1"/>
  <c r="U124" i="3"/>
  <c r="AD17" i="1"/>
  <c r="W124" i="3"/>
  <c r="AF17" i="1"/>
  <c r="S123" i="3"/>
  <c r="AB16" i="1"/>
  <c r="T122" i="3"/>
  <c r="AC15" i="1"/>
  <c r="U123" i="3"/>
  <c r="AD16" i="1"/>
  <c r="W122" i="3"/>
  <c r="AF15" i="1"/>
  <c r="U122" i="3"/>
  <c r="AH15" i="1" s="1"/>
  <c r="AD15" i="1"/>
  <c r="X123" i="3"/>
  <c r="AG16" i="1"/>
  <c r="AA58" i="1"/>
  <c r="AA69" i="1" s="1"/>
  <c r="AA73" i="1" s="1"/>
  <c r="AA101" i="1" s="1"/>
  <c r="I42" i="1"/>
  <c r="P58" i="1"/>
  <c r="P69" i="1" s="1"/>
  <c r="P73" i="1" s="1"/>
  <c r="P101" i="1" s="1"/>
  <c r="P42" i="1"/>
  <c r="P48" i="1" s="1"/>
  <c r="P51" i="1" s="1"/>
  <c r="H58" i="1"/>
  <c r="H69" i="1" s="1"/>
  <c r="H73" i="1" s="1"/>
  <c r="H101" i="1" s="1"/>
  <c r="X58" i="1"/>
  <c r="X69" i="1" s="1"/>
  <c r="X73" i="1" s="1"/>
  <c r="X101" i="1" s="1"/>
  <c r="X42" i="1"/>
  <c r="X48" i="1" s="1"/>
  <c r="X51" i="1" s="1"/>
  <c r="K42" i="1"/>
  <c r="K58" i="1"/>
  <c r="K69" i="1" s="1"/>
  <c r="K73" i="1" s="1"/>
  <c r="K101" i="1" s="1"/>
  <c r="R42" i="1"/>
  <c r="R48" i="1" s="1"/>
  <c r="R51" i="1" s="1"/>
  <c r="Q58" i="1"/>
  <c r="Q69" i="1" s="1"/>
  <c r="Q73" i="1" s="1"/>
  <c r="Q101" i="1" s="1"/>
  <c r="AA45" i="1"/>
  <c r="R29" i="3"/>
  <c r="R30" i="3"/>
  <c r="O30" i="3"/>
  <c r="O29" i="3"/>
  <c r="Z30" i="3"/>
  <c r="Z29" i="3"/>
  <c r="P30" i="3"/>
  <c r="P29" i="3"/>
  <c r="T29" i="3"/>
  <c r="T30" i="3"/>
  <c r="Y30" i="3"/>
  <c r="Y29" i="3"/>
  <c r="L55" i="3"/>
  <c r="L30" i="3"/>
  <c r="L29" i="3"/>
  <c r="AA29" i="3"/>
  <c r="AA30" i="3"/>
  <c r="AB30" i="3"/>
  <c r="AB29" i="3"/>
  <c r="M55" i="3"/>
  <c r="M30" i="3"/>
  <c r="M29" i="3"/>
  <c r="X30" i="3"/>
  <c r="X29" i="3"/>
  <c r="Q29" i="3"/>
  <c r="Q30" i="3"/>
  <c r="J30" i="3"/>
  <c r="J29" i="3"/>
  <c r="S29" i="3"/>
  <c r="S30" i="3"/>
  <c r="V30" i="3"/>
  <c r="V29" i="3"/>
  <c r="U29" i="3"/>
  <c r="U30" i="3"/>
  <c r="K30" i="3"/>
  <c r="K29" i="3"/>
  <c r="N30" i="3"/>
  <c r="N29" i="3"/>
  <c r="W30" i="3"/>
  <c r="W29" i="3"/>
  <c r="E17" i="3"/>
  <c r="E18" i="3"/>
  <c r="E19" i="3"/>
  <c r="E21" i="3"/>
  <c r="E22" i="3"/>
  <c r="E23" i="3"/>
  <c r="E14" i="3"/>
  <c r="E16" i="3"/>
  <c r="E15" i="3"/>
  <c r="U121" i="3"/>
  <c r="S121" i="3"/>
  <c r="J42" i="1"/>
  <c r="J48" i="1" s="1"/>
  <c r="J51" i="1" s="1"/>
  <c r="Y112" i="1"/>
  <c r="Y118" i="1" s="1"/>
  <c r="Y129" i="1" s="1"/>
  <c r="Y166" i="1" s="1"/>
  <c r="Y167" i="1" s="1"/>
  <c r="Z103" i="1"/>
  <c r="Z104" i="1"/>
  <c r="N42" i="1"/>
  <c r="N45" i="1" s="1"/>
  <c r="N58" i="1"/>
  <c r="N69" i="1" s="1"/>
  <c r="N73" i="1" s="1"/>
  <c r="N101" i="1" s="1"/>
  <c r="M164" i="1"/>
  <c r="S58" i="1"/>
  <c r="S69" i="1" s="1"/>
  <c r="S73" i="1" s="1"/>
  <c r="S101" i="1" s="1"/>
  <c r="S48" i="1"/>
  <c r="S51" i="1" s="1"/>
  <c r="U58" i="1"/>
  <c r="U69" i="1" s="1"/>
  <c r="U73" i="1" s="1"/>
  <c r="U101" i="1" s="1"/>
  <c r="U104" i="1" s="1"/>
  <c r="G58" i="1"/>
  <c r="G69" i="1" s="1"/>
  <c r="G73" i="1" s="1"/>
  <c r="G101" i="1" s="1"/>
  <c r="G104" i="1" s="1"/>
  <c r="W58" i="1"/>
  <c r="W69" i="1" s="1"/>
  <c r="W73" i="1" s="1"/>
  <c r="W101" i="1" s="1"/>
  <c r="BQ24" i="6"/>
  <c r="M87" i="6" s="1"/>
  <c r="N55" i="3"/>
  <c r="S55" i="3"/>
  <c r="O55" i="3"/>
  <c r="AA55" i="3"/>
  <c r="J62" i="3"/>
  <c r="R55" i="3"/>
  <c r="M118" i="3"/>
  <c r="Z55" i="3"/>
  <c r="Q55" i="3"/>
  <c r="I62" i="3"/>
  <c r="V55" i="3"/>
  <c r="AE44" i="3"/>
  <c r="W55" i="3"/>
  <c r="X55" i="3"/>
  <c r="BQ26" i="6"/>
  <c r="N87" i="6" s="1"/>
  <c r="BH25" i="6"/>
  <c r="BU26" i="6"/>
  <c r="BN25" i="6"/>
  <c r="CE25" i="6"/>
  <c r="CE26" i="6"/>
  <c r="BQ46" i="6"/>
  <c r="L101" i="6" s="1"/>
  <c r="BQ47" i="6"/>
  <c r="N101" i="6" s="1"/>
  <c r="BQ45" i="6"/>
  <c r="CE30" i="6"/>
  <c r="CE44" i="6" s="1"/>
  <c r="BN45" i="6"/>
  <c r="BN47" i="6"/>
  <c r="BN46" i="6"/>
  <c r="BN26" i="6"/>
  <c r="BU47" i="6"/>
  <c r="BU45" i="6"/>
  <c r="BU46" i="6"/>
  <c r="BH47" i="6"/>
  <c r="BH46" i="6"/>
  <c r="BH45" i="6"/>
  <c r="BU25" i="6"/>
  <c r="BH26" i="6"/>
  <c r="BQ25" i="6"/>
  <c r="BH23" i="6"/>
  <c r="BU44" i="6"/>
  <c r="BH24" i="6"/>
  <c r="BH44" i="6"/>
  <c r="BN23" i="6"/>
  <c r="BQ44" i="6"/>
  <c r="BU24" i="6"/>
  <c r="BU23" i="6"/>
  <c r="BN24" i="6"/>
  <c r="CE24" i="6"/>
  <c r="CE23" i="6"/>
  <c r="BN44" i="6"/>
  <c r="T58" i="1"/>
  <c r="T69" i="1" s="1"/>
  <c r="T73" i="1" s="1"/>
  <c r="T101" i="1" s="1"/>
  <c r="T42" i="1"/>
  <c r="H48" i="1"/>
  <c r="H51" i="1" s="1"/>
  <c r="H45" i="1"/>
  <c r="K61" i="3"/>
  <c r="G45" i="1"/>
  <c r="G48" i="1"/>
  <c r="I48" i="1"/>
  <c r="I51" i="1" s="1"/>
  <c r="I45" i="1"/>
  <c r="I5" i="1"/>
  <c r="H7" i="1"/>
  <c r="H9" i="1"/>
  <c r="V42" i="1"/>
  <c r="V58" i="1"/>
  <c r="V69" i="1" s="1"/>
  <c r="V73" i="1" s="1"/>
  <c r="V101" i="1" s="1"/>
  <c r="Z48" i="1"/>
  <c r="Z51" i="1" s="1"/>
  <c r="Z45" i="1"/>
  <c r="P55" i="3"/>
  <c r="T55" i="3"/>
  <c r="P45" i="1"/>
  <c r="AB55" i="3"/>
  <c r="O42" i="1"/>
  <c r="O58" i="1"/>
  <c r="O69" i="1" s="1"/>
  <c r="O73" i="1" s="1"/>
  <c r="O101" i="1" s="1"/>
  <c r="U48" i="1"/>
  <c r="U51" i="1" s="1"/>
  <c r="U45" i="1"/>
  <c r="W45" i="1"/>
  <c r="W48" i="1"/>
  <c r="W51" i="1" s="1"/>
  <c r="AE51" i="3"/>
  <c r="M48" i="1"/>
  <c r="M51" i="1" s="1"/>
  <c r="M45" i="1"/>
  <c r="I7" i="3"/>
  <c r="I152" i="3" s="1"/>
  <c r="I9" i="3"/>
  <c r="J5" i="3"/>
  <c r="K62" i="3"/>
  <c r="L59" i="3"/>
  <c r="L60" i="3" s="1"/>
  <c r="L62" i="3" s="1"/>
  <c r="Q48" i="1"/>
  <c r="Q51" i="1" s="1"/>
  <c r="Q45" i="1"/>
  <c r="Y55" i="3"/>
  <c r="Y48" i="1"/>
  <c r="Y51" i="1" s="1"/>
  <c r="Y45" i="1"/>
  <c r="L58" i="1"/>
  <c r="L69" i="1" s="1"/>
  <c r="L73" i="1" s="1"/>
  <c r="L101" i="1" s="1"/>
  <c r="L42" i="1"/>
  <c r="U55" i="3"/>
  <c r="AE14" i="1" l="1"/>
  <c r="AC14" i="1"/>
  <c r="G51" i="1"/>
  <c r="D157" i="3"/>
  <c r="AE150" i="1"/>
  <c r="AF146" i="1"/>
  <c r="AF71" i="1"/>
  <c r="AJ38" i="1"/>
  <c r="AI71" i="1"/>
  <c r="AM38" i="1"/>
  <c r="AH71" i="1"/>
  <c r="AL38" i="1"/>
  <c r="AG71" i="1"/>
  <c r="AK38" i="1"/>
  <c r="AF70" i="1"/>
  <c r="AJ37" i="1"/>
  <c r="AI70" i="1"/>
  <c r="AM37" i="1"/>
  <c r="AL70" i="1"/>
  <c r="AP37" i="1"/>
  <c r="AG70" i="1"/>
  <c r="AK37" i="1"/>
  <c r="AG68" i="1"/>
  <c r="AJ32" i="1"/>
  <c r="AN68" i="1"/>
  <c r="AQ32" i="1"/>
  <c r="AM68" i="1"/>
  <c r="AP32" i="1"/>
  <c r="AL68" i="1"/>
  <c r="AO32" i="1"/>
  <c r="AL116" i="1"/>
  <c r="D44" i="1"/>
  <c r="M101" i="6"/>
  <c r="BQ72" i="6"/>
  <c r="AN140" i="1"/>
  <c r="AN123" i="1"/>
  <c r="AP77" i="1"/>
  <c r="AM76" i="1"/>
  <c r="E157" i="3"/>
  <c r="H163" i="3"/>
  <c r="E163" i="3" s="1"/>
  <c r="AB13" i="1"/>
  <c r="AF14" i="1"/>
  <c r="AH14" i="1"/>
  <c r="AG14" i="1"/>
  <c r="AI14" i="1"/>
  <c r="I39" i="3"/>
  <c r="I38" i="3"/>
  <c r="I37" i="3"/>
  <c r="AD13" i="1"/>
  <c r="AB123" i="3"/>
  <c r="AK16" i="1"/>
  <c r="Z123" i="3"/>
  <c r="AI16" i="1"/>
  <c r="AC13" i="1"/>
  <c r="Z124" i="3"/>
  <c r="AI17" i="1"/>
  <c r="E30" i="3"/>
  <c r="X121" i="3"/>
  <c r="AK14" i="1" s="1"/>
  <c r="AA122" i="3"/>
  <c r="AJ15" i="1"/>
  <c r="Z121" i="3"/>
  <c r="AM14" i="1" s="1"/>
  <c r="Y123" i="3"/>
  <c r="AH16" i="1"/>
  <c r="E29" i="3"/>
  <c r="AA124" i="3"/>
  <c r="AJ17" i="1"/>
  <c r="Y122" i="3"/>
  <c r="AL15" i="1" s="1"/>
  <c r="X122" i="3"/>
  <c r="AG15" i="1"/>
  <c r="Y124" i="3"/>
  <c r="AH17" i="1"/>
  <c r="AE13" i="1"/>
  <c r="W123" i="3"/>
  <c r="AF16" i="1"/>
  <c r="X124" i="3"/>
  <c r="AG17" i="1"/>
  <c r="Z122" i="3"/>
  <c r="AI15" i="1"/>
  <c r="X45" i="1"/>
  <c r="R45" i="1"/>
  <c r="K45" i="1"/>
  <c r="K48" i="1"/>
  <c r="J45" i="1"/>
  <c r="Y121" i="3"/>
  <c r="AL14" i="1" s="1"/>
  <c r="W121" i="3"/>
  <c r="AJ14" i="1" s="1"/>
  <c r="U112" i="1"/>
  <c r="U118" i="1" s="1"/>
  <c r="U129" i="1" s="1"/>
  <c r="U166" i="1" s="1"/>
  <c r="U167" i="1" s="1"/>
  <c r="V103" i="1"/>
  <c r="V104" i="1" s="1"/>
  <c r="H103" i="1"/>
  <c r="H104" i="1" s="1"/>
  <c r="G112" i="1"/>
  <c r="G118" i="1" s="1"/>
  <c r="G129" i="1" s="1"/>
  <c r="G166" i="1" s="1"/>
  <c r="G167" i="1" s="1"/>
  <c r="AA103" i="1"/>
  <c r="AA104" i="1" s="1"/>
  <c r="Z112" i="1"/>
  <c r="Z118" i="1" s="1"/>
  <c r="Z129" i="1" s="1"/>
  <c r="Z166" i="1" s="1"/>
  <c r="Z167" i="1" s="1"/>
  <c r="N48" i="1"/>
  <c r="N51" i="1" s="1"/>
  <c r="M119" i="3"/>
  <c r="M117" i="3"/>
  <c r="AE55" i="3"/>
  <c r="L88" i="6"/>
  <c r="L87" i="6"/>
  <c r="CE47" i="6"/>
  <c r="CE45" i="6"/>
  <c r="CE46" i="6"/>
  <c r="J6" i="3"/>
  <c r="J8" i="3"/>
  <c r="J153" i="3" s="1"/>
  <c r="I8" i="1"/>
  <c r="I6" i="1"/>
  <c r="L61" i="3"/>
  <c r="T48" i="1"/>
  <c r="T51" i="1" s="1"/>
  <c r="T45" i="1"/>
  <c r="V48" i="1"/>
  <c r="V51" i="1" s="1"/>
  <c r="V45" i="1"/>
  <c r="O45" i="1"/>
  <c r="O48" i="1"/>
  <c r="O51" i="1" s="1"/>
  <c r="L48" i="1"/>
  <c r="L51" i="1" s="1"/>
  <c r="L45" i="1"/>
  <c r="K51" i="1" l="1"/>
  <c r="D50" i="1"/>
  <c r="AM116" i="1"/>
  <c r="AP68" i="1"/>
  <c r="AS32" i="1"/>
  <c r="AT68" i="1" s="1"/>
  <c r="AQ68" i="1"/>
  <c r="AT32" i="1"/>
  <c r="AU68" i="1" s="1"/>
  <c r="AR68" i="1"/>
  <c r="AU32" i="1"/>
  <c r="AV68" i="1" s="1"/>
  <c r="AK68" i="1"/>
  <c r="AN32" i="1"/>
  <c r="AK70" i="1"/>
  <c r="AO37" i="1"/>
  <c r="AP70" i="1"/>
  <c r="AT37" i="1"/>
  <c r="AT70" i="1" s="1"/>
  <c r="AM70" i="1"/>
  <c r="AQ37" i="1"/>
  <c r="AJ70" i="1"/>
  <c r="AN37" i="1"/>
  <c r="AK71" i="1"/>
  <c r="AO38" i="1"/>
  <c r="AO71" i="1" s="1"/>
  <c r="AS38" i="1"/>
  <c r="AS71" i="1" s="1"/>
  <c r="AL71" i="1"/>
  <c r="AP38" i="1"/>
  <c r="AM71" i="1"/>
  <c r="AQ38" i="1"/>
  <c r="AJ71" i="1"/>
  <c r="AN38" i="1"/>
  <c r="AF150" i="1"/>
  <c r="AG146" i="1"/>
  <c r="AO140" i="1"/>
  <c r="AO123" i="1"/>
  <c r="AQ77" i="1"/>
  <c r="AN76" i="1"/>
  <c r="AF13" i="1"/>
  <c r="D109" i="3"/>
  <c r="E26" i="1" s="1"/>
  <c r="E132" i="3"/>
  <c r="AI13" i="1"/>
  <c r="AG13" i="1"/>
  <c r="AD121" i="3"/>
  <c r="AQ14" i="1" s="1"/>
  <c r="AH13" i="1"/>
  <c r="AD122" i="3"/>
  <c r="AM15" i="1"/>
  <c r="AC124" i="3"/>
  <c r="AL17" i="1"/>
  <c r="AC123" i="3"/>
  <c r="AL16" i="1"/>
  <c r="AB122" i="3"/>
  <c r="AK15" i="1"/>
  <c r="AB124" i="3"/>
  <c r="AK17" i="1"/>
  <c r="AB121" i="3"/>
  <c r="AO14" i="1" s="1"/>
  <c r="AC122" i="3"/>
  <c r="AP15" i="1" s="1"/>
  <c r="AA123" i="3"/>
  <c r="AJ16" i="1"/>
  <c r="AJ13" i="1" s="1"/>
  <c r="AD124" i="3"/>
  <c r="AM17" i="1"/>
  <c r="AD123" i="3"/>
  <c r="AM16" i="1"/>
  <c r="AE124" i="3"/>
  <c r="AN17" i="1"/>
  <c r="AE122" i="3"/>
  <c r="AN15" i="1"/>
  <c r="AF123" i="3"/>
  <c r="AS16" i="1" s="1"/>
  <c r="AO16" i="1"/>
  <c r="AC121" i="3"/>
  <c r="AA121" i="3"/>
  <c r="AN14" i="1" s="1"/>
  <c r="H112" i="1"/>
  <c r="H118" i="1" s="1"/>
  <c r="H129" i="1" s="1"/>
  <c r="H166" i="1" s="1"/>
  <c r="H167" i="1" s="1"/>
  <c r="I103" i="1"/>
  <c r="I104" i="1" s="1"/>
  <c r="I112" i="1" s="1"/>
  <c r="I118" i="1" s="1"/>
  <c r="I129" i="1" s="1"/>
  <c r="I166" i="1" s="1"/>
  <c r="I167" i="1" s="1"/>
  <c r="W103" i="1"/>
  <c r="W104" i="1" s="1"/>
  <c r="V112" i="1"/>
  <c r="V118" i="1" s="1"/>
  <c r="V129" i="1" s="1"/>
  <c r="V166" i="1" s="1"/>
  <c r="V167" i="1" s="1"/>
  <c r="AB103" i="1"/>
  <c r="AA112" i="1"/>
  <c r="AA118" i="1" s="1"/>
  <c r="AA129" i="1" s="1"/>
  <c r="AA166" i="1" s="1"/>
  <c r="AA167" i="1" s="1"/>
  <c r="N118" i="3"/>
  <c r="L138" i="3" s="1"/>
  <c r="J9" i="3"/>
  <c r="K5" i="3"/>
  <c r="J7" i="3"/>
  <c r="J152" i="3" s="1"/>
  <c r="I9" i="1"/>
  <c r="J5" i="1"/>
  <c r="I7" i="1"/>
  <c r="M61" i="3"/>
  <c r="AG150" i="1" l="1"/>
  <c r="AH146" i="1"/>
  <c r="AR38" i="1"/>
  <c r="AN71" i="1"/>
  <c r="AU38" i="1"/>
  <c r="AU71" i="1" s="1"/>
  <c r="AQ71" i="1"/>
  <c r="AP71" i="1"/>
  <c r="AT38" i="1"/>
  <c r="AT71" i="1" s="1"/>
  <c r="AR37" i="1"/>
  <c r="AR70" i="1" s="1"/>
  <c r="AN70" i="1"/>
  <c r="AV37" i="1"/>
  <c r="AV70" i="1" s="1"/>
  <c r="AQ70" i="1"/>
  <c r="AU37" i="1"/>
  <c r="AU70" i="1" s="1"/>
  <c r="AO70" i="1"/>
  <c r="AS37" i="1"/>
  <c r="AS70" i="1" s="1"/>
  <c r="AO68" i="1"/>
  <c r="AR32" i="1"/>
  <c r="AN116" i="1"/>
  <c r="AP140" i="1"/>
  <c r="AP123" i="1"/>
  <c r="AR77" i="1"/>
  <c r="AO76" i="1"/>
  <c r="AH121" i="3"/>
  <c r="AU14" i="1" s="1"/>
  <c r="J39" i="3"/>
  <c r="J38" i="3"/>
  <c r="J37" i="3"/>
  <c r="AK13" i="1"/>
  <c r="AF121" i="3"/>
  <c r="AS14" i="1" s="1"/>
  <c r="AM13" i="1"/>
  <c r="AL13" i="1"/>
  <c r="AH123" i="3"/>
  <c r="AU16" i="1" s="1"/>
  <c r="AQ16" i="1"/>
  <c r="AH124" i="3"/>
  <c r="AU17" i="1" s="1"/>
  <c r="AQ17" i="1"/>
  <c r="AG121" i="3"/>
  <c r="AT14" i="1" s="1"/>
  <c r="AP14" i="1"/>
  <c r="AG123" i="3"/>
  <c r="AT16" i="1" s="1"/>
  <c r="AP16" i="1"/>
  <c r="AE123" i="3"/>
  <c r="AN16" i="1"/>
  <c r="AN13" i="1" s="1"/>
  <c r="AG124" i="3"/>
  <c r="AT17" i="1" s="1"/>
  <c r="AP17" i="1"/>
  <c r="AH122" i="3"/>
  <c r="AU15" i="1" s="1"/>
  <c r="AQ15" i="1"/>
  <c r="AG122" i="3"/>
  <c r="AT15" i="1" s="1"/>
  <c r="AI122" i="3"/>
  <c r="AV15" i="1" s="1"/>
  <c r="AR15" i="1"/>
  <c r="AF124" i="3"/>
  <c r="AS17" i="1" s="1"/>
  <c r="AO17" i="1"/>
  <c r="AI124" i="3"/>
  <c r="AV17" i="1" s="1"/>
  <c r="AR17" i="1"/>
  <c r="AF122" i="3"/>
  <c r="AS15" i="1" s="1"/>
  <c r="AO15" i="1"/>
  <c r="AE121" i="3"/>
  <c r="AR14" i="1" s="1"/>
  <c r="J103" i="1"/>
  <c r="J104" i="1" s="1"/>
  <c r="K103" i="1" s="1"/>
  <c r="K104" i="1" s="1"/>
  <c r="X103" i="1"/>
  <c r="X104" i="1" s="1"/>
  <c r="X112" i="1" s="1"/>
  <c r="X118" i="1" s="1"/>
  <c r="X129" i="1" s="1"/>
  <c r="X166" i="1" s="1"/>
  <c r="X167" i="1" s="1"/>
  <c r="W112" i="1"/>
  <c r="W118" i="1" s="1"/>
  <c r="W129" i="1" s="1"/>
  <c r="W166" i="1" s="1"/>
  <c r="W167" i="1" s="1"/>
  <c r="N117" i="3"/>
  <c r="L137" i="3" s="1"/>
  <c r="N119" i="3"/>
  <c r="L139" i="3" s="1"/>
  <c r="J8" i="1"/>
  <c r="J6" i="1"/>
  <c r="K6" i="3"/>
  <c r="K8" i="3"/>
  <c r="K153" i="3" s="1"/>
  <c r="AO116" i="1" l="1"/>
  <c r="AS68" i="1"/>
  <c r="AV32" i="1"/>
  <c r="AR71" i="1"/>
  <c r="AV38" i="1"/>
  <c r="AV71" i="1" s="1"/>
  <c r="AH150" i="1"/>
  <c r="AI146" i="1"/>
  <c r="AQ140" i="1"/>
  <c r="AQ123" i="1"/>
  <c r="AS77" i="1"/>
  <c r="AP76" i="1"/>
  <c r="AU13" i="1"/>
  <c r="AO13" i="1"/>
  <c r="AS13" i="1"/>
  <c r="AI123" i="3"/>
  <c r="AV16" i="1" s="1"/>
  <c r="AR16" i="1"/>
  <c r="AR13" i="1" s="1"/>
  <c r="AP13" i="1"/>
  <c r="AT13" i="1"/>
  <c r="AQ13" i="1"/>
  <c r="AI121" i="3"/>
  <c r="J112" i="1"/>
  <c r="J118" i="1" s="1"/>
  <c r="J129" i="1" s="1"/>
  <c r="J166" i="1" s="1"/>
  <c r="J167" i="1" s="1"/>
  <c r="L103" i="1"/>
  <c r="L104" i="1" s="1"/>
  <c r="K112" i="1"/>
  <c r="K118" i="1" s="1"/>
  <c r="K129" i="1" s="1"/>
  <c r="K166" i="1" s="1"/>
  <c r="K167" i="1" s="1"/>
  <c r="O118" i="3"/>
  <c r="J9" i="1"/>
  <c r="J7" i="1"/>
  <c r="K5" i="1"/>
  <c r="K7" i="3"/>
  <c r="K152" i="3" s="1"/>
  <c r="K9" i="3"/>
  <c r="L5" i="3"/>
  <c r="AI150" i="1" l="1"/>
  <c r="AJ146" i="1"/>
  <c r="AP116" i="1"/>
  <c r="AR140" i="1"/>
  <c r="AR123" i="1"/>
  <c r="AT77" i="1"/>
  <c r="AQ76" i="1"/>
  <c r="M138" i="3"/>
  <c r="H186" i="3" s="1"/>
  <c r="H167" i="3"/>
  <c r="K39" i="3"/>
  <c r="K38" i="3"/>
  <c r="K37" i="3"/>
  <c r="AV14" i="1"/>
  <c r="M103" i="1"/>
  <c r="M104" i="1" s="1"/>
  <c r="L112" i="1"/>
  <c r="L118" i="1" s="1"/>
  <c r="L129" i="1" s="1"/>
  <c r="L166" i="1" s="1"/>
  <c r="L167" i="1" s="1"/>
  <c r="O119" i="3"/>
  <c r="M139" i="3" s="1"/>
  <c r="O117" i="3"/>
  <c r="L8" i="3"/>
  <c r="L153" i="3" s="1"/>
  <c r="L6" i="3"/>
  <c r="K6" i="1"/>
  <c r="K8" i="1"/>
  <c r="AQ116" i="1" l="1"/>
  <c r="AJ150" i="1"/>
  <c r="AK146" i="1"/>
  <c r="AS140" i="1"/>
  <c r="AS123" i="1"/>
  <c r="AU77" i="1"/>
  <c r="AR76" i="1"/>
  <c r="M137" i="3"/>
  <c r="H185" i="3" s="1"/>
  <c r="H166" i="3"/>
  <c r="AV13" i="1"/>
  <c r="N103" i="1"/>
  <c r="N104" i="1" s="1"/>
  <c r="M112" i="1"/>
  <c r="M118" i="1" s="1"/>
  <c r="M129" i="1" s="1"/>
  <c r="M166" i="1" s="1"/>
  <c r="M167" i="1" s="1"/>
  <c r="P118" i="3"/>
  <c r="L5" i="1"/>
  <c r="K9" i="1"/>
  <c r="K7" i="1"/>
  <c r="M5" i="3"/>
  <c r="L9" i="3"/>
  <c r="L7" i="3"/>
  <c r="L152" i="3" s="1"/>
  <c r="AK150" i="1" l="1"/>
  <c r="AL146" i="1"/>
  <c r="AR116" i="1"/>
  <c r="AT140" i="1"/>
  <c r="AT123" i="1"/>
  <c r="AV77" i="1"/>
  <c r="AS76" i="1"/>
  <c r="N138" i="3"/>
  <c r="I186" i="3" s="1"/>
  <c r="I167" i="3"/>
  <c r="L38" i="3"/>
  <c r="L39" i="3"/>
  <c r="L37" i="3"/>
  <c r="O103" i="1"/>
  <c r="O104" i="1" s="1"/>
  <c r="N112" i="1"/>
  <c r="N118" i="1" s="1"/>
  <c r="N129" i="1" s="1"/>
  <c r="N166" i="1" s="1"/>
  <c r="N167" i="1" s="1"/>
  <c r="P117" i="3"/>
  <c r="P119" i="3"/>
  <c r="N139" i="3" s="1"/>
  <c r="M6" i="3"/>
  <c r="M8" i="3"/>
  <c r="M153" i="3" s="1"/>
  <c r="L6" i="1"/>
  <c r="L8" i="1"/>
  <c r="AT76" i="1" l="1"/>
  <c r="AS116" i="1"/>
  <c r="AT116" i="1" s="1"/>
  <c r="AL150" i="1"/>
  <c r="AM146" i="1"/>
  <c r="AU140" i="1"/>
  <c r="AU123" i="1"/>
  <c r="N137" i="3"/>
  <c r="I185" i="3" s="1"/>
  <c r="I166" i="3"/>
  <c r="P103" i="1"/>
  <c r="P104" i="1" s="1"/>
  <c r="O112" i="1"/>
  <c r="O118" i="1" s="1"/>
  <c r="O129" i="1" s="1"/>
  <c r="O166" i="1" s="1"/>
  <c r="O167" i="1" s="1"/>
  <c r="Q118" i="3"/>
  <c r="M5" i="1"/>
  <c r="L9" i="1"/>
  <c r="L7" i="1"/>
  <c r="M7" i="3"/>
  <c r="M152" i="3" s="1"/>
  <c r="N5" i="3"/>
  <c r="M9" i="3"/>
  <c r="AM150" i="1" l="1"/>
  <c r="AN146" i="1"/>
  <c r="AU76" i="1"/>
  <c r="AV140" i="1"/>
  <c r="AV123" i="1"/>
  <c r="O138" i="3"/>
  <c r="J186" i="3" s="1"/>
  <c r="J167" i="3"/>
  <c r="M39" i="3"/>
  <c r="M38" i="3"/>
  <c r="M37" i="3"/>
  <c r="Q103" i="1"/>
  <c r="Q104" i="1" s="1"/>
  <c r="P112" i="1"/>
  <c r="P118" i="1" s="1"/>
  <c r="P129" i="1" s="1"/>
  <c r="P166" i="1" s="1"/>
  <c r="P167" i="1" s="1"/>
  <c r="Q119" i="3"/>
  <c r="O139" i="3" s="1"/>
  <c r="Q117" i="3"/>
  <c r="N6" i="3"/>
  <c r="N8" i="3"/>
  <c r="N153" i="3" s="1"/>
  <c r="M6" i="1"/>
  <c r="M8" i="1"/>
  <c r="AV76" i="1" l="1"/>
  <c r="AU116" i="1"/>
  <c r="AV116" i="1" s="1"/>
  <c r="AN150" i="1"/>
  <c r="AO146" i="1"/>
  <c r="O137" i="3"/>
  <c r="J185" i="3" s="1"/>
  <c r="J166" i="3"/>
  <c r="R103" i="1"/>
  <c r="R104" i="1" s="1"/>
  <c r="Q112" i="1"/>
  <c r="Q118" i="1" s="1"/>
  <c r="Q129" i="1" s="1"/>
  <c r="Q166" i="1" s="1"/>
  <c r="Q167" i="1" s="1"/>
  <c r="R118" i="3"/>
  <c r="M7" i="1"/>
  <c r="N5" i="1"/>
  <c r="M9" i="1"/>
  <c r="O5" i="3"/>
  <c r="N9" i="3"/>
  <c r="N7" i="3"/>
  <c r="N152" i="3" s="1"/>
  <c r="AO150" i="1" l="1"/>
  <c r="AP146" i="1"/>
  <c r="P138" i="3"/>
  <c r="K186" i="3" s="1"/>
  <c r="K167" i="3"/>
  <c r="N39" i="3"/>
  <c r="N38" i="3"/>
  <c r="N37" i="3"/>
  <c r="S103" i="1"/>
  <c r="S104" i="1" s="1"/>
  <c r="R112" i="1"/>
  <c r="R118" i="1" s="1"/>
  <c r="R129" i="1" s="1"/>
  <c r="R166" i="1" s="1"/>
  <c r="R167" i="1" s="1"/>
  <c r="R119" i="3"/>
  <c r="P139" i="3" s="1"/>
  <c r="R117" i="3"/>
  <c r="O6" i="3"/>
  <c r="O8" i="3"/>
  <c r="O153" i="3" s="1"/>
  <c r="N6" i="1"/>
  <c r="N8" i="1"/>
  <c r="AP150" i="1" l="1"/>
  <c r="AQ146" i="1"/>
  <c r="P137" i="3"/>
  <c r="K185" i="3" s="1"/>
  <c r="K166" i="3"/>
  <c r="T103" i="1"/>
  <c r="T104" i="1" s="1"/>
  <c r="T112" i="1" s="1"/>
  <c r="T118" i="1" s="1"/>
  <c r="T129" i="1" s="1"/>
  <c r="T166" i="1" s="1"/>
  <c r="T167" i="1" s="1"/>
  <c r="S112" i="1"/>
  <c r="S118" i="1" s="1"/>
  <c r="S129" i="1" s="1"/>
  <c r="S166" i="1" s="1"/>
  <c r="S167" i="1" s="1"/>
  <c r="S118" i="3"/>
  <c r="N7" i="1"/>
  <c r="N9" i="1"/>
  <c r="O5" i="1"/>
  <c r="O9" i="3"/>
  <c r="O7" i="3"/>
  <c r="O152" i="3" s="1"/>
  <c r="P5" i="3"/>
  <c r="AQ150" i="1" l="1"/>
  <c r="AR146" i="1"/>
  <c r="Q138" i="3"/>
  <c r="L186" i="3" s="1"/>
  <c r="L167" i="3"/>
  <c r="O39" i="3"/>
  <c r="O38" i="3"/>
  <c r="O37" i="3"/>
  <c r="A167" i="1"/>
  <c r="S117" i="3"/>
  <c r="S119" i="3"/>
  <c r="Q139" i="3" s="1"/>
  <c r="P8" i="3"/>
  <c r="P153" i="3" s="1"/>
  <c r="P6" i="3"/>
  <c r="O8" i="1"/>
  <c r="O6" i="1"/>
  <c r="AR150" i="1" l="1"/>
  <c r="AS146" i="1"/>
  <c r="Q137" i="3"/>
  <c r="L185" i="3" s="1"/>
  <c r="L166" i="3"/>
  <c r="T118" i="3"/>
  <c r="P5" i="1"/>
  <c r="O7" i="1"/>
  <c r="O9" i="1"/>
  <c r="P7" i="3"/>
  <c r="P152" i="3" s="1"/>
  <c r="P9" i="3"/>
  <c r="Q5" i="3"/>
  <c r="AS150" i="1" l="1"/>
  <c r="AT146" i="1"/>
  <c r="R138" i="3"/>
  <c r="M186" i="3" s="1"/>
  <c r="M167" i="3"/>
  <c r="P39" i="3"/>
  <c r="P38" i="3"/>
  <c r="P37" i="3"/>
  <c r="T119" i="3"/>
  <c r="R139" i="3" s="1"/>
  <c r="T117" i="3"/>
  <c r="Q6" i="3"/>
  <c r="Q8" i="3"/>
  <c r="Q153" i="3" s="1"/>
  <c r="P6" i="1"/>
  <c r="P8" i="1"/>
  <c r="AT150" i="1" l="1"/>
  <c r="AU146" i="1"/>
  <c r="R137" i="3"/>
  <c r="M185" i="3" s="1"/>
  <c r="M166" i="3"/>
  <c r="U118" i="3"/>
  <c r="Q7" i="3"/>
  <c r="Q152" i="3" s="1"/>
  <c r="Q9" i="3"/>
  <c r="R5" i="3"/>
  <c r="Q5" i="1"/>
  <c r="P7" i="1"/>
  <c r="P9" i="1"/>
  <c r="AU150" i="1" l="1"/>
  <c r="AV146" i="1"/>
  <c r="AV150" i="1" s="1"/>
  <c r="S138" i="3"/>
  <c r="N186" i="3" s="1"/>
  <c r="N167" i="3"/>
  <c r="Q38" i="3"/>
  <c r="Q39" i="3"/>
  <c r="Q37" i="3"/>
  <c r="U119" i="3"/>
  <c r="S139" i="3" s="1"/>
  <c r="U117" i="3"/>
  <c r="Q8" i="1"/>
  <c r="Q6" i="1"/>
  <c r="R6" i="3"/>
  <c r="R8" i="3"/>
  <c r="R153" i="3" s="1"/>
  <c r="S137" i="3" l="1"/>
  <c r="N185" i="3" s="1"/>
  <c r="N166" i="3"/>
  <c r="V118" i="3"/>
  <c r="R7" i="3"/>
  <c r="R152" i="3" s="1"/>
  <c r="R9" i="3"/>
  <c r="S5" i="3"/>
  <c r="Q9" i="1"/>
  <c r="R5" i="1"/>
  <c r="Q7" i="1"/>
  <c r="T138" i="3" l="1"/>
  <c r="O186" i="3" s="1"/>
  <c r="O167" i="3"/>
  <c r="R38" i="3"/>
  <c r="R39" i="3"/>
  <c r="R37" i="3"/>
  <c r="V117" i="3"/>
  <c r="V119" i="3"/>
  <c r="T139" i="3" s="1"/>
  <c r="R8" i="1"/>
  <c r="R6" i="1"/>
  <c r="S6" i="3"/>
  <c r="S8" i="3"/>
  <c r="S153" i="3" s="1"/>
  <c r="T137" i="3" l="1"/>
  <c r="O185" i="3" s="1"/>
  <c r="O166" i="3"/>
  <c r="W118" i="3"/>
  <c r="S7" i="3"/>
  <c r="S152" i="3" s="1"/>
  <c r="S9" i="3"/>
  <c r="T5" i="3"/>
  <c r="R9" i="1"/>
  <c r="R7" i="1"/>
  <c r="S5" i="1"/>
  <c r="U138" i="3" l="1"/>
  <c r="P186" i="3" s="1"/>
  <c r="P167" i="3"/>
  <c r="S38" i="3"/>
  <c r="S39" i="3"/>
  <c r="S37" i="3"/>
  <c r="W117" i="3"/>
  <c r="W119" i="3"/>
  <c r="U139" i="3" s="1"/>
  <c r="S8" i="1"/>
  <c r="S6" i="1"/>
  <c r="T8" i="3"/>
  <c r="T153" i="3" s="1"/>
  <c r="T6" i="3"/>
  <c r="U137" i="3" l="1"/>
  <c r="P185" i="3" s="1"/>
  <c r="P166" i="3"/>
  <c r="X118" i="3"/>
  <c r="U5" i="3"/>
  <c r="T7" i="3"/>
  <c r="T152" i="3" s="1"/>
  <c r="T9" i="3"/>
  <c r="T5" i="1"/>
  <c r="S9" i="1"/>
  <c r="S7" i="1"/>
  <c r="V138" i="3" l="1"/>
  <c r="Q186" i="3" s="1"/>
  <c r="Q167" i="3"/>
  <c r="T38" i="3"/>
  <c r="T39" i="3"/>
  <c r="T37" i="3"/>
  <c r="X117" i="3"/>
  <c r="X119" i="3"/>
  <c r="V139" i="3" s="1"/>
  <c r="U6" i="3"/>
  <c r="U8" i="3"/>
  <c r="U153" i="3" s="1"/>
  <c r="T6" i="1"/>
  <c r="T8" i="1"/>
  <c r="V137" i="3" l="1"/>
  <c r="Q185" i="3" s="1"/>
  <c r="Q166" i="3"/>
  <c r="Y118" i="3"/>
  <c r="U5" i="1"/>
  <c r="T9" i="1"/>
  <c r="T7" i="1"/>
  <c r="U7" i="3"/>
  <c r="U152" i="3" s="1"/>
  <c r="U9" i="3"/>
  <c r="V5" i="3"/>
  <c r="W138" i="3" l="1"/>
  <c r="R186" i="3" s="1"/>
  <c r="R167" i="3"/>
  <c r="U38" i="3"/>
  <c r="U39" i="3"/>
  <c r="U37" i="3"/>
  <c r="Y117" i="3"/>
  <c r="Y119" i="3"/>
  <c r="W139" i="3" s="1"/>
  <c r="V6" i="3"/>
  <c r="V8" i="3"/>
  <c r="V153" i="3" s="1"/>
  <c r="U6" i="1"/>
  <c r="U8" i="1"/>
  <c r="W137" i="3" l="1"/>
  <c r="R185" i="3" s="1"/>
  <c r="R166" i="3"/>
  <c r="Z118" i="3"/>
  <c r="U7" i="1"/>
  <c r="V5" i="1"/>
  <c r="U9" i="1"/>
  <c r="V9" i="3"/>
  <c r="W5" i="3"/>
  <c r="V7" i="3"/>
  <c r="V152" i="3" s="1"/>
  <c r="X138" i="3" l="1"/>
  <c r="S186" i="3" s="1"/>
  <c r="S167" i="3"/>
  <c r="V39" i="3"/>
  <c r="V38" i="3"/>
  <c r="V37" i="3"/>
  <c r="Z117" i="3"/>
  <c r="Z119" i="3"/>
  <c r="X139" i="3" s="1"/>
  <c r="W6" i="3"/>
  <c r="W8" i="3"/>
  <c r="W153" i="3" s="1"/>
  <c r="V6" i="1"/>
  <c r="V8" i="1"/>
  <c r="X137" i="3" l="1"/>
  <c r="S185" i="3" s="1"/>
  <c r="S166" i="3"/>
  <c r="AA118" i="3"/>
  <c r="V7" i="1"/>
  <c r="V9" i="1"/>
  <c r="W5" i="1"/>
  <c r="W9" i="3"/>
  <c r="X5" i="3"/>
  <c r="W7" i="3"/>
  <c r="W152" i="3" s="1"/>
  <c r="Y138" i="3" l="1"/>
  <c r="T186" i="3" s="1"/>
  <c r="T167" i="3"/>
  <c r="W39" i="3"/>
  <c r="W38" i="3"/>
  <c r="W37" i="3"/>
  <c r="AA117" i="3"/>
  <c r="AA119" i="3"/>
  <c r="Y139" i="3" s="1"/>
  <c r="X8" i="3"/>
  <c r="X153" i="3" s="1"/>
  <c r="X6" i="3"/>
  <c r="W8" i="1"/>
  <c r="W6" i="1"/>
  <c r="Y137" i="3" l="1"/>
  <c r="T185" i="3" s="1"/>
  <c r="T166" i="3"/>
  <c r="AB118" i="3"/>
  <c r="X5" i="1"/>
  <c r="W7" i="1"/>
  <c r="W9" i="1"/>
  <c r="X9" i="3"/>
  <c r="X7" i="3"/>
  <c r="X152" i="3" s="1"/>
  <c r="Y5" i="3"/>
  <c r="Z138" i="3" l="1"/>
  <c r="U186" i="3" s="1"/>
  <c r="U167" i="3"/>
  <c r="X38" i="3"/>
  <c r="X39" i="3"/>
  <c r="X37" i="3"/>
  <c r="AB119" i="3"/>
  <c r="Z139" i="3" s="1"/>
  <c r="AB117" i="3"/>
  <c r="Y6" i="3"/>
  <c r="Y8" i="3"/>
  <c r="Y153" i="3" s="1"/>
  <c r="M59" i="3"/>
  <c r="M60" i="3" s="1"/>
  <c r="M62" i="3" s="1"/>
  <c r="X6" i="1"/>
  <c r="X8" i="1"/>
  <c r="Z137" i="3" l="1"/>
  <c r="U185" i="3" s="1"/>
  <c r="U166" i="3"/>
  <c r="AC118" i="3"/>
  <c r="Y5" i="1"/>
  <c r="X7" i="1"/>
  <c r="X9" i="1"/>
  <c r="Y7" i="3"/>
  <c r="Y152" i="3" s="1"/>
  <c r="Y9" i="3"/>
  <c r="Z5" i="3"/>
  <c r="AA138" i="3" l="1"/>
  <c r="V186" i="3" s="1"/>
  <c r="V167" i="3"/>
  <c r="Y39" i="3"/>
  <c r="Y38" i="3"/>
  <c r="Y37" i="3"/>
  <c r="AC119" i="3"/>
  <c r="AA139" i="3" s="1"/>
  <c r="AC117" i="3"/>
  <c r="Z6" i="3"/>
  <c r="Z8" i="3"/>
  <c r="Z153" i="3" s="1"/>
  <c r="Y8" i="1"/>
  <c r="Y6" i="1"/>
  <c r="AA137" i="3" l="1"/>
  <c r="V185" i="3" s="1"/>
  <c r="V166" i="3"/>
  <c r="AD118" i="3"/>
  <c r="Z7" i="3"/>
  <c r="Z152" i="3" s="1"/>
  <c r="AA5" i="3"/>
  <c r="Z9" i="3"/>
  <c r="Y9" i="1"/>
  <c r="Z5" i="1"/>
  <c r="Y7" i="1"/>
  <c r="AB138" i="3" l="1"/>
  <c r="W186" i="3" s="1"/>
  <c r="W167" i="3"/>
  <c r="Z39" i="3"/>
  <c r="Z38" i="3"/>
  <c r="Z37" i="3"/>
  <c r="AD117" i="3"/>
  <c r="AD119" i="3"/>
  <c r="AB139" i="3" s="1"/>
  <c r="Z8" i="1"/>
  <c r="Z6" i="1"/>
  <c r="AA6" i="3"/>
  <c r="AA8" i="3"/>
  <c r="AA153" i="3" s="1"/>
  <c r="AF53" i="3"/>
  <c r="F128" i="3" s="1"/>
  <c r="E128" i="3" s="1"/>
  <c r="AF54" i="3"/>
  <c r="F129" i="3" s="1"/>
  <c r="E129" i="3" s="1"/>
  <c r="H128" i="3" l="1"/>
  <c r="H129" i="3"/>
  <c r="AB137" i="3"/>
  <c r="W185" i="3" s="1"/>
  <c r="W166" i="3"/>
  <c r="AE118" i="3"/>
  <c r="AA7" i="3"/>
  <c r="AA152" i="3" s="1"/>
  <c r="AB5" i="3"/>
  <c r="AA9" i="3"/>
  <c r="Z9" i="1"/>
  <c r="Z7" i="1"/>
  <c r="AA5" i="1"/>
  <c r="Q129" i="3" l="1"/>
  <c r="P129" i="3"/>
  <c r="O129" i="3"/>
  <c r="R129" i="3"/>
  <c r="O128" i="3"/>
  <c r="Q128" i="3"/>
  <c r="P128" i="3"/>
  <c r="R128" i="3"/>
  <c r="AC138" i="3"/>
  <c r="X186" i="3" s="1"/>
  <c r="X167" i="3"/>
  <c r="AA39" i="3"/>
  <c r="AA38" i="3"/>
  <c r="AA37" i="3"/>
  <c r="AF118" i="3"/>
  <c r="AE119" i="3"/>
  <c r="AC139" i="3" s="1"/>
  <c r="AE117" i="3"/>
  <c r="AB8" i="3"/>
  <c r="AB153" i="3" s="1"/>
  <c r="AB6" i="3"/>
  <c r="AA8" i="1"/>
  <c r="AA6" i="1"/>
  <c r="S128" i="3" l="1"/>
  <c r="AB22" i="1"/>
  <c r="V129" i="3"/>
  <c r="AE23" i="1"/>
  <c r="AC23" i="1"/>
  <c r="T129" i="3"/>
  <c r="V128" i="3"/>
  <c r="AE22" i="1"/>
  <c r="T128" i="3"/>
  <c r="AC22" i="1"/>
  <c r="U128" i="3"/>
  <c r="AD22" i="1"/>
  <c r="AB23" i="1"/>
  <c r="S129" i="3"/>
  <c r="U129" i="3"/>
  <c r="AD23" i="1"/>
  <c r="AC137" i="3"/>
  <c r="X185" i="3" s="1"/>
  <c r="X166" i="3"/>
  <c r="AD138" i="3"/>
  <c r="Y186" i="3" s="1"/>
  <c r="Y167" i="3"/>
  <c r="F39" i="3"/>
  <c r="G143" i="3" s="1"/>
  <c r="D37" i="3"/>
  <c r="E141" i="3" s="1"/>
  <c r="F37" i="3"/>
  <c r="G141" i="3" s="1"/>
  <c r="D38" i="3"/>
  <c r="E142" i="3" s="1"/>
  <c r="F38" i="3"/>
  <c r="G142" i="3" s="1"/>
  <c r="C37" i="3"/>
  <c r="D141" i="3" s="1"/>
  <c r="C38" i="3"/>
  <c r="D142" i="3" s="1"/>
  <c r="C39" i="3"/>
  <c r="D143" i="3" s="1"/>
  <c r="D39" i="3"/>
  <c r="E143" i="3" s="1"/>
  <c r="AG118" i="3"/>
  <c r="AF119" i="3"/>
  <c r="AD139" i="3" s="1"/>
  <c r="AF117" i="3"/>
  <c r="AB5" i="1"/>
  <c r="AA9" i="1"/>
  <c r="AA7" i="1"/>
  <c r="AB7" i="3"/>
  <c r="AB152" i="3" s="1"/>
  <c r="AB9" i="3"/>
  <c r="Y128" i="3" l="1"/>
  <c r="AH22" i="1"/>
  <c r="AI22" i="1"/>
  <c r="Z128" i="3"/>
  <c r="AG22" i="1"/>
  <c r="X128" i="3"/>
  <c r="X129" i="3"/>
  <c r="AG23" i="1"/>
  <c r="AH23" i="1"/>
  <c r="Y129" i="3"/>
  <c r="Z129" i="3"/>
  <c r="AI23" i="1"/>
  <c r="AF23" i="1"/>
  <c r="W129" i="3"/>
  <c r="W128" i="3"/>
  <c r="AF22" i="1"/>
  <c r="AD137" i="3"/>
  <c r="Y185" i="3" s="1"/>
  <c r="Y166" i="3"/>
  <c r="AE138" i="3"/>
  <c r="Z186" i="3" s="1"/>
  <c r="Z167" i="3"/>
  <c r="AB39" i="3"/>
  <c r="E39" i="3" s="1"/>
  <c r="F143" i="3" s="1"/>
  <c r="AB38" i="3"/>
  <c r="E38" i="3" s="1"/>
  <c r="F142" i="3" s="1"/>
  <c r="AB37" i="3"/>
  <c r="E37" i="3" s="1"/>
  <c r="F141" i="3" s="1"/>
  <c r="AG117" i="3"/>
  <c r="AG119" i="3"/>
  <c r="AE139" i="3" s="1"/>
  <c r="AB6" i="1"/>
  <c r="AC5" i="1" s="1"/>
  <c r="AB8" i="1"/>
  <c r="AF45" i="3"/>
  <c r="F121" i="3" s="1"/>
  <c r="AF52" i="3"/>
  <c r="F127" i="3" s="1"/>
  <c r="E127" i="3" s="1"/>
  <c r="AF47" i="3"/>
  <c r="F123" i="3" s="1"/>
  <c r="AF50" i="3"/>
  <c r="F126" i="3" s="1"/>
  <c r="E126" i="3" s="1"/>
  <c r="AF48" i="3"/>
  <c r="F124" i="3" s="1"/>
  <c r="AF46" i="3"/>
  <c r="F122" i="3" s="1"/>
  <c r="AF49" i="3"/>
  <c r="F125" i="3" s="1"/>
  <c r="E125" i="3" s="1"/>
  <c r="AF51" i="3"/>
  <c r="AF44" i="3"/>
  <c r="AF55" i="3"/>
  <c r="J66" i="3"/>
  <c r="I70" i="3"/>
  <c r="I63" i="3"/>
  <c r="J65" i="3"/>
  <c r="J70" i="3"/>
  <c r="I73" i="3"/>
  <c r="L69" i="3"/>
  <c r="I71" i="3"/>
  <c r="J72" i="3"/>
  <c r="J64" i="3"/>
  <c r="I65" i="3"/>
  <c r="J71" i="3"/>
  <c r="J73" i="3"/>
  <c r="I68" i="3"/>
  <c r="I69" i="3"/>
  <c r="I67" i="3"/>
  <c r="J63" i="3"/>
  <c r="I72" i="3"/>
  <c r="I64" i="3"/>
  <c r="J69" i="3"/>
  <c r="I66" i="3"/>
  <c r="J68" i="3"/>
  <c r="I74" i="3"/>
  <c r="K70" i="3"/>
  <c r="K69" i="3"/>
  <c r="M63" i="3"/>
  <c r="K66" i="3"/>
  <c r="K74" i="3"/>
  <c r="K65" i="3"/>
  <c r="K68" i="3"/>
  <c r="K71" i="3"/>
  <c r="M74" i="3"/>
  <c r="L73" i="3"/>
  <c r="L74" i="3"/>
  <c r="K64" i="3"/>
  <c r="K73" i="3"/>
  <c r="K72" i="3"/>
  <c r="K63" i="3"/>
  <c r="J67" i="3"/>
  <c r="K67" i="3"/>
  <c r="J74" i="3"/>
  <c r="M66" i="3"/>
  <c r="L70" i="3"/>
  <c r="M72" i="3"/>
  <c r="L66" i="3"/>
  <c r="M69" i="3"/>
  <c r="M70" i="3"/>
  <c r="L68" i="3"/>
  <c r="M67" i="3"/>
  <c r="M73" i="3"/>
  <c r="M71" i="3"/>
  <c r="M65" i="3"/>
  <c r="L65" i="3"/>
  <c r="L71" i="3"/>
  <c r="M64" i="3"/>
  <c r="L63" i="3"/>
  <c r="M68" i="3"/>
  <c r="L67" i="3"/>
  <c r="L72" i="3"/>
  <c r="L64" i="3"/>
  <c r="H125" i="3" l="1"/>
  <c r="AM22" i="1"/>
  <c r="AD128" i="3"/>
  <c r="H127" i="3"/>
  <c r="AC129" i="3"/>
  <c r="AL23" i="1"/>
  <c r="AB129" i="3"/>
  <c r="AK23" i="1"/>
  <c r="AA128" i="3"/>
  <c r="AJ22" i="1"/>
  <c r="AA129" i="3"/>
  <c r="AJ23" i="1"/>
  <c r="AM23" i="1"/>
  <c r="AD129" i="3"/>
  <c r="AK22" i="1"/>
  <c r="AB128" i="3"/>
  <c r="H126" i="3"/>
  <c r="AC128" i="3"/>
  <c r="AL22" i="1"/>
  <c r="AE137" i="3"/>
  <c r="Z185" i="3" s="1"/>
  <c r="Z166" i="3"/>
  <c r="K84" i="3"/>
  <c r="L79" i="3"/>
  <c r="L88" i="3"/>
  <c r="AC6" i="1"/>
  <c r="AC8" i="1"/>
  <c r="K89" i="3"/>
  <c r="AH118" i="3"/>
  <c r="J89" i="3"/>
  <c r="L81" i="3"/>
  <c r="L84" i="3"/>
  <c r="M87" i="3"/>
  <c r="J85" i="3"/>
  <c r="J87" i="3"/>
  <c r="L86" i="3"/>
  <c r="L83" i="3"/>
  <c r="J90" i="3"/>
  <c r="L80" i="3"/>
  <c r="M84" i="3"/>
  <c r="J84" i="3"/>
  <c r="J79" i="3"/>
  <c r="M82" i="3"/>
  <c r="K83" i="3"/>
  <c r="M81" i="3"/>
  <c r="J81" i="3"/>
  <c r="M89" i="3"/>
  <c r="J82" i="3"/>
  <c r="L82" i="3"/>
  <c r="M88" i="3"/>
  <c r="K90" i="3"/>
  <c r="M79" i="3"/>
  <c r="J80" i="3"/>
  <c r="K86" i="3"/>
  <c r="J83" i="3"/>
  <c r="K80" i="3"/>
  <c r="K82" i="3"/>
  <c r="L90" i="3"/>
  <c r="L89" i="3"/>
  <c r="J88" i="3"/>
  <c r="K85" i="3"/>
  <c r="M90" i="3"/>
  <c r="M80" i="3"/>
  <c r="L85" i="3"/>
  <c r="M86" i="3"/>
  <c r="L87" i="3"/>
  <c r="M85" i="3"/>
  <c r="K79" i="3"/>
  <c r="M83" i="3"/>
  <c r="K87" i="3"/>
  <c r="K88" i="3"/>
  <c r="K81" i="3"/>
  <c r="J86" i="3"/>
  <c r="AB9" i="1"/>
  <c r="AB7" i="1"/>
  <c r="AE128" i="3" l="1"/>
  <c r="AN22" i="1"/>
  <c r="AO23" i="1"/>
  <c r="AF129" i="3"/>
  <c r="AS23" i="1" s="1"/>
  <c r="R127" i="3"/>
  <c r="Q127" i="3"/>
  <c r="P127" i="3"/>
  <c r="O127" i="3"/>
  <c r="AH129" i="3"/>
  <c r="AU23" i="1" s="1"/>
  <c r="AQ23" i="1"/>
  <c r="AH128" i="3"/>
  <c r="AU22" i="1" s="1"/>
  <c r="AQ22" i="1"/>
  <c r="AG129" i="3"/>
  <c r="AT23" i="1" s="1"/>
  <c r="AP23" i="1"/>
  <c r="P125" i="3"/>
  <c r="Q125" i="3"/>
  <c r="O125" i="3"/>
  <c r="R125" i="3"/>
  <c r="AP22" i="1"/>
  <c r="AG128" i="3"/>
  <c r="AT22" i="1" s="1"/>
  <c r="Q126" i="3"/>
  <c r="O126" i="3"/>
  <c r="R126" i="3"/>
  <c r="P126" i="3"/>
  <c r="AF128" i="3"/>
  <c r="AS22" i="1" s="1"/>
  <c r="AO22" i="1"/>
  <c r="AE129" i="3"/>
  <c r="AN23" i="1"/>
  <c r="AF138" i="3"/>
  <c r="AA186" i="3" s="1"/>
  <c r="AA167" i="3"/>
  <c r="AD5" i="1"/>
  <c r="AC9" i="1"/>
  <c r="AC7" i="1"/>
  <c r="AH117" i="3"/>
  <c r="AH119" i="3"/>
  <c r="AF139" i="3" s="1"/>
  <c r="AE19" i="1" l="1"/>
  <c r="V126" i="3"/>
  <c r="AB19" i="1"/>
  <c r="S126" i="3"/>
  <c r="AB21" i="1"/>
  <c r="AB20" i="1" s="1"/>
  <c r="AB24" i="1" s="1"/>
  <c r="S127" i="3"/>
  <c r="T127" i="3"/>
  <c r="AC21" i="1"/>
  <c r="AC20" i="1" s="1"/>
  <c r="R130" i="3"/>
  <c r="V125" i="3"/>
  <c r="AE18" i="1"/>
  <c r="AE24" i="1" s="1"/>
  <c r="AD21" i="1"/>
  <c r="AD20" i="1" s="1"/>
  <c r="U127" i="3"/>
  <c r="AB18" i="1"/>
  <c r="S125" i="3"/>
  <c r="O130" i="3"/>
  <c r="AE21" i="1"/>
  <c r="AE20" i="1" s="1"/>
  <c r="V127" i="3"/>
  <c r="AD18" i="1"/>
  <c r="U125" i="3"/>
  <c r="Q130" i="3"/>
  <c r="AC19" i="1"/>
  <c r="T126" i="3"/>
  <c r="AD19" i="1"/>
  <c r="U126" i="3"/>
  <c r="AI129" i="3"/>
  <c r="AV23" i="1" s="1"/>
  <c r="AR23" i="1"/>
  <c r="AC18" i="1"/>
  <c r="T125" i="3"/>
  <c r="P130" i="3"/>
  <c r="AI128" i="3"/>
  <c r="AV22" i="1" s="1"/>
  <c r="AR22" i="1"/>
  <c r="AF137" i="3"/>
  <c r="AA185" i="3" s="1"/>
  <c r="AA166" i="3"/>
  <c r="AD8" i="1"/>
  <c r="AD6" i="1"/>
  <c r="AI118" i="3"/>
  <c r="AG19" i="1" l="1"/>
  <c r="X126" i="3"/>
  <c r="Z125" i="3"/>
  <c r="AI18" i="1"/>
  <c r="V130" i="3"/>
  <c r="K168" i="3"/>
  <c r="K169" i="3" s="1"/>
  <c r="K188" i="3"/>
  <c r="R132" i="3"/>
  <c r="P141" i="3" a="1"/>
  <c r="P141" i="3" s="1"/>
  <c r="U130" i="3"/>
  <c r="Y125" i="3"/>
  <c r="AH18" i="1"/>
  <c r="AH24" i="1" s="1"/>
  <c r="X127" i="3"/>
  <c r="AG21" i="1"/>
  <c r="AG20" i="1" s="1"/>
  <c r="W127" i="3"/>
  <c r="AF21" i="1"/>
  <c r="AF20" i="1" s="1"/>
  <c r="X125" i="3"/>
  <c r="AG18" i="1"/>
  <c r="AG24" i="1" s="1"/>
  <c r="T130" i="3"/>
  <c r="H188" i="3"/>
  <c r="H168" i="3"/>
  <c r="H169" i="3" s="1"/>
  <c r="O132" i="3"/>
  <c r="M141" i="3" a="1"/>
  <c r="M141" i="3" s="1"/>
  <c r="I168" i="3"/>
  <c r="I169" i="3" s="1"/>
  <c r="I188" i="3"/>
  <c r="P132" i="3"/>
  <c r="N141" i="3" a="1"/>
  <c r="N141" i="3" s="1"/>
  <c r="Q132" i="3"/>
  <c r="J168" i="3"/>
  <c r="J169" i="3" s="1"/>
  <c r="J188" i="3"/>
  <c r="O141" i="3" a="1"/>
  <c r="O141" i="3" s="1"/>
  <c r="AD24" i="1"/>
  <c r="Z127" i="3"/>
  <c r="AI21" i="1"/>
  <c r="AI20" i="1" s="1"/>
  <c r="AC24" i="1"/>
  <c r="W126" i="3"/>
  <c r="AF19" i="1"/>
  <c r="W125" i="3"/>
  <c r="AF18" i="1"/>
  <c r="S130" i="3"/>
  <c r="AI19" i="1"/>
  <c r="Z126" i="3"/>
  <c r="Y126" i="3"/>
  <c r="AH19" i="1"/>
  <c r="Y127" i="3"/>
  <c r="AH21" i="1"/>
  <c r="AH20" i="1" s="1"/>
  <c r="AG138" i="3"/>
  <c r="AB186" i="3" s="1"/>
  <c r="AB167" i="3"/>
  <c r="AD9" i="1"/>
  <c r="AE5" i="1"/>
  <c r="AD7" i="1"/>
  <c r="AI117" i="3"/>
  <c r="AI119" i="3"/>
  <c r="AG139" i="3" s="1"/>
  <c r="AF24" i="1" l="1"/>
  <c r="AA126" i="3"/>
  <c r="AJ19" i="1"/>
  <c r="AB113" i="1"/>
  <c r="N146" i="3"/>
  <c r="AC65" i="1" s="1"/>
  <c r="M146" i="3"/>
  <c r="AB65" i="1" s="1"/>
  <c r="H170" i="3"/>
  <c r="AB121" i="1" s="1"/>
  <c r="AB78" i="1"/>
  <c r="H191" i="3"/>
  <c r="H192" i="3"/>
  <c r="H193" i="3"/>
  <c r="H190" i="3"/>
  <c r="J170" i="3"/>
  <c r="AD78" i="1"/>
  <c r="AD84" i="1" s="1"/>
  <c r="AK18" i="1"/>
  <c r="AB125" i="3"/>
  <c r="X130" i="3"/>
  <c r="O188" i="3"/>
  <c r="O168" i="3"/>
  <c r="O169" i="3" s="1"/>
  <c r="V132" i="3"/>
  <c r="T141" i="3" a="1"/>
  <c r="T141" i="3" s="1"/>
  <c r="L168" i="3"/>
  <c r="L169" i="3" s="1"/>
  <c r="L188" i="3"/>
  <c r="S132" i="3"/>
  <c r="Q141" i="3" a="1"/>
  <c r="Q141" i="3" s="1"/>
  <c r="AD26" i="1"/>
  <c r="AD27" i="1" s="1"/>
  <c r="O142" i="3" a="1"/>
  <c r="O142" i="3" s="1"/>
  <c r="O143" i="3" a="1"/>
  <c r="O143" i="3" s="1"/>
  <c r="AI24" i="1"/>
  <c r="I170" i="3"/>
  <c r="AC78" i="1"/>
  <c r="AB26" i="1"/>
  <c r="AB27" i="1" s="1"/>
  <c r="M143" i="3" a="1"/>
  <c r="M143" i="3" s="1"/>
  <c r="M142" i="3" a="1"/>
  <c r="M142" i="3" s="1"/>
  <c r="AC127" i="3"/>
  <c r="AL21" i="1"/>
  <c r="AL20" i="1" s="1"/>
  <c r="Q146" i="3"/>
  <c r="AF65" i="1" s="1"/>
  <c r="AE113" i="1"/>
  <c r="AD113" i="1"/>
  <c r="P146" i="3"/>
  <c r="AE65" i="1" s="1"/>
  <c r="K193" i="3"/>
  <c r="K190" i="3"/>
  <c r="K192" i="3"/>
  <c r="K191" i="3"/>
  <c r="AM19" i="1"/>
  <c r="AD126" i="3"/>
  <c r="J193" i="3"/>
  <c r="J190" i="3"/>
  <c r="J192" i="3"/>
  <c r="J191" i="3"/>
  <c r="AC113" i="1"/>
  <c r="O146" i="3"/>
  <c r="AD65" i="1" s="1"/>
  <c r="AD125" i="3"/>
  <c r="AM18" i="1"/>
  <c r="Z130" i="3"/>
  <c r="AA125" i="3"/>
  <c r="AJ18" i="1"/>
  <c r="W130" i="3"/>
  <c r="AC26" i="1"/>
  <c r="AC27" i="1" s="1"/>
  <c r="N142" i="3" a="1"/>
  <c r="N142" i="3" s="1"/>
  <c r="N143" i="3" a="1"/>
  <c r="N143" i="3" s="1"/>
  <c r="AK19" i="1"/>
  <c r="AB126" i="3"/>
  <c r="AL18" i="1"/>
  <c r="AC125" i="3"/>
  <c r="Y130" i="3"/>
  <c r="N188" i="3"/>
  <c r="N168" i="3"/>
  <c r="N169" i="3" s="1"/>
  <c r="U132" i="3"/>
  <c r="S141" i="3" a="1"/>
  <c r="S141" i="3" s="1"/>
  <c r="AD127" i="3"/>
  <c r="AM21" i="1"/>
  <c r="AM20" i="1" s="1"/>
  <c r="AE26" i="1"/>
  <c r="AE27" i="1" s="1"/>
  <c r="P142" i="3" a="1"/>
  <c r="P142" i="3" s="1"/>
  <c r="P143" i="3" a="1"/>
  <c r="P143" i="3" s="1"/>
  <c r="AL19" i="1"/>
  <c r="AC126" i="3"/>
  <c r="M168" i="3"/>
  <c r="M169" i="3" s="1"/>
  <c r="M188" i="3"/>
  <c r="T132" i="3"/>
  <c r="R141" i="3" a="1"/>
  <c r="R141" i="3" s="1"/>
  <c r="K170" i="3"/>
  <c r="AE78" i="1"/>
  <c r="AE84" i="1" s="1"/>
  <c r="AJ21" i="1"/>
  <c r="AJ20" i="1" s="1"/>
  <c r="AA127" i="3"/>
  <c r="I193" i="3"/>
  <c r="I191" i="3"/>
  <c r="I192" i="3"/>
  <c r="I190" i="3"/>
  <c r="AB127" i="3"/>
  <c r="AK21" i="1"/>
  <c r="AK20" i="1" s="1"/>
  <c r="AG137" i="3"/>
  <c r="AB185" i="3" s="1"/>
  <c r="AB166" i="3"/>
  <c r="AE8" i="1"/>
  <c r="AE6" i="1"/>
  <c r="AJ24" i="1" l="1"/>
  <c r="K194" i="3"/>
  <c r="K195" i="3" s="1"/>
  <c r="AE31" i="1" s="1"/>
  <c r="AE59" i="1"/>
  <c r="AB114" i="1"/>
  <c r="N145" i="3"/>
  <c r="AC64" i="1" s="1"/>
  <c r="M145" i="3"/>
  <c r="AB64" i="1" s="1"/>
  <c r="AI113" i="1"/>
  <c r="AI78" i="1"/>
  <c r="AI84" i="1" s="1"/>
  <c r="O170" i="3"/>
  <c r="R168" i="3"/>
  <c r="R169" i="3" s="1"/>
  <c r="R188" i="3"/>
  <c r="Y132" i="3"/>
  <c r="W141" i="3" a="1"/>
  <c r="W141" i="3" s="1"/>
  <c r="AL24" i="1"/>
  <c r="AD134" i="1"/>
  <c r="AD141" i="1" s="1"/>
  <c r="AD151" i="1" s="1"/>
  <c r="O147" i="3"/>
  <c r="AD66" i="1" s="1"/>
  <c r="AO18" i="1"/>
  <c r="AO24" i="1" s="1"/>
  <c r="AF125" i="3"/>
  <c r="AB130" i="3"/>
  <c r="L193" i="3"/>
  <c r="L191" i="3"/>
  <c r="L190" i="3"/>
  <c r="L192" i="3"/>
  <c r="P188" i="3"/>
  <c r="P168" i="3"/>
  <c r="P169" i="3" s="1"/>
  <c r="W132" i="3"/>
  <c r="U141" i="3" a="1"/>
  <c r="U141" i="3" s="1"/>
  <c r="U146" i="3" s="1"/>
  <c r="AJ65" i="1" s="1"/>
  <c r="AB134" i="1"/>
  <c r="AB141" i="1" s="1"/>
  <c r="AB151" i="1" s="1"/>
  <c r="M147" i="3"/>
  <c r="AB66" i="1" s="1"/>
  <c r="AG26" i="1"/>
  <c r="AG27" i="1" s="1"/>
  <c r="R142" i="3" a="1"/>
  <c r="R142" i="3" s="1"/>
  <c r="R143" i="3" a="1"/>
  <c r="R143" i="3" s="1"/>
  <c r="AN18" i="1"/>
  <c r="AA130" i="3"/>
  <c r="AE125" i="3"/>
  <c r="AB84" i="1"/>
  <c r="F17" i="4"/>
  <c r="M193" i="3"/>
  <c r="M190" i="3"/>
  <c r="M192" i="3"/>
  <c r="M191" i="3"/>
  <c r="N193" i="3"/>
  <c r="N191" i="3"/>
  <c r="N192" i="3"/>
  <c r="N190" i="3"/>
  <c r="S168" i="3"/>
  <c r="S169" i="3" s="1"/>
  <c r="S188" i="3"/>
  <c r="Z132" i="3"/>
  <c r="X141" i="3" a="1"/>
  <c r="X141" i="3" s="1"/>
  <c r="AG78" i="1"/>
  <c r="M170" i="3"/>
  <c r="I194" i="3"/>
  <c r="I195" i="3" s="1"/>
  <c r="AC31" i="1" s="1"/>
  <c r="AC35" i="1" s="1"/>
  <c r="AC59" i="1"/>
  <c r="AD114" i="1"/>
  <c r="P145" i="3"/>
  <c r="AE64" i="1" s="1"/>
  <c r="AK24" i="1"/>
  <c r="AC114" i="1"/>
  <c r="O145" i="3"/>
  <c r="AD64" i="1" s="1"/>
  <c r="AF26" i="1"/>
  <c r="AF27" i="1" s="1"/>
  <c r="Q143" i="3" a="1"/>
  <c r="Q143" i="3" s="1"/>
  <c r="Q142" i="3" a="1"/>
  <c r="Q142" i="3" s="1"/>
  <c r="Q145" i="3" s="1"/>
  <c r="AF64" i="1" s="1"/>
  <c r="AQ21" i="1"/>
  <c r="AQ20" i="1" s="1"/>
  <c r="AH127" i="3"/>
  <c r="AU21" i="1" s="1"/>
  <c r="AU20" i="1" s="1"/>
  <c r="L170" i="3"/>
  <c r="AF78" i="1"/>
  <c r="AF84" i="1" s="1"/>
  <c r="AH26" i="1"/>
  <c r="AH27" i="1" s="1"/>
  <c r="S142" i="3" a="1"/>
  <c r="S142" i="3" s="1"/>
  <c r="S143" i="3" a="1"/>
  <c r="S143" i="3" s="1"/>
  <c r="AI26" i="1"/>
  <c r="AI27" i="1" s="1"/>
  <c r="T143" i="3" a="1"/>
  <c r="T143" i="3" s="1"/>
  <c r="T142" i="3" a="1"/>
  <c r="T142" i="3" s="1"/>
  <c r="AC121" i="1"/>
  <c r="AB128" i="1"/>
  <c r="AO21" i="1"/>
  <c r="AO20" i="1" s="1"/>
  <c r="AF127" i="3"/>
  <c r="AS21" i="1" s="1"/>
  <c r="AS20" i="1" s="1"/>
  <c r="H194" i="3"/>
  <c r="H195" i="3" s="1"/>
  <c r="AB31" i="1" s="1"/>
  <c r="AB35" i="1" s="1"/>
  <c r="AB59" i="1"/>
  <c r="F16" i="4" s="1"/>
  <c r="AP18" i="1"/>
  <c r="AC130" i="3"/>
  <c r="AG125" i="3"/>
  <c r="P147" i="3"/>
  <c r="AE66" i="1" s="1"/>
  <c r="AE134" i="1"/>
  <c r="AE141" i="1" s="1"/>
  <c r="AE151" i="1" s="1"/>
  <c r="AG127" i="3"/>
  <c r="AT21" i="1" s="1"/>
  <c r="AT20" i="1" s="1"/>
  <c r="AP21" i="1"/>
  <c r="AP20" i="1" s="1"/>
  <c r="AH113" i="1"/>
  <c r="T146" i="3"/>
  <c r="AI65" i="1" s="1"/>
  <c r="AQ19" i="1"/>
  <c r="AH126" i="3"/>
  <c r="AU19" i="1" s="1"/>
  <c r="AG113" i="1"/>
  <c r="S146" i="3"/>
  <c r="AH65" i="1" s="1"/>
  <c r="AH78" i="1"/>
  <c r="AH84" i="1" s="1"/>
  <c r="N170" i="3"/>
  <c r="AC84" i="1"/>
  <c r="AM24" i="1"/>
  <c r="O193" i="3"/>
  <c r="O191" i="3"/>
  <c r="O192" i="3"/>
  <c r="O190" i="3"/>
  <c r="AG126" i="3"/>
  <c r="AT19" i="1" s="1"/>
  <c r="AP19" i="1"/>
  <c r="AH125" i="3"/>
  <c r="AQ18" i="1"/>
  <c r="AD130" i="3"/>
  <c r="Q168" i="3"/>
  <c r="Q169" i="3" s="1"/>
  <c r="Q188" i="3"/>
  <c r="X132" i="3"/>
  <c r="V141" i="3" a="1"/>
  <c r="V141" i="3" s="1"/>
  <c r="AF126" i="3"/>
  <c r="AS19" i="1" s="1"/>
  <c r="AO19" i="1"/>
  <c r="AE114" i="1"/>
  <c r="AE127" i="3"/>
  <c r="AN21" i="1"/>
  <c r="AN20" i="1" s="1"/>
  <c r="AE35" i="1"/>
  <c r="AE39" i="1" s="1"/>
  <c r="AC134" i="1"/>
  <c r="AC141" i="1" s="1"/>
  <c r="AC151" i="1" s="1"/>
  <c r="N147" i="3"/>
  <c r="AC66" i="1" s="1"/>
  <c r="AF113" i="1"/>
  <c r="R146" i="3"/>
  <c r="AG65" i="1" s="1"/>
  <c r="J194" i="3"/>
  <c r="J195" i="3" s="1"/>
  <c r="AD31" i="1" s="1"/>
  <c r="AD35" i="1" s="1"/>
  <c r="AD39" i="1" s="1"/>
  <c r="AD59" i="1"/>
  <c r="AE126" i="3"/>
  <c r="AN19" i="1"/>
  <c r="AF5" i="1"/>
  <c r="AE9" i="1"/>
  <c r="AE7" i="1"/>
  <c r="AN24" i="1" l="1"/>
  <c r="AB39" i="1"/>
  <c r="AB41" i="1" s="1"/>
  <c r="F13" i="4"/>
  <c r="AC39" i="1"/>
  <c r="AD41" i="1"/>
  <c r="AD72" i="1" s="1"/>
  <c r="AD58" i="1"/>
  <c r="AD69" i="1" s="1"/>
  <c r="AU18" i="1"/>
  <c r="AU24" i="1" s="1"/>
  <c r="AH130" i="3"/>
  <c r="V168" i="3"/>
  <c r="V169" i="3" s="1"/>
  <c r="V188" i="3"/>
  <c r="AC132" i="3"/>
  <c r="AA141" i="3" a="1"/>
  <c r="AA141" i="3" s="1"/>
  <c r="AG114" i="1"/>
  <c r="S145" i="3"/>
  <c r="AH64" i="1" s="1"/>
  <c r="AR19" i="1"/>
  <c r="AI126" i="3"/>
  <c r="AV19" i="1" s="1"/>
  <c r="AJ113" i="1"/>
  <c r="V146" i="3"/>
  <c r="AK65" i="1" s="1"/>
  <c r="AK113" i="1"/>
  <c r="W146" i="3"/>
  <c r="AL65" i="1" s="1"/>
  <c r="AJ26" i="1"/>
  <c r="AJ27" i="1" s="1"/>
  <c r="U143" i="3" a="1"/>
  <c r="U143" i="3" s="1"/>
  <c r="U142" i="3" a="1"/>
  <c r="U142" i="3" s="1"/>
  <c r="U145" i="3" s="1"/>
  <c r="AJ64" i="1" s="1"/>
  <c r="AK26" i="1"/>
  <c r="AK27" i="1" s="1"/>
  <c r="V143" i="3" a="1"/>
  <c r="V143" i="3" s="1"/>
  <c r="V142" i="3" a="1"/>
  <c r="V142" i="3" s="1"/>
  <c r="P170" i="3"/>
  <c r="AJ78" i="1"/>
  <c r="AJ84" i="1" s="1"/>
  <c r="AL113" i="1"/>
  <c r="X146" i="3"/>
  <c r="AM65" i="1" s="1"/>
  <c r="Q193" i="3"/>
  <c r="Q191" i="3"/>
  <c r="Q190" i="3"/>
  <c r="Q192" i="3"/>
  <c r="AF134" i="1"/>
  <c r="AF141" i="1" s="1"/>
  <c r="AF151" i="1" s="1"/>
  <c r="Q147" i="3"/>
  <c r="AF66" i="1" s="1"/>
  <c r="P193" i="3"/>
  <c r="P191" i="3"/>
  <c r="P192" i="3"/>
  <c r="P190" i="3"/>
  <c r="AI114" i="1"/>
  <c r="S193" i="3"/>
  <c r="S190" i="3"/>
  <c r="S192" i="3"/>
  <c r="S191" i="3"/>
  <c r="AI125" i="3"/>
  <c r="AR18" i="1"/>
  <c r="AE130" i="3"/>
  <c r="R193" i="3"/>
  <c r="R190" i="3"/>
  <c r="R191" i="3"/>
  <c r="R192" i="3"/>
  <c r="AT18" i="1"/>
  <c r="AT24" i="1" s="1"/>
  <c r="AG130" i="3"/>
  <c r="AG134" i="1"/>
  <c r="AG141" i="1" s="1"/>
  <c r="AG151" i="1" s="1"/>
  <c r="R147" i="3"/>
  <c r="AG66" i="1" s="1"/>
  <c r="AR21" i="1"/>
  <c r="AR20" i="1" s="1"/>
  <c r="AI127" i="3"/>
  <c r="AV21" i="1" s="1"/>
  <c r="AV20" i="1" s="1"/>
  <c r="G19" i="4"/>
  <c r="U168" i="3"/>
  <c r="U169" i="3" s="1"/>
  <c r="U188" i="3"/>
  <c r="AB132" i="3"/>
  <c r="Z141" i="3" a="1"/>
  <c r="Z141" i="3" s="1"/>
  <c r="AP24" i="1"/>
  <c r="M194" i="3"/>
  <c r="M195" i="3" s="1"/>
  <c r="AG31" i="1" s="1"/>
  <c r="AG35" i="1" s="1"/>
  <c r="AG59" i="1"/>
  <c r="AF114" i="1"/>
  <c r="R145" i="3"/>
  <c r="AG64" i="1" s="1"/>
  <c r="G17" i="4"/>
  <c r="AC128" i="1"/>
  <c r="AD121" i="1"/>
  <c r="AM26" i="1"/>
  <c r="AM27" i="1" s="1"/>
  <c r="X142" i="3" a="1"/>
  <c r="X142" i="3" s="1"/>
  <c r="X143" i="3" a="1"/>
  <c r="X143" i="3" s="1"/>
  <c r="Q170" i="3"/>
  <c r="AK78" i="1"/>
  <c r="W168" i="3"/>
  <c r="W169" i="3" s="1"/>
  <c r="W188" i="3"/>
  <c r="AD132" i="3"/>
  <c r="AB141" i="3" a="1"/>
  <c r="AB141" i="3" s="1"/>
  <c r="N194" i="3"/>
  <c r="N195" i="3" s="1"/>
  <c r="AH31" i="1" s="1"/>
  <c r="AH35" i="1" s="1"/>
  <c r="AH39" i="1" s="1"/>
  <c r="AH59" i="1"/>
  <c r="T147" i="3"/>
  <c r="AI66" i="1" s="1"/>
  <c r="AI134" i="1"/>
  <c r="AI141" i="1" s="1"/>
  <c r="AI151" i="1" s="1"/>
  <c r="S170" i="3"/>
  <c r="AM78" i="1"/>
  <c r="AM84" i="1" s="1"/>
  <c r="T168" i="3"/>
  <c r="T169" i="3" s="1"/>
  <c r="T188" i="3"/>
  <c r="AA132" i="3"/>
  <c r="Y141" i="3" a="1"/>
  <c r="Y141" i="3" s="1"/>
  <c r="Y146" i="3" s="1"/>
  <c r="AN65" i="1" s="1"/>
  <c r="AL78" i="1"/>
  <c r="AL84" i="1" s="1"/>
  <c r="R170" i="3"/>
  <c r="AH134" i="1"/>
  <c r="AH141" i="1" s="1"/>
  <c r="AH151" i="1" s="1"/>
  <c r="S147" i="3"/>
  <c r="AH66" i="1" s="1"/>
  <c r="AH114" i="1"/>
  <c r="T145" i="3"/>
  <c r="AI64" i="1" s="1"/>
  <c r="AS18" i="1"/>
  <c r="AS24" i="1" s="1"/>
  <c r="AF130" i="3"/>
  <c r="L194" i="3"/>
  <c r="L195" i="3" s="1"/>
  <c r="AF31" i="1" s="1"/>
  <c r="AF35" i="1" s="1"/>
  <c r="AF59" i="1"/>
  <c r="G16" i="4" s="1"/>
  <c r="F19" i="4"/>
  <c r="AG84" i="1"/>
  <c r="AM113" i="1"/>
  <c r="AL26" i="1"/>
  <c r="AL27" i="1" s="1"/>
  <c r="W142" i="3" a="1"/>
  <c r="W142" i="3" s="1"/>
  <c r="W143" i="3" a="1"/>
  <c r="W143" i="3" s="1"/>
  <c r="AE58" i="1"/>
  <c r="AE69" i="1" s="1"/>
  <c r="AE41" i="1"/>
  <c r="AE72" i="1" s="1"/>
  <c r="AQ24" i="1"/>
  <c r="AI59" i="1"/>
  <c r="O194" i="3"/>
  <c r="O195" i="3" s="1"/>
  <c r="AI31" i="1" s="1"/>
  <c r="AI35" i="1" s="1"/>
  <c r="AI39" i="1" s="1"/>
  <c r="AF8" i="1"/>
  <c r="AF6" i="1"/>
  <c r="AB58" i="1" l="1"/>
  <c r="AB69" i="1" s="1"/>
  <c r="AE42" i="1"/>
  <c r="AE44" i="1" s="1"/>
  <c r="AE45" i="1" s="1"/>
  <c r="AE48" i="1" s="1"/>
  <c r="AE50" i="1" s="1"/>
  <c r="AE51" i="1" s="1"/>
  <c r="AD73" i="1"/>
  <c r="AD101" i="1" s="1"/>
  <c r="AF39" i="1"/>
  <c r="AF41" i="1" s="1"/>
  <c r="AF72" i="1" s="1"/>
  <c r="G13" i="4"/>
  <c r="AE73" i="1"/>
  <c r="AE101" i="1" s="1"/>
  <c r="AG39" i="1"/>
  <c r="AI58" i="1"/>
  <c r="AI69" i="1" s="1"/>
  <c r="AI41" i="1"/>
  <c r="AI72" i="1" s="1"/>
  <c r="AG41" i="1"/>
  <c r="AG72" i="1" s="1"/>
  <c r="AG58" i="1"/>
  <c r="AG69" i="1" s="1"/>
  <c r="AG42" i="1"/>
  <c r="AG44" i="1" s="1"/>
  <c r="AG45" i="1" s="1"/>
  <c r="AG48" i="1" s="1"/>
  <c r="AG50" i="1" s="1"/>
  <c r="AG51" i="1" s="1"/>
  <c r="AH58" i="1"/>
  <c r="AH69" i="1" s="1"/>
  <c r="AH41" i="1"/>
  <c r="AH72" i="1" s="1"/>
  <c r="AO113" i="1"/>
  <c r="AA146" i="3"/>
  <c r="AP65" i="1" s="1"/>
  <c r="AO26" i="1"/>
  <c r="AO27" i="1" s="1"/>
  <c r="Z143" i="3" a="1"/>
  <c r="Z143" i="3" s="1"/>
  <c r="Z142" i="3" a="1"/>
  <c r="Z142" i="3" s="1"/>
  <c r="AP26" i="1"/>
  <c r="AP27" i="1" s="1"/>
  <c r="AA142" i="3" a="1"/>
  <c r="AA142" i="3" s="1"/>
  <c r="AA143" i="3" a="1"/>
  <c r="AA143" i="3" s="1"/>
  <c r="V193" i="3"/>
  <c r="V192" i="3"/>
  <c r="V190" i="3"/>
  <c r="V191" i="3"/>
  <c r="R194" i="3"/>
  <c r="R195" i="3" s="1"/>
  <c r="AL31" i="1" s="1"/>
  <c r="AL35" i="1" s="1"/>
  <c r="AL39" i="1" s="1"/>
  <c r="AL59" i="1"/>
  <c r="U170" i="3"/>
  <c r="AO78" i="1"/>
  <c r="AO84" i="1" s="1"/>
  <c r="AQ26" i="1"/>
  <c r="AQ27" i="1" s="1"/>
  <c r="AB143" i="3" a="1"/>
  <c r="AB143" i="3" s="1"/>
  <c r="AB142" i="3" a="1"/>
  <c r="AB142" i="3" s="1"/>
  <c r="F20" i="4"/>
  <c r="W193" i="3"/>
  <c r="W191" i="3"/>
  <c r="W192" i="3"/>
  <c r="W190" i="3"/>
  <c r="AK134" i="1"/>
  <c r="AK141" i="1" s="1"/>
  <c r="AK151" i="1" s="1"/>
  <c r="V147" i="3"/>
  <c r="AK66" i="1" s="1"/>
  <c r="AB42" i="1"/>
  <c r="AB44" i="1" s="1"/>
  <c r="AB45" i="1" s="1"/>
  <c r="AB72" i="1"/>
  <c r="F14" i="4" s="1"/>
  <c r="F15" i="4" s="1"/>
  <c r="AN26" i="1"/>
  <c r="AN27" i="1" s="1"/>
  <c r="Y143" i="3" a="1"/>
  <c r="Y143" i="3" s="1"/>
  <c r="Y142" i="3" a="1"/>
  <c r="Y142" i="3" s="1"/>
  <c r="Y145" i="3" s="1"/>
  <c r="AN64" i="1" s="1"/>
  <c r="AR24" i="1"/>
  <c r="AK35" i="1"/>
  <c r="T193" i="3"/>
  <c r="T191" i="3"/>
  <c r="T192" i="3"/>
  <c r="T190" i="3"/>
  <c r="AK84" i="1"/>
  <c r="AJ114" i="1"/>
  <c r="V145" i="3"/>
  <c r="AK64" i="1" s="1"/>
  <c r="AD42" i="1"/>
  <c r="AD44" i="1" s="1"/>
  <c r="AD45" i="1" s="1"/>
  <c r="AD48" i="1" s="1"/>
  <c r="AD50" i="1" s="1"/>
  <c r="AD51" i="1" s="1"/>
  <c r="AL114" i="1"/>
  <c r="X145" i="3"/>
  <c r="AM64" i="1" s="1"/>
  <c r="AF58" i="1"/>
  <c r="AF69" i="1" s="1"/>
  <c r="AE121" i="1"/>
  <c r="AD128" i="1"/>
  <c r="AP113" i="1"/>
  <c r="AB146" i="3"/>
  <c r="AQ65" i="1" s="1"/>
  <c r="AQ113" i="1"/>
  <c r="X168" i="3"/>
  <c r="X169" i="3" s="1"/>
  <c r="X188" i="3"/>
  <c r="AE132" i="3"/>
  <c r="AC141" i="3" a="1"/>
  <c r="AC141" i="3" s="1"/>
  <c r="AC146" i="3" s="1"/>
  <c r="AR65" i="1" s="1"/>
  <c r="AA188" i="3"/>
  <c r="AA168" i="3"/>
  <c r="AA169" i="3" s="1"/>
  <c r="AH132" i="3"/>
  <c r="AF141" i="3" a="1"/>
  <c r="AF141" i="3" s="1"/>
  <c r="AV18" i="1"/>
  <c r="AV24" i="1" s="1"/>
  <c r="AI130" i="3"/>
  <c r="W170" i="3"/>
  <c r="AQ78" i="1"/>
  <c r="AQ84" i="1" s="1"/>
  <c r="T170" i="3"/>
  <c r="AN78" i="1"/>
  <c r="AN84" i="1" s="1"/>
  <c r="AJ134" i="1"/>
  <c r="AJ141" i="1" s="1"/>
  <c r="AJ151" i="1" s="1"/>
  <c r="U147" i="3"/>
  <c r="AJ66" i="1" s="1"/>
  <c r="H19" i="4" s="1"/>
  <c r="Y168" i="3"/>
  <c r="Y169" i="3" s="1"/>
  <c r="Y188" i="3"/>
  <c r="AF132" i="3"/>
  <c r="AD141" i="3" a="1"/>
  <c r="AD141" i="3" s="1"/>
  <c r="X147" i="3"/>
  <c r="AM66" i="1" s="1"/>
  <c r="AM134" i="1"/>
  <c r="AM141" i="1" s="1"/>
  <c r="AM151" i="1" s="1"/>
  <c r="Z168" i="3"/>
  <c r="Z169" i="3" s="1"/>
  <c r="Z188" i="3"/>
  <c r="AG132" i="3"/>
  <c r="AE141" i="3" a="1"/>
  <c r="AE141" i="3" s="1"/>
  <c r="AC58" i="1"/>
  <c r="AC69" i="1" s="1"/>
  <c r="AC41" i="1"/>
  <c r="AC72" i="1" s="1"/>
  <c r="U193" i="3"/>
  <c r="U190" i="3"/>
  <c r="U192" i="3"/>
  <c r="U191" i="3"/>
  <c r="H17" i="4"/>
  <c r="P194" i="3"/>
  <c r="P195" i="3" s="1"/>
  <c r="AJ31" i="1" s="1"/>
  <c r="AJ35" i="1" s="1"/>
  <c r="AJ39" i="1" s="1"/>
  <c r="AJ59" i="1"/>
  <c r="H16" i="4" s="1"/>
  <c r="AP78" i="1"/>
  <c r="AP84" i="1" s="1"/>
  <c r="V170" i="3"/>
  <c r="AK114" i="1"/>
  <c r="W145" i="3"/>
  <c r="AL64" i="1" s="1"/>
  <c r="AN113" i="1"/>
  <c r="Z146" i="3"/>
  <c r="AO65" i="1" s="1"/>
  <c r="Q194" i="3"/>
  <c r="Q195" i="3" s="1"/>
  <c r="AK31" i="1" s="1"/>
  <c r="AK59" i="1"/>
  <c r="AL134" i="1"/>
  <c r="AL141" i="1" s="1"/>
  <c r="AL151" i="1" s="1"/>
  <c r="W147" i="3"/>
  <c r="AL66" i="1" s="1"/>
  <c r="S194" i="3"/>
  <c r="S195" i="3" s="1"/>
  <c r="AM31" i="1" s="1"/>
  <c r="AM35" i="1" s="1"/>
  <c r="AM39" i="1" s="1"/>
  <c r="AM59" i="1"/>
  <c r="AM114" i="1"/>
  <c r="AG5" i="1"/>
  <c r="AF9" i="1"/>
  <c r="AF7" i="1"/>
  <c r="AG73" i="1" l="1"/>
  <c r="AG101" i="1" s="1"/>
  <c r="AC42" i="1"/>
  <c r="AC44" i="1" s="1"/>
  <c r="AC45" i="1" s="1"/>
  <c r="AC48" i="1" s="1"/>
  <c r="AC50" i="1" s="1"/>
  <c r="AC51" i="1" s="1"/>
  <c r="AI42" i="1"/>
  <c r="AI44" i="1" s="1"/>
  <c r="AI45" i="1" s="1"/>
  <c r="AI48" i="1" s="1"/>
  <c r="AI50" i="1" s="1"/>
  <c r="AI51" i="1" s="1"/>
  <c r="AH42" i="1"/>
  <c r="AH44" i="1" s="1"/>
  <c r="AH45" i="1" s="1"/>
  <c r="AH48" i="1" s="1"/>
  <c r="AH50" i="1" s="1"/>
  <c r="AH51" i="1" s="1"/>
  <c r="H13" i="4"/>
  <c r="G14" i="4"/>
  <c r="G15" i="4" s="1"/>
  <c r="G20" i="4" s="1"/>
  <c r="AF42" i="1"/>
  <c r="AF44" i="1" s="1"/>
  <c r="AF45" i="1" s="1"/>
  <c r="AF48" i="1" s="1"/>
  <c r="AF50" i="1" s="1"/>
  <c r="AF51" i="1" s="1"/>
  <c r="AK39" i="1"/>
  <c r="AK41" i="1" s="1"/>
  <c r="AK72" i="1" s="1"/>
  <c r="AB73" i="1"/>
  <c r="AB101" i="1" s="1"/>
  <c r="AB104" i="1" s="1"/>
  <c r="AB112" i="1" s="1"/>
  <c r="AB118" i="1" s="1"/>
  <c r="AB129" i="1" s="1"/>
  <c r="AL58" i="1"/>
  <c r="AL69" i="1" s="1"/>
  <c r="AL41" i="1"/>
  <c r="AL72" i="1" s="1"/>
  <c r="AL42" i="1"/>
  <c r="AL44" i="1" s="1"/>
  <c r="AL45" i="1" s="1"/>
  <c r="AL48" i="1" s="1"/>
  <c r="AL50" i="1" s="1"/>
  <c r="AL51" i="1" s="1"/>
  <c r="AJ58" i="1"/>
  <c r="AJ69" i="1" s="1"/>
  <c r="AJ41" i="1"/>
  <c r="AJ72" i="1" s="1"/>
  <c r="H14" i="4" s="1"/>
  <c r="AM58" i="1"/>
  <c r="AM69" i="1" s="1"/>
  <c r="AM41" i="1"/>
  <c r="AM72" i="1" s="1"/>
  <c r="AS113" i="1"/>
  <c r="AE146" i="3"/>
  <c r="AT65" i="1" s="1"/>
  <c r="AU113" i="1"/>
  <c r="AC73" i="1"/>
  <c r="AC101" i="1" s="1"/>
  <c r="AF121" i="1"/>
  <c r="AE128" i="1"/>
  <c r="AP114" i="1"/>
  <c r="AB145" i="3"/>
  <c r="AQ64" i="1" s="1"/>
  <c r="AA193" i="3"/>
  <c r="AA190" i="3"/>
  <c r="AA191" i="3"/>
  <c r="AA192" i="3"/>
  <c r="AN134" i="1"/>
  <c r="AN141" i="1" s="1"/>
  <c r="AN151" i="1" s="1"/>
  <c r="Y147" i="3"/>
  <c r="AN66" i="1" s="1"/>
  <c r="I19" i="4" s="1"/>
  <c r="AB147" i="3"/>
  <c r="AQ66" i="1" s="1"/>
  <c r="AQ134" i="1"/>
  <c r="AQ141" i="1" s="1"/>
  <c r="AQ151" i="1" s="1"/>
  <c r="I17" i="4"/>
  <c r="AO114" i="1"/>
  <c r="AA145" i="3"/>
  <c r="AP64" i="1" s="1"/>
  <c r="Z170" i="3"/>
  <c r="AT78" i="1"/>
  <c r="AT84" i="1" s="1"/>
  <c r="W194" i="3"/>
  <c r="W195" i="3" s="1"/>
  <c r="AQ31" i="1" s="1"/>
  <c r="AQ35" i="1" s="1"/>
  <c r="AQ39" i="1" s="1"/>
  <c r="AQ59" i="1"/>
  <c r="AP59" i="1"/>
  <c r="V194" i="3"/>
  <c r="V195" i="3" s="1"/>
  <c r="AP31" i="1" s="1"/>
  <c r="AP35" i="1" s="1"/>
  <c r="AP39" i="1" s="1"/>
  <c r="AH73" i="1"/>
  <c r="AH101" i="1" s="1"/>
  <c r="AU26" i="1"/>
  <c r="AU27" i="1" s="1"/>
  <c r="AF142" i="3" a="1"/>
  <c r="AF142" i="3" s="1"/>
  <c r="AF143" i="3" a="1"/>
  <c r="AF143" i="3" s="1"/>
  <c r="AA170" i="3"/>
  <c r="AU78" i="1"/>
  <c r="AU84" i="1" s="1"/>
  <c r="AN114" i="1"/>
  <c r="Z145" i="3"/>
  <c r="AO64" i="1" s="1"/>
  <c r="AO134" i="1"/>
  <c r="AO141" i="1" s="1"/>
  <c r="AO151" i="1" s="1"/>
  <c r="Z147" i="3"/>
  <c r="AO66" i="1" s="1"/>
  <c r="U194" i="3"/>
  <c r="U195" i="3" s="1"/>
  <c r="AO31" i="1" s="1"/>
  <c r="AO35" i="1" s="1"/>
  <c r="AO59" i="1"/>
  <c r="X170" i="3"/>
  <c r="AR78" i="1"/>
  <c r="AB168" i="3"/>
  <c r="AB169" i="3" s="1"/>
  <c r="AB188" i="3"/>
  <c r="AI132" i="3"/>
  <c r="AG141" i="3" a="1"/>
  <c r="AG141" i="3" s="1"/>
  <c r="AV113" i="1" s="1"/>
  <c r="AS26" i="1"/>
  <c r="AS27" i="1" s="1"/>
  <c r="AD142" i="3" a="1"/>
  <c r="AD142" i="3" s="1"/>
  <c r="AD143" i="3" a="1"/>
  <c r="AD143" i="3" s="1"/>
  <c r="Y193" i="3"/>
  <c r="Y192" i="3"/>
  <c r="Y190" i="3"/>
  <c r="Y191" i="3"/>
  <c r="AP134" i="1"/>
  <c r="AP141" i="1" s="1"/>
  <c r="AP151" i="1" s="1"/>
  <c r="AA147" i="3"/>
  <c r="AP66" i="1" s="1"/>
  <c r="Y170" i="3"/>
  <c r="AS78" i="1"/>
  <c r="AQ114" i="1"/>
  <c r="AT113" i="1"/>
  <c r="AF146" i="3"/>
  <c r="AU65" i="1" s="1"/>
  <c r="AR113" i="1"/>
  <c r="AD146" i="3"/>
  <c r="AS65" i="1" s="1"/>
  <c r="AT26" i="1"/>
  <c r="AT27" i="1" s="1"/>
  <c r="AE143" i="3" a="1"/>
  <c r="AE143" i="3" s="1"/>
  <c r="AE142" i="3" a="1"/>
  <c r="AE142" i="3" s="1"/>
  <c r="AR26" i="1"/>
  <c r="AR27" i="1" s="1"/>
  <c r="AC142" i="3" a="1"/>
  <c r="AC142" i="3" s="1"/>
  <c r="AC145" i="3" s="1"/>
  <c r="AR64" i="1" s="1"/>
  <c r="AC143" i="3" a="1"/>
  <c r="AC143" i="3" s="1"/>
  <c r="AB48" i="1"/>
  <c r="AB159" i="1"/>
  <c r="AC159" i="1" s="1"/>
  <c r="AD159" i="1" s="1"/>
  <c r="AE159" i="1" s="1"/>
  <c r="AF73" i="1"/>
  <c r="AF101" i="1" s="1"/>
  <c r="Z193" i="3"/>
  <c r="Z192" i="3"/>
  <c r="Z191" i="3"/>
  <c r="Z190" i="3"/>
  <c r="T194" i="3"/>
  <c r="T195" i="3" s="1"/>
  <c r="AN31" i="1" s="1"/>
  <c r="AN35" i="1" s="1"/>
  <c r="AN39" i="1" s="1"/>
  <c r="AN59" i="1"/>
  <c r="I16" i="4" s="1"/>
  <c r="X193" i="3"/>
  <c r="X191" i="3"/>
  <c r="X192" i="3"/>
  <c r="X190" i="3"/>
  <c r="AI73" i="1"/>
  <c r="AI101" i="1" s="1"/>
  <c r="AG6" i="1"/>
  <c r="AG8" i="1"/>
  <c r="H15" i="4" l="1"/>
  <c r="H20" i="4" s="1"/>
  <c r="AF159" i="1"/>
  <c r="AG159" i="1" s="1"/>
  <c r="AH159" i="1" s="1"/>
  <c r="AI159" i="1" s="1"/>
  <c r="AK58" i="1"/>
  <c r="AK69" i="1" s="1"/>
  <c r="AK73" i="1" s="1"/>
  <c r="AK101" i="1" s="1"/>
  <c r="I13" i="4"/>
  <c r="AJ73" i="1"/>
  <c r="AJ101" i="1" s="1"/>
  <c r="AJ42" i="1"/>
  <c r="AJ44" i="1" s="1"/>
  <c r="AJ45" i="1" s="1"/>
  <c r="AJ48" i="1" s="1"/>
  <c r="AJ50" i="1" s="1"/>
  <c r="AJ51" i="1" s="1"/>
  <c r="AM42" i="1"/>
  <c r="AM44" i="1" s="1"/>
  <c r="AM45" i="1" s="1"/>
  <c r="AM48" i="1" s="1"/>
  <c r="AM50" i="1" s="1"/>
  <c r="AM51" i="1" s="1"/>
  <c r="AC103" i="1"/>
  <c r="AC104" i="1" s="1"/>
  <c r="AC112" i="1" s="1"/>
  <c r="AC118" i="1" s="1"/>
  <c r="AC129" i="1" s="1"/>
  <c r="AO39" i="1"/>
  <c r="AO41" i="1" s="1"/>
  <c r="AO72" i="1" s="1"/>
  <c r="AM73" i="1"/>
  <c r="AM101" i="1" s="1"/>
  <c r="AN58" i="1"/>
  <c r="AN69" i="1" s="1"/>
  <c r="AN41" i="1"/>
  <c r="AN72" i="1" s="1"/>
  <c r="I14" i="4" s="1"/>
  <c r="AQ58" i="1"/>
  <c r="AQ69" i="1" s="1"/>
  <c r="AQ41" i="1"/>
  <c r="AQ72" i="1" s="1"/>
  <c r="AE147" i="3"/>
  <c r="AT66" i="1" s="1"/>
  <c r="AT134" i="1"/>
  <c r="AT141" i="1" s="1"/>
  <c r="AT151" i="1" s="1"/>
  <c r="J17" i="4"/>
  <c r="AR84" i="1"/>
  <c r="AU114" i="1"/>
  <c r="AB50" i="1"/>
  <c r="AB51" i="1" s="1"/>
  <c r="AG146" i="3"/>
  <c r="AV65" i="1" s="1"/>
  <c r="AF147" i="3"/>
  <c r="AU66" i="1" s="1"/>
  <c r="AU134" i="1"/>
  <c r="AU141" i="1" s="1"/>
  <c r="AU151" i="1" s="1"/>
  <c r="X194" i="3"/>
  <c r="X195" i="3" s="1"/>
  <c r="AR31" i="1" s="1"/>
  <c r="AR35" i="1" s="1"/>
  <c r="AR39" i="1" s="1"/>
  <c r="AR59" i="1"/>
  <c r="J16" i="4" s="1"/>
  <c r="AP58" i="1"/>
  <c r="AP69" i="1" s="1"/>
  <c r="AP41" i="1"/>
  <c r="AP72" i="1" s="1"/>
  <c r="Z194" i="3"/>
  <c r="Z195" i="3" s="1"/>
  <c r="AT31" i="1" s="1"/>
  <c r="AT35" i="1" s="1"/>
  <c r="AT39" i="1" s="1"/>
  <c r="AT59" i="1"/>
  <c r="AG121" i="1"/>
  <c r="AF128" i="1"/>
  <c r="AR134" i="1"/>
  <c r="AR141" i="1" s="1"/>
  <c r="AR151" i="1" s="1"/>
  <c r="AC147" i="3"/>
  <c r="AR66" i="1" s="1"/>
  <c r="J19" i="4" s="1"/>
  <c r="AR114" i="1"/>
  <c r="AD145" i="3"/>
  <c r="AS64" i="1" s="1"/>
  <c r="AV26" i="1"/>
  <c r="AV27" i="1" s="1"/>
  <c r="AG142" i="3" a="1"/>
  <c r="AG142" i="3" s="1"/>
  <c r="AV114" i="1" s="1"/>
  <c r="AG143" i="3" a="1"/>
  <c r="AG143" i="3" s="1"/>
  <c r="AK42" i="1"/>
  <c r="AK44" i="1" s="1"/>
  <c r="AK45" i="1" s="1"/>
  <c r="AK48" i="1" s="1"/>
  <c r="AK50" i="1" s="1"/>
  <c r="AK51" i="1" s="1"/>
  <c r="AT114" i="1"/>
  <c r="AF145" i="3"/>
  <c r="AU64" i="1" s="1"/>
  <c r="AV78" i="1"/>
  <c r="AV84" i="1" s="1"/>
  <c r="AB170" i="3"/>
  <c r="AA194" i="3"/>
  <c r="AA195" i="3" s="1"/>
  <c r="AU31" i="1" s="1"/>
  <c r="AU35" i="1" s="1"/>
  <c r="AU39" i="1" s="1"/>
  <c r="AU59" i="1"/>
  <c r="AS134" i="1"/>
  <c r="AS141" i="1" s="1"/>
  <c r="AS151" i="1" s="1"/>
  <c r="AD147" i="3"/>
  <c r="AS66" i="1" s="1"/>
  <c r="AS114" i="1"/>
  <c r="AE145" i="3"/>
  <c r="AT64" i="1" s="1"/>
  <c r="AS84" i="1"/>
  <c r="AS59" i="1"/>
  <c r="Y194" i="3"/>
  <c r="Y195" i="3" s="1"/>
  <c r="AS31" i="1" s="1"/>
  <c r="AS35" i="1" s="1"/>
  <c r="AB193" i="3"/>
  <c r="AB190" i="3"/>
  <c r="AB192" i="3"/>
  <c r="AB191" i="3"/>
  <c r="AL73" i="1"/>
  <c r="AL101" i="1" s="1"/>
  <c r="AH5" i="1"/>
  <c r="AG9" i="1"/>
  <c r="AG7" i="1"/>
  <c r="AJ159" i="1" l="1"/>
  <c r="AN42" i="1"/>
  <c r="AN44" i="1" s="1"/>
  <c r="AN45" i="1" s="1"/>
  <c r="AN48" i="1" s="1"/>
  <c r="AN50" i="1" s="1"/>
  <c r="AN51" i="1" s="1"/>
  <c r="AO58" i="1"/>
  <c r="AO69" i="1" s="1"/>
  <c r="AO73" i="1" s="1"/>
  <c r="AO101" i="1" s="1"/>
  <c r="AO42" i="1"/>
  <c r="AO44" i="1" s="1"/>
  <c r="AO45" i="1" s="1"/>
  <c r="AO48" i="1" s="1"/>
  <c r="AO50" i="1" s="1"/>
  <c r="AO51" i="1" s="1"/>
  <c r="AD103" i="1"/>
  <c r="AD104" i="1" s="1"/>
  <c r="AE103" i="1" s="1"/>
  <c r="AE104" i="1" s="1"/>
  <c r="AS39" i="1"/>
  <c r="AS41" i="1" s="1"/>
  <c r="AS72" i="1" s="1"/>
  <c r="AQ42" i="1"/>
  <c r="AQ44" i="1" s="1"/>
  <c r="AQ45" i="1" s="1"/>
  <c r="AQ48" i="1" s="1"/>
  <c r="AQ50" i="1" s="1"/>
  <c r="AQ51" i="1" s="1"/>
  <c r="J13" i="4"/>
  <c r="AK159" i="1"/>
  <c r="AL159" i="1" s="1"/>
  <c r="AM159" i="1" s="1"/>
  <c r="AN73" i="1"/>
  <c r="AN101" i="1" s="1"/>
  <c r="AR58" i="1"/>
  <c r="AR69" i="1" s="1"/>
  <c r="AR41" i="1"/>
  <c r="AR72" i="1" s="1"/>
  <c r="J14" i="4" s="1"/>
  <c r="AU58" i="1"/>
  <c r="AU69" i="1" s="1"/>
  <c r="AU41" i="1"/>
  <c r="AU72" i="1" s="1"/>
  <c r="AT58" i="1"/>
  <c r="AT69" i="1" s="1"/>
  <c r="AT41" i="1"/>
  <c r="AT72" i="1" s="1"/>
  <c r="AQ73" i="1"/>
  <c r="AQ101" i="1" s="1"/>
  <c r="AP42" i="1"/>
  <c r="AP44" i="1" s="1"/>
  <c r="AP45" i="1" s="1"/>
  <c r="AP48" i="1" s="1"/>
  <c r="AP50" i="1" s="1"/>
  <c r="AP51" i="1" s="1"/>
  <c r="AG145" i="3"/>
  <c r="AV64" i="1" s="1"/>
  <c r="I15" i="4"/>
  <c r="I20" i="4" s="1"/>
  <c r="AB194" i="3"/>
  <c r="AB195" i="3" s="1"/>
  <c r="AV31" i="1" s="1"/>
  <c r="AV35" i="1" s="1"/>
  <c r="AV39" i="1" s="1"/>
  <c r="AV59" i="1"/>
  <c r="K16" i="4" s="1"/>
  <c r="AD112" i="1"/>
  <c r="AD118" i="1" s="1"/>
  <c r="AD129" i="1" s="1"/>
  <c r="AV134" i="1"/>
  <c r="AV141" i="1" s="1"/>
  <c r="AV151" i="1" s="1"/>
  <c r="AG147" i="3"/>
  <c r="AV66" i="1" s="1"/>
  <c r="AP73" i="1"/>
  <c r="AP101" i="1" s="1"/>
  <c r="AB161" i="1"/>
  <c r="AC161" i="1" s="1"/>
  <c r="AD161" i="1" s="1"/>
  <c r="AE161" i="1" s="1"/>
  <c r="AF161" i="1" s="1"/>
  <c r="AG161" i="1" s="1"/>
  <c r="AH161" i="1" s="1"/>
  <c r="AI161" i="1" s="1"/>
  <c r="AJ161" i="1" s="1"/>
  <c r="AK161" i="1" s="1"/>
  <c r="AL161" i="1" s="1"/>
  <c r="AM161" i="1" s="1"/>
  <c r="AB158" i="1"/>
  <c r="K17" i="4"/>
  <c r="AG128" i="1"/>
  <c r="AH121" i="1"/>
  <c r="AH8" i="1"/>
  <c r="AH6" i="1"/>
  <c r="AR42" i="1" l="1"/>
  <c r="AR44" i="1" s="1"/>
  <c r="AR45" i="1" s="1"/>
  <c r="AR48" i="1" s="1"/>
  <c r="AR50" i="1" s="1"/>
  <c r="AR51" i="1" s="1"/>
  <c r="K19" i="4"/>
  <c r="AN159" i="1"/>
  <c r="AO159" i="1" s="1"/>
  <c r="AN161" i="1"/>
  <c r="AO161" i="1" s="1"/>
  <c r="AT42" i="1"/>
  <c r="AT44" i="1" s="1"/>
  <c r="AT45" i="1" s="1"/>
  <c r="AT48" i="1" s="1"/>
  <c r="AT50" i="1" s="1"/>
  <c r="AT51" i="1" s="1"/>
  <c r="AP161" i="1"/>
  <c r="AQ161" i="1" s="1"/>
  <c r="AU42" i="1"/>
  <c r="AU44" i="1" s="1"/>
  <c r="AU45" i="1" s="1"/>
  <c r="AU48" i="1" s="1"/>
  <c r="AU50" i="1" s="1"/>
  <c r="AU51" i="1" s="1"/>
  <c r="AS42" i="1"/>
  <c r="AS44" i="1" s="1"/>
  <c r="AS45" i="1" s="1"/>
  <c r="AS48" i="1" s="1"/>
  <c r="AS50" i="1" s="1"/>
  <c r="AS51" i="1" s="1"/>
  <c r="AS58" i="1"/>
  <c r="AS69" i="1" s="1"/>
  <c r="AS73" i="1" s="1"/>
  <c r="AS101" i="1" s="1"/>
  <c r="K13" i="4"/>
  <c r="AR161" i="1"/>
  <c r="AT73" i="1"/>
  <c r="AT101" i="1" s="1"/>
  <c r="AV58" i="1"/>
  <c r="AV69" i="1" s="1"/>
  <c r="AV41" i="1"/>
  <c r="AV72" i="1" s="1"/>
  <c r="K14" i="4" s="1"/>
  <c r="AU73" i="1"/>
  <c r="AU101" i="1" s="1"/>
  <c r="AH128" i="1"/>
  <c r="AI121" i="1"/>
  <c r="J15" i="4"/>
  <c r="J20" i="4" s="1"/>
  <c r="AE112" i="1"/>
  <c r="AE118" i="1" s="1"/>
  <c r="AE129" i="1" s="1"/>
  <c r="AF103" i="1"/>
  <c r="AF104" i="1" s="1"/>
  <c r="AB160" i="1"/>
  <c r="AB162" i="1" s="1"/>
  <c r="AB164" i="1" s="1"/>
  <c r="AB166" i="1" s="1"/>
  <c r="AC158" i="1"/>
  <c r="AP159" i="1"/>
  <c r="AQ159" i="1" s="1"/>
  <c r="AR159" i="1" s="1"/>
  <c r="AS159" i="1" s="1"/>
  <c r="AT159" i="1" s="1"/>
  <c r="AU159" i="1" s="1"/>
  <c r="AR73" i="1"/>
  <c r="AR101" i="1" s="1"/>
  <c r="AI5" i="1"/>
  <c r="AH9" i="1"/>
  <c r="AH7" i="1"/>
  <c r="AV42" i="1" l="1"/>
  <c r="AV44" i="1" s="1"/>
  <c r="AV45" i="1" s="1"/>
  <c r="AV48" i="1" s="1"/>
  <c r="K15" i="4"/>
  <c r="K20" i="4" s="1"/>
  <c r="L20" i="4" s="1"/>
  <c r="AS161" i="1"/>
  <c r="AT161" i="1" s="1"/>
  <c r="AU161" i="1" s="1"/>
  <c r="AI128" i="1"/>
  <c r="AJ121" i="1"/>
  <c r="AC160" i="1"/>
  <c r="AC162" i="1" s="1"/>
  <c r="AC164" i="1" s="1"/>
  <c r="AC166" i="1" s="1"/>
  <c r="AD158" i="1"/>
  <c r="AV50" i="1"/>
  <c r="AF112" i="1"/>
  <c r="AF118" i="1" s="1"/>
  <c r="AF129" i="1" s="1"/>
  <c r="AG103" i="1"/>
  <c r="AG104" i="1" s="1"/>
  <c r="AV73" i="1"/>
  <c r="AV101" i="1" s="1"/>
  <c r="AI8" i="1"/>
  <c r="AI6" i="1"/>
  <c r="AV159" i="1" l="1"/>
  <c r="D23" i="4"/>
  <c r="D26" i="4" s="1"/>
  <c r="D28" i="4" s="1"/>
  <c r="AV161" i="1"/>
  <c r="AV51" i="1"/>
  <c r="AG112" i="1"/>
  <c r="AG118" i="1" s="1"/>
  <c r="AG129" i="1" s="1"/>
  <c r="AH103" i="1"/>
  <c r="AH104" i="1" s="1"/>
  <c r="AE158" i="1"/>
  <c r="AD160" i="1"/>
  <c r="AD162" i="1" s="1"/>
  <c r="AD164" i="1" s="1"/>
  <c r="AD166" i="1" s="1"/>
  <c r="AK121" i="1"/>
  <c r="AJ128" i="1"/>
  <c r="AJ5" i="1"/>
  <c r="AI7" i="1"/>
  <c r="AI9" i="1"/>
  <c r="AL121" i="1" l="1"/>
  <c r="AK128" i="1"/>
  <c r="AF158" i="1"/>
  <c r="AE160" i="1"/>
  <c r="AE162" i="1" s="1"/>
  <c r="AE164" i="1" s="1"/>
  <c r="AE166" i="1" s="1"/>
  <c r="AH112" i="1"/>
  <c r="AH118" i="1" s="1"/>
  <c r="AH129" i="1" s="1"/>
  <c r="AI103" i="1"/>
  <c r="AI104" i="1" s="1"/>
  <c r="AJ8" i="1"/>
  <c r="AJ6" i="1"/>
  <c r="AI112" i="1" l="1"/>
  <c r="AI118" i="1" s="1"/>
  <c r="AI129" i="1" s="1"/>
  <c r="AJ103" i="1"/>
  <c r="AJ104" i="1" s="1"/>
  <c r="AG158" i="1"/>
  <c r="AF160" i="1"/>
  <c r="AF162" i="1" s="1"/>
  <c r="AF164" i="1" s="1"/>
  <c r="AF166" i="1" s="1"/>
  <c r="AM121" i="1"/>
  <c r="AL128" i="1"/>
  <c r="AJ7" i="1"/>
  <c r="AK5" i="1"/>
  <c r="AJ9" i="1"/>
  <c r="AN121" i="1" l="1"/>
  <c r="AM128" i="1"/>
  <c r="AH158" i="1"/>
  <c r="AG160" i="1"/>
  <c r="AG162" i="1" s="1"/>
  <c r="AG164" i="1" s="1"/>
  <c r="AG166" i="1" s="1"/>
  <c r="AK103" i="1"/>
  <c r="AK104" i="1" s="1"/>
  <c r="AJ112" i="1"/>
  <c r="AJ118" i="1" s="1"/>
  <c r="AJ129" i="1" s="1"/>
  <c r="AK8" i="1"/>
  <c r="AK6" i="1"/>
  <c r="AK112" i="1" l="1"/>
  <c r="AK118" i="1" s="1"/>
  <c r="AK129" i="1" s="1"/>
  <c r="AL103" i="1"/>
  <c r="AL104" i="1" s="1"/>
  <c r="AI158" i="1"/>
  <c r="AH160" i="1"/>
  <c r="AH162" i="1" s="1"/>
  <c r="AH164" i="1" s="1"/>
  <c r="AH166" i="1" s="1"/>
  <c r="AO121" i="1"/>
  <c r="AN128" i="1"/>
  <c r="AK7" i="1"/>
  <c r="AL5" i="1"/>
  <c r="AK9" i="1"/>
  <c r="AP121" i="1" l="1"/>
  <c r="AO128" i="1"/>
  <c r="AI160" i="1"/>
  <c r="AI162" i="1" s="1"/>
  <c r="AI164" i="1" s="1"/>
  <c r="AI166" i="1" s="1"/>
  <c r="AJ158" i="1"/>
  <c r="AM103" i="1"/>
  <c r="AM104" i="1" s="1"/>
  <c r="AL112" i="1"/>
  <c r="AL118" i="1" s="1"/>
  <c r="AL129" i="1" s="1"/>
  <c r="AL8" i="1"/>
  <c r="AL6" i="1"/>
  <c r="AM112" i="1" l="1"/>
  <c r="AM118" i="1" s="1"/>
  <c r="AM129" i="1" s="1"/>
  <c r="AN103" i="1"/>
  <c r="AN104" i="1" s="1"/>
  <c r="AK158" i="1"/>
  <c r="AJ160" i="1"/>
  <c r="AJ162" i="1" s="1"/>
  <c r="AJ164" i="1" s="1"/>
  <c r="AJ166" i="1" s="1"/>
  <c r="AQ121" i="1"/>
  <c r="AP128" i="1"/>
  <c r="AL7" i="1"/>
  <c r="AM5" i="1"/>
  <c r="AL9" i="1"/>
  <c r="AR121" i="1" l="1"/>
  <c r="AQ128" i="1"/>
  <c r="AL158" i="1"/>
  <c r="AK160" i="1"/>
  <c r="AK162" i="1" s="1"/>
  <c r="AK164" i="1" s="1"/>
  <c r="AK166" i="1" s="1"/>
  <c r="AN112" i="1"/>
  <c r="AN118" i="1" s="1"/>
  <c r="AN129" i="1" s="1"/>
  <c r="AO103" i="1"/>
  <c r="AO104" i="1" s="1"/>
  <c r="AM8" i="1"/>
  <c r="AM6" i="1"/>
  <c r="AO112" i="1" l="1"/>
  <c r="AO118" i="1" s="1"/>
  <c r="AO129" i="1" s="1"/>
  <c r="AP103" i="1"/>
  <c r="AP104" i="1" s="1"/>
  <c r="AL160" i="1"/>
  <c r="AL162" i="1" s="1"/>
  <c r="AL164" i="1" s="1"/>
  <c r="AL166" i="1" s="1"/>
  <c r="AM158" i="1"/>
  <c r="AS121" i="1"/>
  <c r="AR128" i="1"/>
  <c r="AM7" i="1"/>
  <c r="AM9" i="1"/>
  <c r="AN5" i="1"/>
  <c r="AT121" i="1" l="1"/>
  <c r="AS128" i="1"/>
  <c r="AN158" i="1"/>
  <c r="AM160" i="1"/>
  <c r="AM162" i="1" s="1"/>
  <c r="AM164" i="1" s="1"/>
  <c r="AM166" i="1" s="1"/>
  <c r="AP112" i="1"/>
  <c r="AP118" i="1" s="1"/>
  <c r="AP129" i="1" s="1"/>
  <c r="AQ103" i="1"/>
  <c r="AQ104" i="1" s="1"/>
  <c r="AN8" i="1"/>
  <c r="AN6" i="1"/>
  <c r="AQ112" i="1" l="1"/>
  <c r="AQ118" i="1" s="1"/>
  <c r="AQ129" i="1" s="1"/>
  <c r="AR103" i="1"/>
  <c r="AR104" i="1" s="1"/>
  <c r="AO158" i="1"/>
  <c r="AN160" i="1"/>
  <c r="AN162" i="1" s="1"/>
  <c r="AN164" i="1" s="1"/>
  <c r="AN166" i="1" s="1"/>
  <c r="AU121" i="1"/>
  <c r="AT128" i="1"/>
  <c r="AN7" i="1"/>
  <c r="AO5" i="1"/>
  <c r="AN9" i="1"/>
  <c r="AV121" i="1" l="1"/>
  <c r="AV128" i="1" s="1"/>
  <c r="AU128" i="1"/>
  <c r="AP158" i="1"/>
  <c r="AO160" i="1"/>
  <c r="AO162" i="1" s="1"/>
  <c r="AO164" i="1" s="1"/>
  <c r="AO166" i="1" s="1"/>
  <c r="AR112" i="1"/>
  <c r="AR118" i="1" s="1"/>
  <c r="AR129" i="1" s="1"/>
  <c r="AS103" i="1"/>
  <c r="AS104" i="1" s="1"/>
  <c r="AO6" i="1"/>
  <c r="AO8" i="1"/>
  <c r="AS112" i="1" l="1"/>
  <c r="AS118" i="1" s="1"/>
  <c r="AS129" i="1" s="1"/>
  <c r="AT103" i="1"/>
  <c r="AT104" i="1" s="1"/>
  <c r="AQ158" i="1"/>
  <c r="AP160" i="1"/>
  <c r="AP162" i="1" s="1"/>
  <c r="AP164" i="1" s="1"/>
  <c r="AP166" i="1" s="1"/>
  <c r="AO7" i="1"/>
  <c r="AO9" i="1"/>
  <c r="AP5" i="1"/>
  <c r="AR158" i="1" l="1"/>
  <c r="AQ160" i="1"/>
  <c r="AQ162" i="1" s="1"/>
  <c r="AQ164" i="1" s="1"/>
  <c r="AQ166" i="1" s="1"/>
  <c r="AU103" i="1"/>
  <c r="AU104" i="1" s="1"/>
  <c r="AT112" i="1"/>
  <c r="AT118" i="1" s="1"/>
  <c r="AT129" i="1" s="1"/>
  <c r="AP6" i="1"/>
  <c r="AP8" i="1"/>
  <c r="AU112" i="1" l="1"/>
  <c r="AU118" i="1" s="1"/>
  <c r="AU129" i="1" s="1"/>
  <c r="AV103" i="1"/>
  <c r="AV104" i="1" s="1"/>
  <c r="AV112" i="1" s="1"/>
  <c r="AV118" i="1" s="1"/>
  <c r="AV129" i="1" s="1"/>
  <c r="AS158" i="1"/>
  <c r="AR160" i="1"/>
  <c r="AR162" i="1" s="1"/>
  <c r="AR164" i="1" s="1"/>
  <c r="AR166" i="1" s="1"/>
  <c r="AP9" i="1"/>
  <c r="AQ5" i="1"/>
  <c r="AP7" i="1"/>
  <c r="AT158" i="1" l="1"/>
  <c r="AS160" i="1"/>
  <c r="AS162" i="1" s="1"/>
  <c r="AS164" i="1" s="1"/>
  <c r="AS166" i="1" s="1"/>
  <c r="AQ6" i="1"/>
  <c r="AQ8" i="1"/>
  <c r="AU158" i="1" l="1"/>
  <c r="AT160" i="1"/>
  <c r="AT162" i="1" s="1"/>
  <c r="AT164" i="1" s="1"/>
  <c r="AT166" i="1" s="1"/>
  <c r="AQ7" i="1"/>
  <c r="AQ9" i="1"/>
  <c r="AR5" i="1"/>
  <c r="AV158" i="1" l="1"/>
  <c r="AV160" i="1" s="1"/>
  <c r="AV162" i="1" s="1"/>
  <c r="AV164" i="1" s="1"/>
  <c r="AV166" i="1" s="1"/>
  <c r="AU160" i="1"/>
  <c r="AU162" i="1" s="1"/>
  <c r="AU164" i="1" s="1"/>
  <c r="AU166" i="1" s="1"/>
  <c r="AR6" i="1"/>
  <c r="AR8" i="1"/>
  <c r="AR9" i="1" l="1"/>
  <c r="AR7" i="1"/>
  <c r="AS5" i="1"/>
  <c r="AS6" i="1" l="1"/>
  <c r="AS8" i="1"/>
  <c r="AT5" i="1" l="1"/>
  <c r="AS7" i="1"/>
  <c r="AS9" i="1"/>
  <c r="AT6" i="1" l="1"/>
  <c r="AT8" i="1"/>
  <c r="AU5" i="1" l="1"/>
  <c r="AT9" i="1"/>
  <c r="AT7" i="1"/>
  <c r="AU8" i="1" l="1"/>
  <c r="AU6" i="1"/>
  <c r="AV5" i="1" l="1"/>
  <c r="AU9" i="1"/>
  <c r="AU7" i="1"/>
  <c r="AV8" i="1" l="1"/>
  <c r="AV6" i="1"/>
  <c r="AV9" i="1" l="1"/>
  <c r="AV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tc={C9568996-9AE1-4EBD-915B-835382B88C8E}</author>
    <author>tc={D3190F21-DE10-4569-BAB5-AD6F9970A41B}</author>
    <author>tc={80AC4A47-1A66-4FDD-86E7-3EDA0E35C00F}</author>
    <author>tc={889A814A-A598-4522-AF71-17E6F16A15C2}</author>
    <author>xingyan zhao</author>
  </authors>
  <commentList>
    <comment ref="D102" authorId="0" shapeId="0" xr:uid="{C9568996-9AE1-4EBD-915B-835382B88C8E}">
      <text>
        <t>[Threaded comment]
Your version of Excel allows you to read this threaded comment; however, any edits to it will get removed if the file is opened in a newer version of Excel. Learn more: https://go.microsoft.com/fwlink/?linkid=870924
Comment:
    Japanese PPI</t>
      </text>
    </comment>
    <comment ref="C121" authorId="1" shapeId="0" xr:uid="{D3190F21-DE10-4569-BAB5-AD6F9970A41B}">
      <text>
        <t>[Threaded comment]
Your version of Excel allows you to read this threaded comment; however, any edits to it will get removed if the file is opened in a newer version of Excel. Learn more: https://go.microsoft.com/fwlink/?linkid=870924
Comment:
    7.5 % is median of forecasted Nissin food price revision in Apr FY2027. Adjusted downwards for premiumisation adjustment</t>
      </text>
    </comment>
    <comment ref="C123" authorId="2" shapeId="0" xr:uid="{80AC4A47-1A66-4FDD-86E7-3EDA0E35C00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Modelled after premium adjustment to Nissin Food Products. Slight downward adjustment to estimate a conservative figure 
</t>
      </text>
    </comment>
    <comment ref="C124" authorId="3" shapeId="0" xr:uid="{889A814A-A598-4522-AF71-17E6F16A15C2}">
      <text>
        <t>[Threaded comment]
Your version of Excel allows you to read this threaded comment; however, any edits to it will get removed if the file is opened in a newer version of Excel. Learn more: https://go.microsoft.com/fwlink/?linkid=870924
Comment:
    Lower premium adjustment to China and Domestic due to lower spending power vs America. Modelled conservatively</t>
      </text>
    </comment>
    <comment ref="B180" authorId="4" shapeId="0" xr:uid="{3F0A2562-37A3-4A1C-B7A4-42352599B3F3}">
      <text>
        <r>
          <rPr>
            <b/>
            <sz val="9"/>
            <color indexed="81"/>
            <rFont val="Tahoma"/>
            <family val="2"/>
          </rPr>
          <t>xingyan zhao:</t>
        </r>
        <r>
          <rPr>
            <sz val="9"/>
            <color indexed="81"/>
            <rFont val="Tahoma"/>
            <family val="2"/>
          </rPr>
          <t xml:space="preserve">
Management mentioned cutting of promotional expense moving forward -&gt; likely to revert to mean 2.5%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xingyan zhao</author>
  </authors>
  <commentList>
    <comment ref="H62" authorId="0" shapeId="0" xr:uid="{3CFEB713-C5B7-457A-BC6D-B2EE10FBD292}">
      <text>
        <r>
          <rPr>
            <b/>
            <sz val="9"/>
            <color indexed="81"/>
            <rFont val="Tahoma"/>
            <family val="2"/>
          </rPr>
          <t>xingyan zhao:</t>
        </r>
        <r>
          <rPr>
            <sz val="9"/>
            <color indexed="81"/>
            <rFont val="Tahoma"/>
            <family val="2"/>
          </rPr>
          <t xml:space="preserve">
Manual override due to timing issue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tc={FF7E6156-67C8-4D2B-A0D4-67B03D3C465A}</author>
  </authors>
  <commentList>
    <comment ref="B46" authorId="0" shapeId="0" xr:uid="{FF7E6156-67C8-4D2B-A0D4-67B03D3C465A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historical since bottom up is negative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<sst xmlns="http://schemas.openxmlformats.org/spreadsheetml/2006/main" count="1031" uniqueCount="476">
  <si>
    <t>Nanyang Capital Stock Pitch Competition 2026</t>
  </si>
  <si>
    <t>Valuation Model</t>
  </si>
  <si>
    <t>NISSIN TSE: 2879</t>
  </si>
  <si>
    <t>Nissin Foods Holdings Co Ltd</t>
  </si>
  <si>
    <t>(2897 JT)</t>
  </si>
  <si>
    <t>Period Start</t>
  </si>
  <si>
    <t>Period End</t>
  </si>
  <si>
    <t>FY</t>
  </si>
  <si>
    <t>In Thousands of JPY</t>
  </si>
  <si>
    <t>Quarter</t>
  </si>
  <si>
    <t>Days</t>
  </si>
  <si>
    <t>#</t>
  </si>
  <si>
    <t>Historical Quarterly Results</t>
  </si>
  <si>
    <t>Revenue</t>
  </si>
  <si>
    <t>Latest % of Revenue</t>
  </si>
  <si>
    <t>Instant Noodles</t>
  </si>
  <si>
    <t>$</t>
  </si>
  <si>
    <t>Nissin Food Products</t>
  </si>
  <si>
    <t>Myojo Foods</t>
  </si>
  <si>
    <t>The Americas</t>
  </si>
  <si>
    <t>China</t>
  </si>
  <si>
    <t>Chilled / Frozen Foods &amp; Beverages</t>
  </si>
  <si>
    <t>Confectionery / Snack</t>
  </si>
  <si>
    <t>Others</t>
  </si>
  <si>
    <t>Domestic</t>
  </si>
  <si>
    <t>Asia</t>
  </si>
  <si>
    <t>EMEA</t>
  </si>
  <si>
    <t>Total Revenue</t>
  </si>
  <si>
    <t>COGS</t>
  </si>
  <si>
    <t>Gross Profit</t>
  </si>
  <si>
    <t>Mean</t>
  </si>
  <si>
    <t>COGS Margin %</t>
  </si>
  <si>
    <t>Gross Profit Margin %</t>
  </si>
  <si>
    <t>Accounts Receivable And Other Receivables</t>
  </si>
  <si>
    <t>Inventories</t>
  </si>
  <si>
    <t>Trade Payable And Other Payables</t>
  </si>
  <si>
    <t>Average</t>
  </si>
  <si>
    <t>Q1</t>
  </si>
  <si>
    <t>Q2</t>
  </si>
  <si>
    <t>Q3</t>
  </si>
  <si>
    <t>Q4</t>
  </si>
  <si>
    <t>DSO</t>
  </si>
  <si>
    <t>DIO</t>
  </si>
  <si>
    <t>DPO</t>
  </si>
  <si>
    <t>YoY Quarterly Growth Rate (in %)</t>
  </si>
  <si>
    <t xml:space="preserve">Arethmetic Mean </t>
  </si>
  <si>
    <t>Geometric Mean</t>
  </si>
  <si>
    <t>Historical Revenue (Annual)</t>
  </si>
  <si>
    <t>YoY Annual Growth Rate (in %)</t>
  </si>
  <si>
    <t>COGS &amp; Revenue Schedule</t>
  </si>
  <si>
    <t>*Yellow box in column D is for the estimated annual growth in costs for these inputs</t>
  </si>
  <si>
    <t>*Table on right is for what % of total cost each input takes up for each revenue segment. If no info available about cost breakdown of each segment, just take average of inputs</t>
  </si>
  <si>
    <t>Annual Growth Portion</t>
  </si>
  <si>
    <t>Inputs</t>
  </si>
  <si>
    <t>Annual Growth %</t>
  </si>
  <si>
    <t>Palm Oil</t>
  </si>
  <si>
    <t>Nissin</t>
  </si>
  <si>
    <t>Myojo</t>
  </si>
  <si>
    <t>Americas</t>
  </si>
  <si>
    <t>Wheat</t>
  </si>
  <si>
    <t>Packaging (plastic)</t>
  </si>
  <si>
    <t>Raw ingredients</t>
  </si>
  <si>
    <t>Input 5</t>
  </si>
  <si>
    <t>Input 6</t>
  </si>
  <si>
    <t>Total Cost Increase (YoY %)</t>
  </si>
  <si>
    <t>Check Total %</t>
  </si>
  <si>
    <t>Growth Portion %</t>
  </si>
  <si>
    <t>Revenue Margin Portion %</t>
  </si>
  <si>
    <t>*% Growth = % Price Increase (Cost) + % Premium + % Customer growth</t>
  </si>
  <si>
    <t>*Fill in Yellow (Premiumisation products adjustment) and Light grey (customer increase %)</t>
  </si>
  <si>
    <t>Actual</t>
  </si>
  <si>
    <t>Projected</t>
  </si>
  <si>
    <t>Premium %</t>
  </si>
  <si>
    <t>Cost %</t>
  </si>
  <si>
    <t>Customer %</t>
  </si>
  <si>
    <t>Historical %</t>
  </si>
  <si>
    <t>Driver</t>
  </si>
  <si>
    <t>Factor %</t>
  </si>
  <si>
    <t>Bull Case</t>
  </si>
  <si>
    <t>Growth %</t>
  </si>
  <si>
    <t>Margin %</t>
  </si>
  <si>
    <t>Working Capital Schedule</t>
  </si>
  <si>
    <t>Accounts Receivable</t>
  </si>
  <si>
    <t>Trade Payable</t>
  </si>
  <si>
    <t>(Increase) decrease in inventories</t>
  </si>
  <si>
    <t>(Increase) decrease in trade and other receivables</t>
  </si>
  <si>
    <t>Increase (decrease) in trade and other payables</t>
  </si>
  <si>
    <t>PPE Schedule</t>
  </si>
  <si>
    <t>Historical</t>
  </si>
  <si>
    <t>CapEx</t>
  </si>
  <si>
    <t>BAU</t>
  </si>
  <si>
    <t>Expand</t>
  </si>
  <si>
    <t>CapEx / Revenue</t>
  </si>
  <si>
    <t>Period</t>
  </si>
  <si>
    <t>Depreciation &amp; Amortisation</t>
  </si>
  <si>
    <t>D&amp;A / CapEx</t>
  </si>
  <si>
    <t>Check</t>
  </si>
  <si>
    <t>Non-match</t>
  </si>
  <si>
    <t>Projections</t>
  </si>
  <si>
    <t>Based on management's plans</t>
  </si>
  <si>
    <t>SG&amp;A Schedule</t>
  </si>
  <si>
    <t>*Used annual expense ratio (% of annual revenue)</t>
  </si>
  <si>
    <t>*D&amp;A Expense is baked into SG&amp;A</t>
  </si>
  <si>
    <t>Average %</t>
  </si>
  <si>
    <t>Advertising Expense Ratio</t>
  </si>
  <si>
    <t>Distribution Expense Ratio</t>
  </si>
  <si>
    <t>Promotional Expense Ratio</t>
  </si>
  <si>
    <t>Total</t>
  </si>
  <si>
    <t>Actual or Forecast</t>
  </si>
  <si>
    <t>Forecast</t>
  </si>
  <si>
    <t>Note</t>
  </si>
  <si>
    <t>Income Statement</t>
  </si>
  <si>
    <t>Revenue Schedule</t>
  </si>
  <si>
    <t>Cost of Sales</t>
  </si>
  <si>
    <t>Cost Schedule</t>
  </si>
  <si>
    <t>Operating Expenses</t>
  </si>
  <si>
    <t>SG&amp;A Expense</t>
  </si>
  <si>
    <t>Other Income</t>
  </si>
  <si>
    <t>Normalised</t>
  </si>
  <si>
    <t>Other Expense</t>
  </si>
  <si>
    <t>Gain on investments accounted for using the equity method</t>
  </si>
  <si>
    <t>Total Operating Income</t>
  </si>
  <si>
    <t>Finance Income</t>
  </si>
  <si>
    <t>Finance Costs</t>
  </si>
  <si>
    <t>Profit before Tax</t>
  </si>
  <si>
    <t>Income Tax Expense</t>
  </si>
  <si>
    <t>Eff Tax Rate</t>
  </si>
  <si>
    <t>Profit after Tax</t>
  </si>
  <si>
    <t>NCI claim of Profit</t>
  </si>
  <si>
    <t>Historical Proportion</t>
  </si>
  <si>
    <t>Profit to owners of parent</t>
  </si>
  <si>
    <t>Total OCI</t>
  </si>
  <si>
    <t>Total Comprehensive Income</t>
  </si>
  <si>
    <t>NCI claim of Comprehensive Income</t>
  </si>
  <si>
    <t>Comprehensive Income to owners of parent</t>
  </si>
  <si>
    <t>Statement of Cashflows</t>
  </si>
  <si>
    <t>Operating Activities</t>
  </si>
  <si>
    <t>Profit before tax</t>
  </si>
  <si>
    <t>P&amp;L</t>
  </si>
  <si>
    <t>Depreciation and Amortisation</t>
  </si>
  <si>
    <t>Increase (decrease) in defined benefit liabilities</t>
  </si>
  <si>
    <t>Finance income and costs</t>
  </si>
  <si>
    <t>None</t>
  </si>
  <si>
    <t>(Gain) loss on investments using equity method</t>
  </si>
  <si>
    <t>(Gain) loss on sales and retirement of PPE and others</t>
  </si>
  <si>
    <t>WC Schedule</t>
  </si>
  <si>
    <t>Impairments</t>
  </si>
  <si>
    <t>Ignore</t>
  </si>
  <si>
    <t>Other</t>
  </si>
  <si>
    <t>Subtotal</t>
  </si>
  <si>
    <t>Interest and dividends received</t>
  </si>
  <si>
    <t>P&amp;L Finance Income</t>
  </si>
  <si>
    <t>Interest paid</t>
  </si>
  <si>
    <t>P&amp;L Finance Costs</t>
  </si>
  <si>
    <t>Income taxes paid</t>
  </si>
  <si>
    <t>Use eff tax rate</t>
  </si>
  <si>
    <t>Cashflows from Operating Activities</t>
  </si>
  <si>
    <t>Investing Activities</t>
  </si>
  <si>
    <t>Payment into time deposits</t>
  </si>
  <si>
    <t>Constant</t>
  </si>
  <si>
    <t>Proceeds from redemption of time deposits</t>
  </si>
  <si>
    <t>1 year later</t>
  </si>
  <si>
    <t>Payment for purchases of PPE and others</t>
  </si>
  <si>
    <t>Proceeds from sales of PPE and others</t>
  </si>
  <si>
    <t>Payment for acquisition of intangible assets</t>
  </si>
  <si>
    <t>Payment for purchases of investments in securities</t>
  </si>
  <si>
    <t>Previous year</t>
  </si>
  <si>
    <t>Proceeds from sales &amp; redemption of investments in securities</t>
  </si>
  <si>
    <t>No other investments</t>
  </si>
  <si>
    <t>Cashflows from Investing Activities</t>
  </si>
  <si>
    <t>Financing Activities</t>
  </si>
  <si>
    <t>Net increase (decrease) in short-term borrowings</t>
  </si>
  <si>
    <t>Net increase (decrease) in commercial papers</t>
  </si>
  <si>
    <t>No new borrowings</t>
  </si>
  <si>
    <t>Proceeds from long-term borrowings</t>
  </si>
  <si>
    <t>Repayment of long-term borrowings</t>
  </si>
  <si>
    <t>Indefinite Rollover</t>
  </si>
  <si>
    <t>Proceeds Of issuance Of Bonds</t>
  </si>
  <si>
    <t>No new issuances</t>
  </si>
  <si>
    <t>Repayment of Lease Liabilities</t>
  </si>
  <si>
    <t>No Leases</t>
  </si>
  <si>
    <t>Net increase in treasury shares</t>
  </si>
  <si>
    <t>No new buybacks</t>
  </si>
  <si>
    <t>Cash dividends paid</t>
  </si>
  <si>
    <t>Cash dividends paid to NCI shareholders</t>
  </si>
  <si>
    <t>Other Distributions to NCI shareholders</t>
  </si>
  <si>
    <t>No other distributions</t>
  </si>
  <si>
    <t>Plug from B/S</t>
  </si>
  <si>
    <t>Cashflows from Financing Activities</t>
  </si>
  <si>
    <t>Effect of exchange rate changes on cash and cash equivalents</t>
  </si>
  <si>
    <t>Net increase (decrease) in cash and cash equivalents</t>
  </si>
  <si>
    <t>Cash and cash equivalents at the beginning of the period</t>
  </si>
  <si>
    <t>Cash and cash equivalents at the end of the period</t>
  </si>
  <si>
    <t>Balance Sheet</t>
  </si>
  <si>
    <t>Assets</t>
  </si>
  <si>
    <t>Current Assets</t>
  </si>
  <si>
    <t>Cash and Equivalents</t>
  </si>
  <si>
    <t>CF Statement</t>
  </si>
  <si>
    <t>Taxes Receivable</t>
  </si>
  <si>
    <t>Short-Term Investments</t>
  </si>
  <si>
    <t>Other Current Assets</t>
  </si>
  <si>
    <t>Plug</t>
  </si>
  <si>
    <t>Total Current Assets</t>
  </si>
  <si>
    <t>Non-Current Assets</t>
  </si>
  <si>
    <t>Property Plant &amp; Equipment - Net</t>
  </si>
  <si>
    <t>Goodwill &amp; Other Intangible Assets - Net</t>
  </si>
  <si>
    <t>Investment Property</t>
  </si>
  <si>
    <t>Investments accounted for using the equity method</t>
  </si>
  <si>
    <t>Other financial assets</t>
  </si>
  <si>
    <t>Deferred Tax Assets</t>
  </si>
  <si>
    <t>Other non-current assets</t>
  </si>
  <si>
    <t>Total Non-Current Assets</t>
  </si>
  <si>
    <t>Total Assets</t>
  </si>
  <si>
    <t>Liabilities</t>
  </si>
  <si>
    <t>Current Liabilities</t>
  </si>
  <si>
    <t>Short-Term Borrowings</t>
  </si>
  <si>
    <t>Commercial Paper- Current Portion</t>
  </si>
  <si>
    <t>Provisions</t>
  </si>
  <si>
    <t>Income Taxes Accrued/Payable</t>
  </si>
  <si>
    <t>Other Financial Liabilities (Short-Term)</t>
  </si>
  <si>
    <t>Other Current Liabilities</t>
  </si>
  <si>
    <t>Total Current Liabilities</t>
  </si>
  <si>
    <t>Non-Current Liabilities</t>
  </si>
  <si>
    <t>Bonds &amp; Borrowings</t>
  </si>
  <si>
    <t>Other Financial Liabilities (Long-Term)</t>
  </si>
  <si>
    <t>Defined Benefit Liabilities</t>
  </si>
  <si>
    <t>Provision For Liabilities &amp; Commitments</t>
  </si>
  <si>
    <t>Deferred Tax Liabilities (Long-Term)</t>
  </si>
  <si>
    <t>Other Noncurrent Liabilities</t>
  </si>
  <si>
    <t>Total Non-Current Liabilities</t>
  </si>
  <si>
    <t>Total Liabilities</t>
  </si>
  <si>
    <t>Shareholders Equity</t>
  </si>
  <si>
    <t>Share capital</t>
  </si>
  <si>
    <t>Capital surplus</t>
  </si>
  <si>
    <t>Treasury shares</t>
  </si>
  <si>
    <t>Other components of equity</t>
  </si>
  <si>
    <t>OCI</t>
  </si>
  <si>
    <t>Retained Earnings</t>
  </si>
  <si>
    <t>P/L</t>
  </si>
  <si>
    <t>Total equity attributable to owners of parent</t>
  </si>
  <si>
    <t>NCI</t>
  </si>
  <si>
    <t>Total Shareholders Equity</t>
  </si>
  <si>
    <t>Total Liabilities &amp; Shareholders Equity</t>
  </si>
  <si>
    <t>Check: A = L + SE</t>
  </si>
  <si>
    <t>Errors:</t>
  </si>
  <si>
    <t>DCF Model</t>
  </si>
  <si>
    <t>Discounted Cash Flow</t>
  </si>
  <si>
    <t>Terminal Value</t>
  </si>
  <si>
    <t>Year Frac.</t>
  </si>
  <si>
    <t>EBIT</t>
  </si>
  <si>
    <t>Less: Tax paid in Cash</t>
  </si>
  <si>
    <t>NOPAT</t>
  </si>
  <si>
    <t>Add: D&amp;A</t>
  </si>
  <si>
    <t>Less: CapEx</t>
  </si>
  <si>
    <t>Add: Cash from sale of PPE</t>
  </si>
  <si>
    <t>Less: Change in NCWC</t>
  </si>
  <si>
    <t>Unlevered FCFF</t>
  </si>
  <si>
    <t>Intrinsic Value</t>
  </si>
  <si>
    <t>Enterprise Value</t>
  </si>
  <si>
    <t>Add: Cash</t>
  </si>
  <si>
    <t>Less: Debt</t>
  </si>
  <si>
    <t>Equity Value</t>
  </si>
  <si>
    <t>Shares Outstanding (thousands)</t>
  </si>
  <si>
    <t>Equity Value / Share</t>
  </si>
  <si>
    <t>Bottom up Beta</t>
  </si>
  <si>
    <t>Company name</t>
  </si>
  <si>
    <t xml:space="preserve">2Y Equity Beta </t>
  </si>
  <si>
    <t>Mkt cap</t>
  </si>
  <si>
    <t>D/E</t>
  </si>
  <si>
    <t>Marginal Tax Rate</t>
  </si>
  <si>
    <t>Asset Beta</t>
  </si>
  <si>
    <t>Ajinomoto</t>
  </si>
  <si>
    <t>Kikkoman</t>
  </si>
  <si>
    <t>Calbee</t>
  </si>
  <si>
    <t>Nisshin Seifun Group</t>
  </si>
  <si>
    <t>Ezaki Glico</t>
  </si>
  <si>
    <t>House Foods Group</t>
  </si>
  <si>
    <t xml:space="preserve">Average Beta </t>
  </si>
  <si>
    <t>WACC</t>
  </si>
  <si>
    <t>Source</t>
  </si>
  <si>
    <t>Marginal Tax rate</t>
  </si>
  <si>
    <t>Bloomberg</t>
  </si>
  <si>
    <t>Total Debt</t>
  </si>
  <si>
    <t>Mkt Cap</t>
  </si>
  <si>
    <t>Mkt D/E Ratio</t>
  </si>
  <si>
    <t>Equity Beta</t>
  </si>
  <si>
    <t>Market Risk Prem</t>
  </si>
  <si>
    <t>Risk free rate</t>
  </si>
  <si>
    <t>Cost of equity</t>
  </si>
  <si>
    <t>Cost of debt</t>
  </si>
  <si>
    <t>Cost of debt (after tax)</t>
  </si>
  <si>
    <t>Market Valuation</t>
  </si>
  <si>
    <t>LTM Financial Statistics</t>
  </si>
  <si>
    <t>LTM Profitability Margins</t>
  </si>
  <si>
    <t>Growth Rates</t>
  </si>
  <si>
    <t>General</t>
  </si>
  <si>
    <t xml:space="preserve">Return On Investment </t>
  </si>
  <si>
    <t>LTM Leverage Ratios</t>
  </si>
  <si>
    <t>LTM Coverage Ratios</t>
  </si>
  <si>
    <t xml:space="preserve">Enterprise Value </t>
  </si>
  <si>
    <t>Price /</t>
  </si>
  <si>
    <t>EV/EBITDA</t>
  </si>
  <si>
    <t>P/E</t>
  </si>
  <si>
    <t>PEG</t>
  </si>
  <si>
    <t>FCF Yield</t>
  </si>
  <si>
    <t>In Billions</t>
  </si>
  <si>
    <t>Sales</t>
  </si>
  <si>
    <t>EBITDA</t>
  </si>
  <si>
    <t>EPS</t>
  </si>
  <si>
    <t>Company</t>
  </si>
  <si>
    <t>Ticker</t>
  </si>
  <si>
    <t>Currency</t>
  </si>
  <si>
    <t>Market Cap</t>
  </si>
  <si>
    <t>EBITDA (adj.)</t>
  </si>
  <si>
    <t xml:space="preserve">Net Income </t>
  </si>
  <si>
    <t>Gross Profit (%)</t>
  </si>
  <si>
    <t>EBITDA (%)</t>
  </si>
  <si>
    <t>EBIT(%)</t>
  </si>
  <si>
    <t>Net Income (%)</t>
  </si>
  <si>
    <t>Hist. 1 year</t>
  </si>
  <si>
    <t>Est 1-year</t>
  </si>
  <si>
    <t>Hist 1. Year</t>
  </si>
  <si>
    <t>Current</t>
  </si>
  <si>
    <t>Hist 1-year.</t>
  </si>
  <si>
    <t>Est. 1-year</t>
  </si>
  <si>
    <t>Est. LT</t>
  </si>
  <si>
    <t xml:space="preserve">2 yr Regressional Beta </t>
  </si>
  <si>
    <t>ROIC</t>
  </si>
  <si>
    <t>ROE</t>
  </si>
  <si>
    <t>ROA</t>
  </si>
  <si>
    <t>Implied Div. Yield</t>
  </si>
  <si>
    <t>Debt/Total Assets</t>
  </si>
  <si>
    <t>Debt/EBITDA</t>
  </si>
  <si>
    <t>Net Debt / EBITDA</t>
  </si>
  <si>
    <t>Net Debt/Equity</t>
  </si>
  <si>
    <t>EBITDA/Int. Exp.</t>
  </si>
  <si>
    <t xml:space="preserve">LTM Sales </t>
  </si>
  <si>
    <t xml:space="preserve">2026E Sales </t>
  </si>
  <si>
    <t>2027E Sales</t>
  </si>
  <si>
    <t>LTM EBITDA</t>
  </si>
  <si>
    <t>2026E EBITDA</t>
  </si>
  <si>
    <t>2027E EBITDA</t>
  </si>
  <si>
    <t>LTM EBIT</t>
  </si>
  <si>
    <t>2026E EBIT</t>
  </si>
  <si>
    <t>2027E EBIT</t>
  </si>
  <si>
    <t>LTM EBITDA MARGIN</t>
  </si>
  <si>
    <t>LTM  EPS</t>
  </si>
  <si>
    <t>2026E EPS</t>
  </si>
  <si>
    <t>2027E EPS</t>
  </si>
  <si>
    <t>LT EPS GROWTH</t>
  </si>
  <si>
    <t>2026E</t>
  </si>
  <si>
    <t>2027E</t>
  </si>
  <si>
    <t>2026E EBITDA Margin</t>
  </si>
  <si>
    <t>LTM Debt/ EBITDA</t>
  </si>
  <si>
    <t>LTM Int Exp / EBITDA</t>
  </si>
  <si>
    <t>EV/Sales</t>
  </si>
  <si>
    <t>EV/EBIT</t>
  </si>
  <si>
    <t xml:space="preserve">LT EPS Growth </t>
  </si>
  <si>
    <t>2-Year Forward PEG</t>
  </si>
  <si>
    <t>Dividend Yield</t>
  </si>
  <si>
    <t>NISSIN</t>
  </si>
  <si>
    <t>2897 JT</t>
  </si>
  <si>
    <t>JPY</t>
  </si>
  <si>
    <t>Values</t>
  </si>
  <si>
    <t/>
  </si>
  <si>
    <t>Tier 1: Core Japan Packaged Food Peers</t>
  </si>
  <si>
    <t>2802 JT</t>
  </si>
  <si>
    <t>2801 JT</t>
  </si>
  <si>
    <t>-</t>
  </si>
  <si>
    <t>Range</t>
  </si>
  <si>
    <t>25th</t>
  </si>
  <si>
    <t>Diff</t>
  </si>
  <si>
    <t>75th</t>
  </si>
  <si>
    <t>Debt</t>
  </si>
  <si>
    <t>Shares outstanding</t>
  </si>
  <si>
    <t>Low</t>
  </si>
  <si>
    <t>High</t>
  </si>
  <si>
    <t>2229 JT</t>
  </si>
  <si>
    <t>LTM Tier 1</t>
  </si>
  <si>
    <t>9.18x-13.61x</t>
  </si>
  <si>
    <t>2026E Tier 1</t>
  </si>
  <si>
    <t>8.56x-13.15x</t>
  </si>
  <si>
    <t>2002 JT</t>
  </si>
  <si>
    <t>2027E Tier 1</t>
  </si>
  <si>
    <t>8.00x-12.00x</t>
  </si>
  <si>
    <t>LTM Tier 2</t>
  </si>
  <si>
    <t>8.9x-12.81x</t>
  </si>
  <si>
    <t>2206 JT</t>
  </si>
  <si>
    <t>2026E Tier 2</t>
  </si>
  <si>
    <t>7.91x-12.33x</t>
  </si>
  <si>
    <t>2027E Tier 2</t>
  </si>
  <si>
    <t>7.53x-9.68x</t>
  </si>
  <si>
    <t>2810 JT</t>
  </si>
  <si>
    <t>LTM Tier 3</t>
  </si>
  <si>
    <t>5.91x-12.96x</t>
  </si>
  <si>
    <t>2026E Tier 3</t>
  </si>
  <si>
    <t>5.26x-12.08x</t>
  </si>
  <si>
    <t>2027E Tier 3</t>
  </si>
  <si>
    <t>6.50x-10.60x</t>
  </si>
  <si>
    <t>Median</t>
  </si>
  <si>
    <t>P/E and PEG</t>
  </si>
  <si>
    <t xml:space="preserve">25th </t>
  </si>
  <si>
    <t>Tier 2: Broader Japan Food Staples</t>
  </si>
  <si>
    <t>FY1 Tier 1</t>
  </si>
  <si>
    <t>Yakult Honsha</t>
  </si>
  <si>
    <t>2267 JT</t>
  </si>
  <si>
    <t>FY2 Tier 1</t>
  </si>
  <si>
    <t>Kewpie</t>
  </si>
  <si>
    <t>2809 JT</t>
  </si>
  <si>
    <t>FY1 Tier 2</t>
  </si>
  <si>
    <t>FY2 Tier 2</t>
  </si>
  <si>
    <t>Toyo Suisan Kaisha</t>
  </si>
  <si>
    <t>2875 JT</t>
  </si>
  <si>
    <t>FY 1 Tier 3</t>
  </si>
  <si>
    <t>Morinaga Milk Industry</t>
  </si>
  <si>
    <t>2264 JT</t>
  </si>
  <si>
    <t>FY3 Tier 3</t>
  </si>
  <si>
    <t>Meiji Holdings</t>
  </si>
  <si>
    <t>2269 JT</t>
  </si>
  <si>
    <t>NH Foods</t>
  </si>
  <si>
    <t>2282 JT</t>
  </si>
  <si>
    <t>Nippn Corp</t>
  </si>
  <si>
    <t>2001 JT</t>
  </si>
  <si>
    <t>Tier 3: Global Packaged Food competitors</t>
  </si>
  <si>
    <t xml:space="preserve">x </t>
  </si>
  <si>
    <t>PE</t>
  </si>
  <si>
    <t>Tingyi (Cayman) Hldg</t>
  </si>
  <si>
    <t>322 HK</t>
  </si>
  <si>
    <t>HKD to JPY</t>
  </si>
  <si>
    <t>Metric</t>
  </si>
  <si>
    <t>Implied EV</t>
  </si>
  <si>
    <t>Implied Price</t>
  </si>
  <si>
    <t>Samyang</t>
  </si>
  <si>
    <t>003230 KS</t>
  </si>
  <si>
    <t>KRW to JPY</t>
  </si>
  <si>
    <t>LTM</t>
  </si>
  <si>
    <t>23.46x-40.0x</t>
  </si>
  <si>
    <t>21.51x-27.94x</t>
  </si>
  <si>
    <t xml:space="preserve">Uni-President China Holdings </t>
  </si>
  <si>
    <t>220 HK</t>
  </si>
  <si>
    <t>8.00x - 12.00x</t>
  </si>
  <si>
    <t>19.42x-25.05x</t>
  </si>
  <si>
    <t>ROIC, ROE, ROA</t>
  </si>
  <si>
    <t>PT Indofood Sukes Makmur</t>
  </si>
  <si>
    <t>INDF IJ</t>
  </si>
  <si>
    <t>IDR to JPY</t>
  </si>
  <si>
    <t>Nong Shim</t>
  </si>
  <si>
    <t>004370 KS</t>
  </si>
  <si>
    <t>LTM Tier 1 ROIC</t>
  </si>
  <si>
    <t>LTM Tier 1 ROE</t>
  </si>
  <si>
    <t>General Mills</t>
  </si>
  <si>
    <t>GIS US</t>
  </si>
  <si>
    <t>USD to JPY</t>
  </si>
  <si>
    <t>LTM Tier ROA</t>
  </si>
  <si>
    <t>FY 1 Tier 2 ROIC</t>
  </si>
  <si>
    <t>FYI Tier 2 ROE</t>
  </si>
  <si>
    <t>EV/EBITDA - Tier 2</t>
  </si>
  <si>
    <t>FY1 Tier 2 ROA</t>
  </si>
  <si>
    <t>FY2 Tier 3 ROIC</t>
  </si>
  <si>
    <t>FY 2 Tier 3 ROE</t>
  </si>
  <si>
    <t>LTM 2</t>
  </si>
  <si>
    <t>FY2 Tier 3 ROA</t>
  </si>
  <si>
    <t>2026E 2</t>
  </si>
  <si>
    <t>Overall</t>
  </si>
  <si>
    <t>2027E 2</t>
  </si>
  <si>
    <t>SKIP THIS NOT NEEDED TOO OVERKILL</t>
  </si>
  <si>
    <t>EPS Range</t>
  </si>
  <si>
    <t>PE - Tier 2</t>
  </si>
  <si>
    <t>8.53x-11.13x</t>
  </si>
  <si>
    <t>18.87x-22.29x</t>
  </si>
  <si>
    <t>8.10x-12.01x</t>
  </si>
  <si>
    <t>17.46x-18.77x</t>
  </si>
  <si>
    <t>7.78x-9.78x</t>
  </si>
  <si>
    <t>16.24x-17.64x</t>
  </si>
  <si>
    <t xml:space="preserve">Football field chart </t>
  </si>
  <si>
    <t>2026E Tier2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</si>
</sst>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  <numFmt numFmtId="165" formatCode="#,##0;\(#,##0\);\-"/>
    <numFmt numFmtId="166" formatCode="[$¥-411]#,##0.00;\-[$¥-411]#,##0.00"/>
    <numFmt numFmtId="167" formatCode="0.0%"/>
    <numFmt numFmtId="168" formatCode="#,##0.0"/>
    <numFmt numFmtId="169" formatCode="0.00\x"/>
    <numFmt numFmtId="170" formatCode="[$¥-411]#,##0.00"/>
    <numFmt numFmtId="171" formatCode="#,##0.00;\(#,##0.00\);\-"/>
    <numFmt numFmtId="172" formatCode="0.000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48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rgb="FFFF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8" fontId="4" fillId="5" borderId="6">
      <alignment horizontal="right"/>
    </xf>
  </cellStyleXfs>
  <cellXfs count="21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" fillId="0" borderId="0" xfId="0" applyFont="1" applyAlignment="1">
      <alignment horizontal="right"/>
    </xf>
    <xf numFmtId="14" fontId="0" fillId="0" borderId="0" xfId="0" applyNumberFormat="1"/>
    <xf numFmtId="0" fontId="0" fillId="0" borderId="0" xfId="0" applyAlignment="1">
      <alignment horizontal="center"/>
    </xf>
    <xf numFmtId="1" fontId="0" fillId="0" borderId="0" xfId="1" applyNumberFormat="1" applyFont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/>
    <xf numFmtId="165" fontId="0" fillId="0" borderId="2" xfId="0" applyNumberFormat="1" applyBorder="1"/>
    <xf numFmtId="165" fontId="0" fillId="0" borderId="0" xfId="0" applyNumberFormat="1"/>
    <xf numFmtId="165" fontId="0" fillId="4" borderId="0" xfId="0" applyNumberFormat="1" applyFill="1"/>
    <xf numFmtId="0" fontId="0" fillId="0" borderId="2" xfId="0" applyBorder="1" applyAlignment="1">
      <alignment horizontal="left"/>
    </xf>
    <xf numFmtId="165" fontId="1" fillId="2" borderId="0" xfId="0" applyNumberFormat="1" applyFont="1" applyFill="1"/>
    <xf numFmtId="0" fontId="0" fillId="0" borderId="2" xfId="0" applyBorder="1" applyAlignment="1">
      <alignment horizontal="left" inden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0" fillId="3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165" fontId="1" fillId="0" borderId="4" xfId="0" applyNumberFormat="1" applyFont="1" applyBorder="1"/>
    <xf numFmtId="0" fontId="1" fillId="0" borderId="3" xfId="0" applyFont="1" applyBorder="1" applyAlignment="1">
      <alignment horizontal="left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165" fontId="1" fillId="0" borderId="3" xfId="0" applyNumberFormat="1" applyFont="1" applyBorder="1"/>
    <xf numFmtId="165" fontId="0" fillId="4" borderId="5" xfId="0" applyNumberFormat="1" applyFill="1" applyBorder="1"/>
    <xf numFmtId="10" fontId="0" fillId="0" borderId="0" xfId="2" applyNumberFormat="1" applyFont="1"/>
    <xf numFmtId="10" fontId="1" fillId="0" borderId="0" xfId="2" applyNumberFormat="1" applyFont="1"/>
    <xf numFmtId="10" fontId="1" fillId="0" borderId="2" xfId="2" applyNumberFormat="1" applyFont="1" applyBorder="1"/>
    <xf numFmtId="10" fontId="0" fillId="0" borderId="0" xfId="0" applyNumberFormat="1"/>
    <xf numFmtId="10" fontId="1" fillId="0" borderId="0" xfId="0" applyNumberFormat="1" applyFont="1"/>
    <xf numFmtId="10" fontId="1" fillId="0" borderId="2" xfId="0" applyNumberFormat="1" applyFont="1" applyBorder="1"/>
    <xf numFmtId="165" fontId="1" fillId="0" borderId="0" xfId="0" applyNumberFormat="1" applyFont="1"/>
    <xf numFmtId="165" fontId="1" fillId="0" borderId="2" xfId="0" applyNumberFormat="1" applyFont="1" applyBorder="1"/>
    <xf numFmtId="9" fontId="0" fillId="0" borderId="0" xfId="2" applyFont="1" applyBorder="1"/>
    <xf numFmtId="0" fontId="0" fillId="6" borderId="0" xfId="0" applyFill="1"/>
    <xf numFmtId="0" fontId="5" fillId="6" borderId="0" xfId="0" applyFont="1" applyFill="1"/>
    <xf numFmtId="0" fontId="5" fillId="7" borderId="0" xfId="0" applyFont="1" applyFill="1" applyAlignment="1">
      <alignment horizontal="center"/>
    </xf>
    <xf numFmtId="0" fontId="1" fillId="6" borderId="0" xfId="0" applyFont="1" applyFill="1"/>
    <xf numFmtId="0" fontId="5" fillId="6" borderId="0" xfId="0" applyFont="1" applyFill="1" applyAlignment="1">
      <alignment horizontal="center"/>
    </xf>
    <xf numFmtId="0" fontId="5" fillId="7" borderId="0" xfId="0" applyFont="1" applyFill="1"/>
    <xf numFmtId="0" fontId="1" fillId="6" borderId="0" xfId="0" applyFont="1" applyFill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" fillId="6" borderId="0" xfId="0" applyFont="1" applyFill="1" applyAlignment="1">
      <alignment horizontal="center" wrapText="1"/>
    </xf>
    <xf numFmtId="0" fontId="1" fillId="6" borderId="7" xfId="0" applyFont="1" applyFill="1" applyBorder="1" applyAlignment="1">
      <alignment horizontal="center" wrapText="1"/>
    </xf>
    <xf numFmtId="0" fontId="1" fillId="6" borderId="8" xfId="0" applyFont="1" applyFill="1" applyBorder="1" applyAlignment="1">
      <alignment horizontal="center" wrapText="1"/>
    </xf>
    <xf numFmtId="0" fontId="1" fillId="6" borderId="0" xfId="0" applyFont="1" applyFill="1" applyAlignment="1">
      <alignment wrapText="1"/>
    </xf>
    <xf numFmtId="0" fontId="1" fillId="6" borderId="7" xfId="0" applyFont="1" applyFill="1" applyBorder="1"/>
    <xf numFmtId="0" fontId="1" fillId="6" borderId="7" xfId="0" applyFont="1" applyFill="1" applyBorder="1" applyAlignment="1">
      <alignment wrapText="1"/>
    </xf>
    <xf numFmtId="166" fontId="1" fillId="6" borderId="0" xfId="0" applyNumberFormat="1" applyFont="1" applyFill="1" applyAlignment="1">
      <alignment horizontal="center"/>
    </xf>
    <xf numFmtId="44" fontId="1" fillId="6" borderId="0" xfId="0" applyNumberFormat="1" applyFont="1" applyFill="1" applyAlignment="1">
      <alignment horizontal="center"/>
    </xf>
    <xf numFmtId="10" fontId="1" fillId="6" borderId="0" xfId="0" applyNumberFormat="1" applyFont="1" applyFill="1" applyAlignment="1">
      <alignment horizontal="center"/>
    </xf>
    <xf numFmtId="0" fontId="6" fillId="6" borderId="0" xfId="0" applyFont="1" applyFill="1"/>
    <xf numFmtId="0" fontId="6" fillId="6" borderId="0" xfId="0" applyFont="1" applyFill="1" applyAlignment="1">
      <alignment horizontal="left" indent="1"/>
    </xf>
    <xf numFmtId="0" fontId="6" fillId="6" borderId="0" xfId="0" applyFont="1" applyFill="1" applyAlignment="1">
      <alignment horizontal="center"/>
    </xf>
    <xf numFmtId="44" fontId="6" fillId="6" borderId="0" xfId="0" applyNumberFormat="1" applyFont="1" applyFill="1" applyAlignment="1">
      <alignment horizontal="center"/>
    </xf>
    <xf numFmtId="10" fontId="6" fillId="6" borderId="0" xfId="0" applyNumberFormat="1" applyFont="1" applyFill="1" applyAlignment="1">
      <alignment horizontal="center"/>
    </xf>
    <xf numFmtId="10" fontId="7" fillId="6" borderId="0" xfId="0" applyNumberFormat="1" applyFont="1" applyFill="1" applyAlignment="1">
      <alignment horizontal="center"/>
    </xf>
    <xf numFmtId="0" fontId="7" fillId="6" borderId="0" xfId="0" applyFont="1" applyFill="1"/>
    <xf numFmtId="0" fontId="6" fillId="6" borderId="0" xfId="0" quotePrefix="1" applyFont="1" applyFill="1"/>
    <xf numFmtId="0" fontId="2" fillId="6" borderId="0" xfId="0" applyFont="1" applyFill="1"/>
    <xf numFmtId="4" fontId="0" fillId="6" borderId="0" xfId="0" applyNumberFormat="1" applyFill="1"/>
    <xf numFmtId="0" fontId="0" fillId="6" borderId="0" xfId="0" applyFill="1" applyAlignment="1">
      <alignment horizontal="center"/>
    </xf>
    <xf numFmtId="0" fontId="2" fillId="7" borderId="0" xfId="0" applyFont="1" applyFill="1"/>
    <xf numFmtId="0" fontId="5" fillId="8" borderId="0" xfId="0" applyFont="1" applyFill="1"/>
    <xf numFmtId="0" fontId="2" fillId="9" borderId="0" xfId="0" applyFont="1" applyFill="1"/>
    <xf numFmtId="44" fontId="2" fillId="9" borderId="0" xfId="0" applyNumberFormat="1" applyFont="1" applyFill="1"/>
    <xf numFmtId="0" fontId="2" fillId="9" borderId="0" xfId="0" applyFont="1" applyFill="1" applyAlignment="1">
      <alignment horizontal="center"/>
    </xf>
    <xf numFmtId="4" fontId="2" fillId="9" borderId="0" xfId="0" applyNumberFormat="1" applyFont="1" applyFill="1"/>
    <xf numFmtId="14" fontId="0" fillId="0" borderId="9" xfId="0" applyNumberFormat="1" applyBorder="1"/>
    <xf numFmtId="14" fontId="0" fillId="0" borderId="2" xfId="0" applyNumberFormat="1" applyBorder="1"/>
    <xf numFmtId="14" fontId="0" fillId="0" borderId="10" xfId="0" applyNumberFormat="1" applyBorder="1"/>
    <xf numFmtId="14" fontId="0" fillId="0" borderId="11" xfId="0" applyNumberFormat="1" applyBorder="1"/>
    <xf numFmtId="14" fontId="0" fillId="0" borderId="12" xfId="0" applyNumberFormat="1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" fontId="0" fillId="0" borderId="13" xfId="1" applyNumberFormat="1" applyFont="1" applyBorder="1" applyAlignment="1">
      <alignment horizontal="center"/>
    </xf>
    <xf numFmtId="1" fontId="0" fillId="0" borderId="5" xfId="1" applyNumberFormat="1" applyFont="1" applyBorder="1" applyAlignment="1">
      <alignment horizontal="center"/>
    </xf>
    <xf numFmtId="1" fontId="0" fillId="0" borderId="14" xfId="1" applyNumberFormat="1" applyFont="1" applyBorder="1" applyAlignment="1">
      <alignment horizontal="center"/>
    </xf>
    <xf numFmtId="1" fontId="0" fillId="0" borderId="0" xfId="1" applyNumberFormat="1" applyFont="1" applyBorder="1" applyAlignment="1">
      <alignment horizontal="center"/>
    </xf>
    <xf numFmtId="0" fontId="0" fillId="0" borderId="0" xfId="0" applyAlignment="1">
      <alignment horizontal="right"/>
    </xf>
    <xf numFmtId="2" fontId="0" fillId="0" borderId="15" xfId="0" applyNumberFormat="1" applyBorder="1" applyAlignment="1">
      <alignment horizontal="centerContinuous"/>
    </xf>
    <xf numFmtId="2" fontId="0" fillId="0" borderId="3" xfId="0" applyNumberFormat="1" applyBorder="1" applyAlignment="1">
      <alignment horizontal="centerContinuous"/>
    </xf>
    <xf numFmtId="0" fontId="0" fillId="0" borderId="1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4" xfId="0" applyBorder="1" applyAlignment="1">
      <alignment horizontal="center"/>
    </xf>
    <xf numFmtId="10" fontId="0" fillId="3" borderId="0" xfId="0" applyNumberFormat="1" applyFill="1" applyAlignment="1">
      <alignment horizontal="center"/>
    </xf>
    <xf numFmtId="167" fontId="0" fillId="3" borderId="0" xfId="0" applyNumberFormat="1" applyFill="1" applyAlignment="1">
      <alignment horizontal="center"/>
    </xf>
    <xf numFmtId="10" fontId="0" fillId="0" borderId="15" xfId="2" applyNumberFormat="1" applyFont="1" applyBorder="1"/>
    <xf numFmtId="10" fontId="0" fillId="0" borderId="3" xfId="2" applyNumberFormat="1" applyFont="1" applyBorder="1"/>
    <xf numFmtId="10" fontId="0" fillId="0" borderId="16" xfId="2" applyNumberFormat="1" applyFont="1" applyBorder="1"/>
    <xf numFmtId="167" fontId="0" fillId="0" borderId="11" xfId="2" applyNumberFormat="1" applyFont="1" applyBorder="1"/>
    <xf numFmtId="167" fontId="0" fillId="0" borderId="0" xfId="2" applyNumberFormat="1" applyFont="1" applyBorder="1"/>
    <xf numFmtId="167" fontId="0" fillId="0" borderId="12" xfId="2" applyNumberFormat="1" applyFont="1" applyBorder="1"/>
    <xf numFmtId="167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67" fontId="0" fillId="12" borderId="0" xfId="2" applyNumberFormat="1" applyFont="1" applyFill="1" applyAlignment="1">
      <alignment horizontal="center"/>
    </xf>
    <xf numFmtId="165" fontId="0" fillId="0" borderId="11" xfId="0" applyNumberFormat="1" applyBorder="1"/>
    <xf numFmtId="165" fontId="0" fillId="0" borderId="13" xfId="0" applyNumberFormat="1" applyBorder="1"/>
    <xf numFmtId="0" fontId="0" fillId="0" borderId="4" xfId="0" applyBorder="1"/>
    <xf numFmtId="0" fontId="0" fillId="0" borderId="4" xfId="0" applyBorder="1" applyAlignment="1">
      <alignment horizontal="center"/>
    </xf>
    <xf numFmtId="165" fontId="0" fillId="0" borderId="4" xfId="0" applyNumberFormat="1" applyBorder="1"/>
    <xf numFmtId="0" fontId="0" fillId="2" borderId="0" xfId="0" applyFill="1"/>
    <xf numFmtId="0" fontId="0" fillId="2" borderId="0" xfId="0" applyFill="1" applyAlignment="1">
      <alignment horizontal="center"/>
    </xf>
    <xf numFmtId="1" fontId="7" fillId="2" borderId="0" xfId="2" applyNumberFormat="1" applyFont="1" applyFill="1" applyAlignment="1">
      <alignment horizontal="center"/>
    </xf>
    <xf numFmtId="165" fontId="0" fillId="2" borderId="0" xfId="0" applyNumberFormat="1" applyFill="1"/>
    <xf numFmtId="0" fontId="7" fillId="2" borderId="0" xfId="0" applyFont="1" applyFill="1" applyAlignment="1">
      <alignment horizontal="center"/>
    </xf>
    <xf numFmtId="4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10" fontId="0" fillId="6" borderId="0" xfId="0" applyNumberFormat="1" applyFill="1" applyAlignment="1">
      <alignment horizontal="center" vertical="center"/>
    </xf>
    <xf numFmtId="4" fontId="2" fillId="7" borderId="0" xfId="0" applyNumberFormat="1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4" fontId="5" fillId="7" borderId="0" xfId="0" applyNumberFormat="1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4" fontId="5" fillId="6" borderId="0" xfId="0" applyNumberFormat="1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169" fontId="0" fillId="6" borderId="0" xfId="0" applyNumberFormat="1" applyFill="1" applyAlignment="1">
      <alignment horizontal="center" vertical="center"/>
    </xf>
    <xf numFmtId="169" fontId="0" fillId="6" borderId="0" xfId="0" applyNumberFormat="1" applyFill="1"/>
    <xf numFmtId="169" fontId="2" fillId="7" borderId="0" xfId="0" applyNumberFormat="1" applyFont="1" applyFill="1" applyAlignment="1">
      <alignment horizontal="center" vertical="center"/>
    </xf>
    <xf numFmtId="169" fontId="5" fillId="7" borderId="0" xfId="0" applyNumberFormat="1" applyFont="1" applyFill="1" applyAlignment="1">
      <alignment horizontal="center" vertical="center"/>
    </xf>
    <xf numFmtId="44" fontId="2" fillId="6" borderId="0" xfId="0" applyNumberFormat="1" applyFont="1" applyFill="1"/>
    <xf numFmtId="4" fontId="2" fillId="6" borderId="0" xfId="0" applyNumberFormat="1" applyFont="1" applyFill="1"/>
    <xf numFmtId="170" fontId="1" fillId="6" borderId="0" xfId="0" applyNumberFormat="1" applyFont="1" applyFill="1" applyAlignment="1">
      <alignment horizontal="center"/>
    </xf>
    <xf numFmtId="169" fontId="1" fillId="6" borderId="0" xfId="0" applyNumberFormat="1" applyFont="1" applyFill="1" applyAlignment="1">
      <alignment horizontal="center"/>
    </xf>
    <xf numFmtId="0" fontId="1" fillId="6" borderId="0" xfId="0" applyFont="1" applyFill="1" applyAlignment="1">
      <alignment horizontal="left"/>
    </xf>
    <xf numFmtId="10" fontId="0" fillId="0" borderId="2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7" fontId="0" fillId="0" borderId="0" xfId="2" applyNumberFormat="1" applyFont="1" applyBorder="1" applyAlignment="1">
      <alignment horizontal="center"/>
    </xf>
    <xf numFmtId="167" fontId="0" fillId="0" borderId="0" xfId="0" applyNumberFormat="1"/>
    <xf numFmtId="2" fontId="0" fillId="0" borderId="16" xfId="0" applyNumberFormat="1" applyBorder="1" applyAlignment="1">
      <alignment horizontal="centerContinuous"/>
    </xf>
    <xf numFmtId="0" fontId="1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167" fontId="7" fillId="0" borderId="0" xfId="0" applyNumberFormat="1" applyFont="1" applyAlignment="1">
      <alignment horizontal="center"/>
    </xf>
    <xf numFmtId="167" fontId="0" fillId="0" borderId="0" xfId="2" applyNumberFormat="1" applyFont="1" applyAlignment="1">
      <alignment horizontal="center"/>
    </xf>
    <xf numFmtId="0" fontId="7" fillId="0" borderId="0" xfId="0" applyFont="1"/>
    <xf numFmtId="9" fontId="7" fillId="0" borderId="0" xfId="2" applyFont="1" applyBorder="1"/>
    <xf numFmtId="167" fontId="0" fillId="0" borderId="0" xfId="2" applyNumberFormat="1" applyFont="1" applyFill="1" applyBorder="1"/>
    <xf numFmtId="10" fontId="0" fillId="0" borderId="0" xfId="2" applyNumberFormat="1" applyFont="1" applyFill="1" applyBorder="1"/>
    <xf numFmtId="0" fontId="1" fillId="0" borderId="0" xfId="0" applyFont="1" applyAlignment="1">
      <alignment horizontal="left"/>
    </xf>
    <xf numFmtId="165" fontId="0" fillId="4" borderId="2" xfId="0" applyNumberFormat="1" applyFill="1" applyBorder="1"/>
    <xf numFmtId="9" fontId="7" fillId="0" borderId="0" xfId="2" applyFont="1"/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6" xfId="0" applyBorder="1" applyAlignment="1">
      <alignment horizontal="center"/>
    </xf>
    <xf numFmtId="10" fontId="0" fillId="13" borderId="0" xfId="0" applyNumberFormat="1" applyFill="1" applyAlignment="1">
      <alignment horizontal="center"/>
    </xf>
    <xf numFmtId="167" fontId="0" fillId="13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left"/>
    </xf>
    <xf numFmtId="165" fontId="0" fillId="0" borderId="12" xfId="0" applyNumberFormat="1" applyBorder="1"/>
    <xf numFmtId="0" fontId="7" fillId="0" borderId="0" xfId="0" applyFont="1" applyAlignment="1">
      <alignment horizontal="righ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/>
    <xf numFmtId="10" fontId="5" fillId="7" borderId="0" xfId="0" applyNumberFormat="1" applyFont="1" applyFill="1" applyAlignment="1">
      <alignment horizontal="center" vertical="center"/>
    </xf>
    <xf numFmtId="167" fontId="0" fillId="0" borderId="2" xfId="0" applyNumberFormat="1" applyBorder="1" applyAlignment="1">
      <alignment horizontal="center"/>
    </xf>
    <xf numFmtId="167" fontId="0" fillId="12" borderId="2" xfId="2" applyNumberFormat="1" applyFont="1" applyFill="1" applyBorder="1" applyAlignment="1">
      <alignment horizontal="center"/>
    </xf>
    <xf numFmtId="10" fontId="0" fillId="0" borderId="0" xfId="0" applyNumberFormat="1" applyAlignment="1">
      <alignment horizontal="right"/>
    </xf>
    <xf numFmtId="170" fontId="2" fillId="7" borderId="0" xfId="0" applyNumberFormat="1" applyFont="1" applyFill="1" applyAlignment="1">
      <alignment horizontal="center" vertical="center"/>
    </xf>
    <xf numFmtId="170" fontId="5" fillId="7" borderId="0" xfId="0" applyNumberFormat="1" applyFont="1" applyFill="1" applyAlignment="1">
      <alignment horizontal="center" vertical="center"/>
    </xf>
    <xf numFmtId="10" fontId="2" fillId="7" borderId="0" xfId="0" applyNumberFormat="1" applyFont="1" applyFill="1" applyAlignment="1">
      <alignment horizontal="center" vertical="center"/>
    </xf>
    <xf numFmtId="44" fontId="0" fillId="6" borderId="0" xfId="0" applyNumberFormat="1" applyFill="1"/>
    <xf numFmtId="170" fontId="2" fillId="9" borderId="0" xfId="0" applyNumberFormat="1" applyFont="1" applyFill="1"/>
    <xf numFmtId="170" fontId="0" fillId="6" borderId="0" xfId="0" applyNumberFormat="1" applyFill="1"/>
    <xf numFmtId="0" fontId="12" fillId="6" borderId="0" xfId="0" applyFont="1" applyFill="1"/>
    <xf numFmtId="0" fontId="12" fillId="6" borderId="0" xfId="0" applyFont="1" applyFill="1" applyAlignment="1">
      <alignment horizontal="center"/>
    </xf>
    <xf numFmtId="0" fontId="13" fillId="6" borderId="0" xfId="0" applyFont="1" applyFill="1"/>
    <xf numFmtId="44" fontId="12" fillId="6" borderId="0" xfId="0" applyNumberFormat="1" applyFont="1" applyFill="1"/>
    <xf numFmtId="4" fontId="12" fillId="6" borderId="0" xfId="0" applyNumberFormat="1" applyFont="1" applyFill="1"/>
    <xf numFmtId="10" fontId="12" fillId="6" borderId="0" xfId="0" applyNumberFormat="1" applyFont="1" applyFill="1"/>
    <xf numFmtId="166" fontId="0" fillId="6" borderId="0" xfId="0" applyNumberFormat="1" applyFill="1"/>
    <xf numFmtId="170" fontId="0" fillId="6" borderId="0" xfId="0" applyNumberFormat="1" applyFill="1" applyAlignment="1">
      <alignment horizontal="center"/>
    </xf>
    <xf numFmtId="166" fontId="0" fillId="6" borderId="0" xfId="0" applyNumberFormat="1" applyFill="1" applyAlignment="1">
      <alignment horizontal="center"/>
    </xf>
    <xf numFmtId="170" fontId="6" fillId="6" borderId="0" xfId="0" applyNumberFormat="1" applyFont="1" applyFill="1"/>
    <xf numFmtId="165" fontId="0" fillId="14" borderId="0" xfId="0" applyNumberFormat="1" applyFill="1"/>
    <xf numFmtId="165" fontId="0" fillId="15" borderId="0" xfId="0" applyNumberFormat="1" applyFill="1"/>
    <xf numFmtId="0" fontId="0" fillId="0" borderId="5" xfId="0" applyBorder="1"/>
    <xf numFmtId="9" fontId="0" fillId="0" borderId="0" xfId="0" applyNumberFormat="1"/>
    <xf numFmtId="3" fontId="0" fillId="0" borderId="0" xfId="0" applyNumberFormat="1"/>
    <xf numFmtId="14" fontId="0" fillId="0" borderId="0" xfId="0" applyNumberFormat="1" applyAlignment="1">
      <alignment horizontal="center"/>
    </xf>
    <xf numFmtId="0" fontId="0" fillId="4" borderId="0" xfId="0" applyFill="1"/>
    <xf numFmtId="0" fontId="1" fillId="4" borderId="3" xfId="0" applyFont="1" applyFill="1" applyBorder="1"/>
    <xf numFmtId="2" fontId="7" fillId="0" borderId="0" xfId="0" applyNumberFormat="1" applyFont="1" applyAlignment="1">
      <alignment horizontal="center"/>
    </xf>
    <xf numFmtId="0" fontId="5" fillId="0" borderId="0" xfId="0" applyFont="1"/>
    <xf numFmtId="0" fontId="1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171" fontId="0" fillId="0" borderId="2" xfId="0" applyNumberFormat="1" applyBorder="1"/>
    <xf numFmtId="172" fontId="0" fillId="0" borderId="0" xfId="0" applyNumberFormat="1"/>
    <xf numFmtId="172" fontId="1" fillId="0" borderId="0" xfId="0" applyNumberFormat="1" applyFont="1"/>
    <xf numFmtId="0" fontId="14" fillId="0" borderId="0" xfId="0" applyFont="1"/>
    <xf numFmtId="0" fontId="15" fillId="0" borderId="0" xfId="0" applyFont="1"/>
    <xf numFmtId="0" fontId="5" fillId="7" borderId="0" xfId="0" applyFont="1" applyFill="1" applyAlignment="1">
      <alignment horizontal="left" vertical="center"/>
    </xf>
    <xf numFmtId="0" fontId="5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10" fillId="7" borderId="0" xfId="0" applyFont="1" applyFill="1" applyAlignment="1">
      <alignment horizontal="center" vertical="center"/>
    </xf>
    <xf numFmtId="0" fontId="0" fillId="11" borderId="0" xfId="0" applyFill="1" applyAlignment="1">
      <alignment horizontal="center"/>
    </xf>
    <xf numFmtId="0" fontId="5" fillId="10" borderId="0" xfId="0" applyFont="1" applyFill="1" applyAlignment="1">
      <alignment horizontal="center"/>
    </xf>
    <xf numFmtId="0" fontId="2" fillId="7" borderId="0" xfId="0" applyFont="1" applyFill="1" applyAlignment="1">
      <alignment horizontal="center" wrapText="1"/>
    </xf>
    <xf numFmtId="0" fontId="12" fillId="6" borderId="0" xfId="0" applyFont="1" applyFill="1" applyAlignment="1">
      <alignment horizontal="center"/>
    </xf>
    <xf numFmtId="0" fontId="5" fillId="7" borderId="0" xfId="0" applyFont="1" applyFill="1" applyAlignment="1">
      <alignment horizontal="center" wrapText="1"/>
    </xf>
    <xf numFmtId="0" fontId="0" fillId="6" borderId="0" xfId="0" applyFill="1" applyAlignment="1">
      <alignment horizontal="center"/>
    </xf>
    <xf numFmtId="0" fontId="0" fillId="6" borderId="0" xfId="0" applyFill="1" applyAlignment="1"/>
  </cellXfs>
  <cellStyles count="4">
    <cellStyle name="Currency" xfId="1" builtinId="4"/>
    <cellStyle name="fa_data_standard_1_grouped" xfId="3" xr:uid="{949DE329-8C3F-4C59-98FD-28D54A461963}"/>
    <cellStyle name="Normal" xfId="0" builtinId="0"/>
    <cellStyle name="Per cent" xfId="2" builtinId="5"/>
  </cellStyles>
  <dxfs count="2">
    <dxf>
      <fill>
        <patternFill>
          <bgColor theme="9" tint="0.79998168889431442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Enterprise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'Relative Valuation'!$H$114:$H$119</c:f>
              <c:strCache>
                <c:ptCount val="6"/>
                <c:pt idx="0">
                  <c:v>LTM</c:v>
                </c:pt>
                <c:pt idx="1">
                  <c:v>2026E</c:v>
                </c:pt>
                <c:pt idx="2">
                  <c:v>2027E</c:v>
                </c:pt>
                <c:pt idx="3">
                  <c:v>LTM 2</c:v>
                </c:pt>
                <c:pt idx="4">
                  <c:v>2026E 2</c:v>
                </c:pt>
                <c:pt idx="5">
                  <c:v>2027E 2</c:v>
                </c:pt>
              </c:strCache>
            </c:strRef>
          </c:cat>
          <c:val>
            <c:numRef>
              <c:f>'Relative Valuation'!$I$114:$I$119</c:f>
              <c:numCache>
                <c:formatCode>#,##0.00</c:formatCode>
                <c:ptCount val="6"/>
                <c:pt idx="0">
                  <c:v>821.34831695331684</c:v>
                </c:pt>
                <c:pt idx="1">
                  <c:v>922.29615479115466</c:v>
                </c:pt>
                <c:pt idx="2">
                  <c:v>882.12425000000007</c:v>
                </c:pt>
                <c:pt idx="3">
                  <c:v>763.02517237854318</c:v>
                </c:pt>
                <c:pt idx="4">
                  <c:v>814.05</c:v>
                </c:pt>
                <c:pt idx="5">
                  <c:v>857.58249999999998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9E-4DC4-9A45-01370F1C1F6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'Relative Valuation'!$H$114:$H$119</c:f>
              <c:strCache>
                <c:ptCount val="6"/>
                <c:pt idx="0">
                  <c:v>LTM</c:v>
                </c:pt>
                <c:pt idx="1">
                  <c:v>2026E</c:v>
                </c:pt>
                <c:pt idx="2">
                  <c:v>2027E</c:v>
                </c:pt>
                <c:pt idx="3">
                  <c:v>LTM 2</c:v>
                </c:pt>
                <c:pt idx="4">
                  <c:v>2026E 2</c:v>
                </c:pt>
                <c:pt idx="5">
                  <c:v>2027E 2</c:v>
                </c:pt>
              </c:strCache>
            </c:strRef>
          </c:cat>
          <c:val>
            <c:numRef>
              <c:f>'Relative Valuation'!$J$114:$J$119</c:f>
              <c:numCache>
                <c:formatCode>#,##0.00</c:formatCode>
                <c:ptCount val="6"/>
                <c:pt idx="0">
                  <c:v>396.47120735094074</c:v>
                </c:pt>
                <c:pt idx="1">
                  <c:v>399.27884520884538</c:v>
                </c:pt>
                <c:pt idx="2">
                  <c:v>441.75150000000008</c:v>
                </c:pt>
                <c:pt idx="3">
                  <c:v>232.78443724290787</c:v>
                </c:pt>
                <c:pt idx="4">
                  <c:v>240.94875000000002</c:v>
                </c:pt>
                <c:pt idx="5">
                  <c:v>221.42724999999996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9E-4DC4-9A45-01370F1C1F61}"/>
            </c:ext>
          </c:extLst>
        </c:ser>
        <c:ser>
          <c:idx val="2"/>
          <c:order val="2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'Relative Valuation'!$H$114:$H$119</c:f>
              <c:strCache>
                <c:ptCount val="6"/>
                <c:pt idx="0">
                  <c:v>LTM</c:v>
                </c:pt>
                <c:pt idx="1">
                  <c:v>2026E</c:v>
                </c:pt>
                <c:pt idx="2">
                  <c:v>2027E</c:v>
                </c:pt>
                <c:pt idx="3">
                  <c:v>LTM 2</c:v>
                </c:pt>
                <c:pt idx="4">
                  <c:v>2026E 2</c:v>
                </c:pt>
                <c:pt idx="5">
                  <c:v>2027E 2</c:v>
                </c:pt>
              </c:strCache>
            </c:strRef>
          </c:cat>
          <c:val>
            <c:numRef>
              <c:f>'Relative Valuation'!$K$114:$K$119</c:f>
              <c:numCache>
                <c:formatCode>#,##0.00</c:formatCode>
                <c:ptCount val="6"/>
                <c:pt idx="0">
                  <c:v>1217.8195243042576</c:v>
                </c:pt>
                <c:pt idx="1">
                  <c:v>1321.575</c:v>
                </c:pt>
                <c:pt idx="2">
                  <c:v>1323.8757500000002</c:v>
                </c:pt>
                <c:pt idx="3">
                  <c:v>995.80960962145105</c:v>
                </c:pt>
                <c:pt idx="4">
                  <c:v>1054.99875</c:v>
                </c:pt>
                <c:pt idx="5">
                  <c:v>1079.0097499999999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9E-4DC4-9A45-01370F1C1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19752783"/>
        <c:axId val="1819736463"/>
      </c:barChart>
      <c:catAx>
        <c:axId val="181975278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736463"/>
        <c:crosses val="autoZero"/>
        <c:auto val="1"/>
        <c:lblAlgn val="ctr"/>
        <c:lblOffset val="100"/>
        <c:noMultiLvlLbl val="0"/>
      </c:catAx>
      <c:valAx>
        <c:axId val="1819736463"/>
        <c:scaling>
          <c:orientation val="minMax"/>
          <c:max val="1500"/>
          <c:min val="600"/>
        </c:scaling>
        <c:delete val="0"/>
        <c:axPos val="b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752783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Implied Share Price - P/E</a:t>
            </a:r>
          </a:p>
        </c:rich>
      </c:tx>
      <c:layout>
        <c:manualLayout>
          <c:xMode val="edge"/>
          <c:yMode val="edge"/>
          <c:x val="0.44544182752906231"/>
          <c:y val="1.27893656927782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'Relative Valuation'!$R$113:$R$118</c:f>
              <c:strCache>
                <c:ptCount val="6"/>
                <c:pt idx="0">
                  <c:v>LTM</c:v>
                </c:pt>
                <c:pt idx="1">
                  <c:v>2026E</c:v>
                </c:pt>
                <c:pt idx="2">
                  <c:v>2027E</c:v>
                </c:pt>
                <c:pt idx="3">
                  <c:v>LTM Tier 2</c:v>
                </c:pt>
                <c:pt idx="4">
                  <c:v>2026E Tier2</c:v>
                </c:pt>
                <c:pt idx="5">
                  <c:v>2027E Tier 2</c:v>
                </c:pt>
              </c:strCache>
            </c:strRef>
          </c:cat>
          <c:val>
            <c:numRef>
              <c:f>'Relative Valuation'!$S$113:$S$118</c:f>
              <c:numCache>
                <c:formatCode>_("$"* #,##0.00_);_("$"* \(#,##0.00\);_("$"* "-"??_);_(@_)</c:formatCode>
                <c:ptCount val="6"/>
                <c:pt idx="0">
                  <c:v>4102.7485999999999</c:v>
                </c:pt>
                <c:pt idx="1">
                  <c:v>3436.0382</c:v>
                </c:pt>
                <c:pt idx="2">
                  <c:v>3451.1282000000006</c:v>
                </c:pt>
                <c:pt idx="3">
                  <c:v>3299.8658</c:v>
                </c:pt>
                <c:pt idx="4">
                  <c:v>2788.6107999999999</c:v>
                </c:pt>
                <c:pt idx="5">
                  <c:v>2885.12185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1A-4040-835C-B8A020ACB4E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'Relative Valuation'!$R$113:$R$118</c:f>
              <c:strCache>
                <c:ptCount val="6"/>
                <c:pt idx="0">
                  <c:v>LTM</c:v>
                </c:pt>
                <c:pt idx="1">
                  <c:v>2026E</c:v>
                </c:pt>
                <c:pt idx="2">
                  <c:v>2027E</c:v>
                </c:pt>
                <c:pt idx="3">
                  <c:v>LTM Tier 2</c:v>
                </c:pt>
                <c:pt idx="4">
                  <c:v>2026E Tier2</c:v>
                </c:pt>
                <c:pt idx="5">
                  <c:v>2027E Tier 2</c:v>
                </c:pt>
              </c:strCache>
            </c:strRef>
          </c:cat>
          <c:val>
            <c:numRef>
              <c:f>'Relative Valuation'!$T$113:$T$118</c:f>
              <c:numCache>
                <c:formatCode>#,##0.00</c:formatCode>
                <c:ptCount val="6"/>
                <c:pt idx="0">
                  <c:v>2894.0513999999994</c:v>
                </c:pt>
                <c:pt idx="1">
                  <c:v>1027.6561999999994</c:v>
                </c:pt>
                <c:pt idx="2">
                  <c:v>1000.9515749999996</c:v>
                </c:pt>
                <c:pt idx="3">
                  <c:v>599.10099999999966</c:v>
                </c:pt>
                <c:pt idx="4">
                  <c:v>210.08439999999973</c:v>
                </c:pt>
                <c:pt idx="5">
                  <c:v>248.79399999999987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1A-4040-835C-B8A020ACB4E7}"/>
            </c:ext>
          </c:extLst>
        </c:ser>
        <c:ser>
          <c:idx val="2"/>
          <c:order val="2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'Relative Valuation'!$R$113:$R$118</c:f>
              <c:strCache>
                <c:ptCount val="6"/>
                <c:pt idx="0">
                  <c:v>LTM</c:v>
                </c:pt>
                <c:pt idx="1">
                  <c:v>2026E</c:v>
                </c:pt>
                <c:pt idx="2">
                  <c:v>2027E</c:v>
                </c:pt>
                <c:pt idx="3">
                  <c:v>LTM Tier 2</c:v>
                </c:pt>
                <c:pt idx="4">
                  <c:v>2026E Tier2</c:v>
                </c:pt>
                <c:pt idx="5">
                  <c:v>2027E Tier 2</c:v>
                </c:pt>
              </c:strCache>
            </c:strRef>
          </c:cat>
          <c:val>
            <c:numRef>
              <c:f>'Relative Valuation'!$U$113:$U$118</c:f>
              <c:numCache>
                <c:formatCode>#,##0.00</c:formatCode>
                <c:ptCount val="6"/>
                <c:pt idx="0">
                  <c:v>6996.7999999999993</c:v>
                </c:pt>
                <c:pt idx="1">
                  <c:v>4463.6943999999994</c:v>
                </c:pt>
                <c:pt idx="2">
                  <c:v>4452.0797750000002</c:v>
                </c:pt>
                <c:pt idx="3">
                  <c:v>3898.9667999999997</c:v>
                </c:pt>
                <c:pt idx="4">
                  <c:v>2998.6951999999997</c:v>
                </c:pt>
                <c:pt idx="5">
                  <c:v>3133.9158499999999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1A-4040-835C-B8A020ACB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19729743"/>
        <c:axId val="1819745103"/>
      </c:barChart>
      <c:catAx>
        <c:axId val="181972974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745103"/>
        <c:crosses val="autoZero"/>
        <c:auto val="1"/>
        <c:lblAlgn val="ctr"/>
        <c:lblOffset val="100"/>
        <c:noMultiLvlLbl val="0"/>
      </c:catAx>
      <c:valAx>
        <c:axId val="1819745103"/>
        <c:scaling>
          <c:orientation val="minMax"/>
          <c:max val="7000"/>
          <c:min val="2300"/>
        </c:scaling>
        <c:delete val="0"/>
        <c:axPos val="b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729743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1"/>
          <c:order val="1"/>
          <c:tx>
            <c:strRef>
              <c:f>'Relative Valuation'!$CU$27</c:f>
              <c:strCache>
                <c:ptCount val="1"/>
                <c:pt idx="0">
                  <c:v>25th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'Relative Valuation'!$CS$28:$CS$36</c:f>
              <c:strCache>
                <c:ptCount val="9"/>
                <c:pt idx="0">
                  <c:v>LTM Tier 1</c:v>
                </c:pt>
                <c:pt idx="1">
                  <c:v>FY1 Tier 1</c:v>
                </c:pt>
                <c:pt idx="2">
                  <c:v>FY2 Tier 1</c:v>
                </c:pt>
                <c:pt idx="3">
                  <c:v>LTM Tier 2</c:v>
                </c:pt>
                <c:pt idx="4">
                  <c:v>FY1 Tier 2</c:v>
                </c:pt>
                <c:pt idx="5">
                  <c:v>FY2 Tier 2</c:v>
                </c:pt>
                <c:pt idx="6">
                  <c:v>LTM Tier 3</c:v>
                </c:pt>
                <c:pt idx="7">
                  <c:v>FY 1 Tier 3</c:v>
                </c:pt>
                <c:pt idx="8">
                  <c:v>FY3 Tier 3</c:v>
                </c:pt>
              </c:strCache>
            </c:strRef>
          </c:cat>
          <c:val>
            <c:numRef>
              <c:f>'Relative Valuation'!$CU$28:$CU$36</c:f>
              <c:numCache>
                <c:formatCode>General</c:formatCode>
                <c:ptCount val="9"/>
                <c:pt idx="0">
                  <c:v>31.658333333333335</c:v>
                </c:pt>
                <c:pt idx="1">
                  <c:v>21.5075</c:v>
                </c:pt>
                <c:pt idx="2">
                  <c:v>19.420000000000002</c:v>
                </c:pt>
                <c:pt idx="3">
                  <c:v>18.195</c:v>
                </c:pt>
                <c:pt idx="4">
                  <c:v>17.350000000000001</c:v>
                </c:pt>
                <c:pt idx="5">
                  <c:v>15.395</c:v>
                </c:pt>
                <c:pt idx="6">
                  <c:v>13.2675</c:v>
                </c:pt>
                <c:pt idx="7">
                  <c:v>13.2575</c:v>
                </c:pt>
                <c:pt idx="8">
                  <c:v>10.585000000000001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93-4482-BDC8-CE1FB5AA4378}"/>
            </c:ext>
          </c:extLst>
        </c:ser>
        <c:ser>
          <c:idx val="2"/>
          <c:order val="2"/>
          <c:tx>
            <c:strRef>
              <c:f>'Relative Valuation'!$CV$27</c:f>
              <c:strCache>
                <c:ptCount val="1"/>
                <c:pt idx="0">
                  <c:v>75th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'Relative Valuation'!$CS$28:$CS$36</c:f>
              <c:strCache>
                <c:ptCount val="9"/>
                <c:pt idx="0">
                  <c:v>LTM Tier 1</c:v>
                </c:pt>
                <c:pt idx="1">
                  <c:v>FY1 Tier 1</c:v>
                </c:pt>
                <c:pt idx="2">
                  <c:v>FY2 Tier 1</c:v>
                </c:pt>
                <c:pt idx="3">
                  <c:v>LTM Tier 2</c:v>
                </c:pt>
                <c:pt idx="4">
                  <c:v>FY1 Tier 2</c:v>
                </c:pt>
                <c:pt idx="5">
                  <c:v>FY2 Tier 2</c:v>
                </c:pt>
                <c:pt idx="6">
                  <c:v>LTM Tier 3</c:v>
                </c:pt>
                <c:pt idx="7">
                  <c:v>FY 1 Tier 3</c:v>
                </c:pt>
                <c:pt idx="8">
                  <c:v>FY3 Tier 3</c:v>
                </c:pt>
              </c:strCache>
            </c:strRef>
          </c:cat>
          <c:val>
            <c:numRef>
              <c:f>'Relative Valuation'!$CV$28:$CV$36</c:f>
              <c:numCache>
                <c:formatCode>General</c:formatCode>
                <c:ptCount val="9"/>
                <c:pt idx="0">
                  <c:v>40</c:v>
                </c:pt>
                <c:pt idx="1">
                  <c:v>27.939999999999998</c:v>
                </c:pt>
                <c:pt idx="2">
                  <c:v>25.052500000000002</c:v>
                </c:pt>
                <c:pt idx="3">
                  <c:v>21.96</c:v>
                </c:pt>
                <c:pt idx="4">
                  <c:v>18.759999999999998</c:v>
                </c:pt>
                <c:pt idx="5">
                  <c:v>17.549999999999997</c:v>
                </c:pt>
                <c:pt idx="6">
                  <c:v>15.09</c:v>
                </c:pt>
                <c:pt idx="7">
                  <c:v>14.57</c:v>
                </c:pt>
                <c:pt idx="8">
                  <c:v>13.17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93-4482-BDC8-CE1FB5AA4378}"/>
            </c:ext>
          </c:extLst>
        </c:ser>
        <c:ser>
          <c:idx val="3"/>
          <c:order val="3"/>
          <c:tx>
            <c:strRef>
              <c:f>'Relative Valuation'!$CW$27</c:f>
              <c:strCache>
                <c:ptCount val="1"/>
                <c:pt idx="0">
                  <c:v>Diff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'Relative Valuation'!$CS$28:$CS$36</c:f>
              <c:strCache>
                <c:ptCount val="9"/>
                <c:pt idx="0">
                  <c:v>LTM Tier 1</c:v>
                </c:pt>
                <c:pt idx="1">
                  <c:v>FY1 Tier 1</c:v>
                </c:pt>
                <c:pt idx="2">
                  <c:v>FY2 Tier 1</c:v>
                </c:pt>
                <c:pt idx="3">
                  <c:v>LTM Tier 2</c:v>
                </c:pt>
                <c:pt idx="4">
                  <c:v>FY1 Tier 2</c:v>
                </c:pt>
                <c:pt idx="5">
                  <c:v>FY2 Tier 2</c:v>
                </c:pt>
                <c:pt idx="6">
                  <c:v>LTM Tier 3</c:v>
                </c:pt>
                <c:pt idx="7">
                  <c:v>FY 1 Tier 3</c:v>
                </c:pt>
                <c:pt idx="8">
                  <c:v>FY3 Tier 3</c:v>
                </c:pt>
              </c:strCache>
            </c:strRef>
          </c:cat>
          <c:val>
            <c:numRef>
              <c:f>'Relative Valuation'!$CW$28:$CW$36</c:f>
              <c:numCache>
                <c:formatCode>General</c:formatCode>
                <c:ptCount val="9"/>
                <c:pt idx="0">
                  <c:v>8.341666666666665</c:v>
                </c:pt>
                <c:pt idx="1">
                  <c:v>6.4324999999999974</c:v>
                </c:pt>
                <c:pt idx="2">
                  <c:v>5.6325000000000003</c:v>
                </c:pt>
                <c:pt idx="3">
                  <c:v>3.7650000000000006</c:v>
                </c:pt>
                <c:pt idx="4">
                  <c:v>1.4099999999999966</c:v>
                </c:pt>
                <c:pt idx="5">
                  <c:v>2.1549999999999976</c:v>
                </c:pt>
                <c:pt idx="6">
                  <c:v>1.8224999999999998</c:v>
                </c:pt>
                <c:pt idx="7">
                  <c:v>1.3125</c:v>
                </c:pt>
                <c:pt idx="8">
                  <c:v>2.5849999999999991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93-4482-BDC8-CE1FB5AA4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1772271"/>
        <c:axId val="88177275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'Relative Valuation'!$CT$27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'Relative Valuation'!$CS$28:$CS$36</c15:sqref>
                        </c15:formulaRef>
                      </c:ext>
                    </c:extLst>
                    <c:strCache>
                      <c:ptCount val="9"/>
                      <c:pt idx="0">
                        <c:v>LTM Tier 1</c:v>
                      </c:pt>
                      <c:pt idx="1">
                        <c:v>FY1 Tier 1</c:v>
                      </c:pt>
                      <c:pt idx="2">
                        <c:v>FY2 Tier 1</c:v>
                      </c:pt>
                      <c:pt idx="3">
                        <c:v>LTM Tier 2</c:v>
                      </c:pt>
                      <c:pt idx="4">
                        <c:v>FY1 Tier 2</c:v>
                      </c:pt>
                      <c:pt idx="5">
                        <c:v>FY2 Tier 2</c:v>
                      </c:pt>
                      <c:pt idx="6">
                        <c:v>LTM Tier 3</c:v>
                      </c:pt>
                      <c:pt idx="7">
                        <c:v>FY 1 Tier 3</c:v>
                      </c:pt>
                      <c:pt idx="8">
                        <c:v>FY3 Tier 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'Relative Valuation'!$CT$28:$CT$36</c15:sqref>
                        </c15:formulaRef>
                      </c:ext>
                    </c:extLst>
                    <c:numCache>
                      <c:formatCode>General</c:formatCode>
                      <c:ptCount val="9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C93-4482-BDC8-CE1FB5AA4378}"/>
                  </c:ext>
                </c:extLst>
              </c15:ser>
            </c15:filteredBarSeries>
          </c:ext>
        </c:extLst>
      </c:barChart>
      <c:catAx>
        <c:axId val="881772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772751"/>
        <c:crosses val="max"/>
        <c:auto val="1"/>
        <c:lblAlgn val="ctr"/>
        <c:lblOffset val="100"/>
        <c:noMultiLvlLbl val="0"/>
      </c:catAx>
      <c:valAx>
        <c:axId val="881772751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772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'Relative Valuation'!$CS$30</c:f>
              <c:strCache>
                <c:ptCount val="1"/>
                <c:pt idx="0">
                  <c:v>FY2 Tier 1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'Relative Valuation'!$CY$27:$DA$27</c:f>
              <c:strCache>
                <c:ptCount val="3"/>
                <c:pt idx="0">
                  <c:v>25th </c:v>
                </c:pt>
                <c:pt idx="1">
                  <c:v>75th</c:v>
                </c:pt>
                <c:pt idx="2">
                  <c:v>Diff</c:v>
                </c:pt>
              </c:strCache>
            </c:strRef>
          </c:cat>
          <c:val>
            <c:numRef>
              <c:f>'Relative Valuation'!$CY$30:$DA$30</c:f>
              <c:numCache>
                <c:formatCode>0.00\x</c:formatCode>
                <c:ptCount val="3"/>
                <c:pt idx="0">
                  <c:v>0.34679413008482735</c:v>
                </c:pt>
                <c:pt idx="1">
                  <c:v>2.8790144762783445</c:v>
                </c:pt>
                <c:pt idx="2">
                  <c:v>2.5322203461935171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C0-4218-A84A-5F295D9A5722}"/>
            </c:ext>
          </c:extLst>
        </c:ser>
        <c:ser>
          <c:idx val="1"/>
          <c:order val="1"/>
          <c:tx>
            <c:strRef>
              <c:f>'Relative Valuation'!$CS$33</c:f>
              <c:strCache>
                <c:ptCount val="1"/>
                <c:pt idx="0">
                  <c:v>FY2 Tier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'Relative Valuation'!$CY$27:$DA$27</c:f>
              <c:strCache>
                <c:ptCount val="3"/>
                <c:pt idx="0">
                  <c:v>25th </c:v>
                </c:pt>
                <c:pt idx="1">
                  <c:v>75th</c:v>
                </c:pt>
                <c:pt idx="2">
                  <c:v>Diff</c:v>
                </c:pt>
              </c:strCache>
            </c:strRef>
          </c:cat>
          <c:val>
            <c:numRef>
              <c:f>'Relative Valuation'!$CY$33:$DA$33</c:f>
              <c:numCache>
                <c:formatCode>0.00\x</c:formatCode>
                <c:ptCount val="3"/>
                <c:pt idx="0">
                  <c:v>0.81672428187968449</c:v>
                </c:pt>
                <c:pt idx="1">
                  <c:v>1.1947921241399502</c:v>
                </c:pt>
                <c:pt idx="2">
                  <c:v>0.37806784226026569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C0-4218-A84A-5F295D9A5722}"/>
            </c:ext>
          </c:extLst>
        </c:ser>
        <c:ser>
          <c:idx val="2"/>
          <c:order val="2"/>
          <c:tx>
            <c:strRef>
              <c:f>'Relative Valuation'!$CS$36</c:f>
              <c:strCache>
                <c:ptCount val="1"/>
                <c:pt idx="0">
                  <c:v>FY3 Tier 3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'Relative Valuation'!$CY$27:$DA$27</c:f>
              <c:strCache>
                <c:ptCount val="3"/>
                <c:pt idx="0">
                  <c:v>25th </c:v>
                </c:pt>
                <c:pt idx="1">
                  <c:v>75th</c:v>
                </c:pt>
                <c:pt idx="2">
                  <c:v>Diff</c:v>
                </c:pt>
              </c:strCache>
            </c:strRef>
          </c:cat>
          <c:val>
            <c:numRef>
              <c:f>'Relative Valuation'!$CY$36:$DA$36</c:f>
              <c:numCache>
                <c:formatCode>0.00\x</c:formatCode>
                <c:ptCount val="3"/>
                <c:pt idx="0">
                  <c:v>1.2281746031746033E-2</c:v>
                </c:pt>
                <c:pt idx="1">
                  <c:v>0.7071692686935086</c:v>
                </c:pt>
                <c:pt idx="2">
                  <c:v>0.69488752266176257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C0-4218-A84A-5F295D9A5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0001968"/>
        <c:axId val="460005328"/>
      </c:barChart>
      <c:catAx>
        <c:axId val="460001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005328"/>
        <c:crosses val="max"/>
        <c:auto val="1"/>
        <c:lblAlgn val="ctr"/>
        <c:lblOffset val="100"/>
        <c:noMultiLvlLbl val="0"/>
      </c:catAx>
      <c:valAx>
        <c:axId val="460005328"/>
        <c:scaling>
          <c:orientation val="maxMin"/>
          <c:min val="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001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ROIC, ROE,</a:t>
            </a:r>
            <a:r>
              <a:rPr lang="en-US" baseline="0"/>
              <a:t> ROA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'Relative Valuation'!$CS$59:$CS$67</c:f>
              <c:strCache>
                <c:ptCount val="9"/>
                <c:pt idx="0">
                  <c:v>LTM Tier 1 ROIC</c:v>
                </c:pt>
                <c:pt idx="1">
                  <c:v>LTM Tier 1 ROE</c:v>
                </c:pt>
                <c:pt idx="2">
                  <c:v>LTM Tier ROA</c:v>
                </c:pt>
                <c:pt idx="3">
                  <c:v>FY 1 Tier 2 ROIC</c:v>
                </c:pt>
                <c:pt idx="4">
                  <c:v>FYI Tier 2 ROE</c:v>
                </c:pt>
                <c:pt idx="5">
                  <c:v>FY1 Tier 2 ROA</c:v>
                </c:pt>
                <c:pt idx="6">
                  <c:v>FY2 Tier 3 ROIC</c:v>
                </c:pt>
                <c:pt idx="7">
                  <c:v>FY 2 Tier 3 ROE</c:v>
                </c:pt>
                <c:pt idx="8">
                  <c:v>FY2 Tier 3 ROA</c:v>
                </c:pt>
              </c:strCache>
            </c:strRef>
          </c:cat>
          <c:val>
            <c:numRef>
              <c:f>'Relative Valuation'!$CT$59:$CT$67</c:f>
              <c:numCache>
                <c:formatCode>0.00%</c:formatCode>
                <c:ptCount val="9"/>
                <c:pt idx="0">
                  <c:v>3.8650000000000004E-2</c:v>
                </c:pt>
                <c:pt idx="1">
                  <c:v>4.7850000000000004E-2</c:v>
                </c:pt>
                <c:pt idx="2">
                  <c:v>3.1300000000000001E-2</c:v>
                </c:pt>
                <c:pt idx="3">
                  <c:v>8.6925000000000002E-2</c:v>
                </c:pt>
                <c:pt idx="4">
                  <c:v>0.120675</c:v>
                </c:pt>
                <c:pt idx="5">
                  <c:v>4.8274999999999998E-2</c:v>
                </c:pt>
                <c:pt idx="6">
                  <c:v>8.6925000000000002E-2</c:v>
                </c:pt>
                <c:pt idx="7">
                  <c:v>0.120675</c:v>
                </c:pt>
                <c:pt idx="8">
                  <c:v>4.8274999999999998E-2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2B-416D-ACFD-5BA2B4C3E23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'Relative Valuation'!$CS$59:$CS$67</c:f>
              <c:strCache>
                <c:ptCount val="9"/>
                <c:pt idx="0">
                  <c:v>LTM Tier 1 ROIC</c:v>
                </c:pt>
                <c:pt idx="1">
                  <c:v>LTM Tier 1 ROE</c:v>
                </c:pt>
                <c:pt idx="2">
                  <c:v>LTM Tier ROA</c:v>
                </c:pt>
                <c:pt idx="3">
                  <c:v>FY 1 Tier 2 ROIC</c:v>
                </c:pt>
                <c:pt idx="4">
                  <c:v>FYI Tier 2 ROE</c:v>
                </c:pt>
                <c:pt idx="5">
                  <c:v>FY1 Tier 2 ROA</c:v>
                </c:pt>
                <c:pt idx="6">
                  <c:v>FY2 Tier 3 ROIC</c:v>
                </c:pt>
                <c:pt idx="7">
                  <c:v>FY 2 Tier 3 ROE</c:v>
                </c:pt>
                <c:pt idx="8">
                  <c:v>FY2 Tier 3 ROA</c:v>
                </c:pt>
              </c:strCache>
            </c:strRef>
          </c:cat>
          <c:val>
            <c:numRef>
              <c:f>'Relative Valuation'!$CU$59:$CU$67</c:f>
              <c:numCache>
                <c:formatCode>0.00%</c:formatCode>
                <c:ptCount val="9"/>
                <c:pt idx="0">
                  <c:v>6.4299999999999996E-2</c:v>
                </c:pt>
                <c:pt idx="1">
                  <c:v>9.9000000000000005E-2</c:v>
                </c:pt>
                <c:pt idx="2">
                  <c:v>5.0200000000000002E-2</c:v>
                </c:pt>
                <c:pt idx="3">
                  <c:v>0.137075</c:v>
                </c:pt>
                <c:pt idx="4">
                  <c:v>0.29864999999999997</c:v>
                </c:pt>
                <c:pt idx="5">
                  <c:v>8.9900000000000008E-2</c:v>
                </c:pt>
                <c:pt idx="6">
                  <c:v>0.1371</c:v>
                </c:pt>
                <c:pt idx="7">
                  <c:v>0.29870000000000002</c:v>
                </c:pt>
                <c:pt idx="8">
                  <c:v>8.9849999999999999E-2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2B-416D-ACFD-5BA2B4C3E234}"/>
            </c:ext>
          </c:extLst>
        </c:ser>
        <c:ser>
          <c:idx val="2"/>
          <c:order val="2"/>
          <c:spPr>
            <a:noFill/>
            <a:ln>
              <a:noFill/>
            </a:ln>
            <a:effectLst/>
          </c:spPr>
          <c:invertIfNegative val="0"/>
          <c:cat>
            <c:strRef>
              <c:f>'Relative Valuation'!$CS$59:$CS$67</c:f>
              <c:strCache>
                <c:ptCount val="9"/>
                <c:pt idx="0">
                  <c:v>LTM Tier 1 ROIC</c:v>
                </c:pt>
                <c:pt idx="1">
                  <c:v>LTM Tier 1 ROE</c:v>
                </c:pt>
                <c:pt idx="2">
                  <c:v>LTM Tier ROA</c:v>
                </c:pt>
                <c:pt idx="3">
                  <c:v>FY 1 Tier 2 ROIC</c:v>
                </c:pt>
                <c:pt idx="4">
                  <c:v>FYI Tier 2 ROE</c:v>
                </c:pt>
                <c:pt idx="5">
                  <c:v>FY1 Tier 2 ROA</c:v>
                </c:pt>
                <c:pt idx="6">
                  <c:v>FY2 Tier 3 ROIC</c:v>
                </c:pt>
                <c:pt idx="7">
                  <c:v>FY 2 Tier 3 ROE</c:v>
                </c:pt>
                <c:pt idx="8">
                  <c:v>FY2 Tier 3 ROA</c:v>
                </c:pt>
              </c:strCache>
            </c:strRef>
          </c:cat>
          <c:val>
            <c:numRef>
              <c:f>'Relative Valuation'!$CV$59:$CV$67</c:f>
              <c:numCache>
                <c:formatCode>0.00%</c:formatCode>
                <c:ptCount val="9"/>
                <c:pt idx="0">
                  <c:v>2.5649999999999992E-2</c:v>
                </c:pt>
                <c:pt idx="1">
                  <c:v>5.1150000000000001E-2</c:v>
                </c:pt>
                <c:pt idx="2">
                  <c:v>1.89E-2</c:v>
                </c:pt>
                <c:pt idx="3">
                  <c:v>5.015E-2</c:v>
                </c:pt>
                <c:pt idx="4">
                  <c:v>0.17797499999999997</c:v>
                </c:pt>
                <c:pt idx="5">
                  <c:v>4.1625000000000009E-2</c:v>
                </c:pt>
                <c:pt idx="6">
                  <c:v>5.0174999999999997E-2</c:v>
                </c:pt>
                <c:pt idx="7">
                  <c:v>0.17802500000000002</c:v>
                </c:pt>
                <c:pt idx="8">
                  <c:v>4.1575000000000001E-2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2B-416D-ACFD-5BA2B4C3E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7226704"/>
        <c:axId val="87227184"/>
      </c:barChart>
      <c:catAx>
        <c:axId val="8722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27184"/>
        <c:crosses val="max"/>
        <c:auto val="1"/>
        <c:lblAlgn val="ctr"/>
        <c:lblOffset val="100"/>
        <c:noMultiLvlLbl val="0"/>
      </c:catAx>
      <c:valAx>
        <c:axId val="87227184"/>
        <c:scaling>
          <c:logBase val="10"/>
          <c:orientation val="maxMin"/>
          <c:max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2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EV/EBIT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'Relative Valuation'!$CS$87</c:f>
              <c:strCache>
                <c:ptCount val="1"/>
                <c:pt idx="0">
                  <c:v>LTM Tier 1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val>
            <c:numRef>
              <c:f>'Relative Valuation'!$CT$87:$CW$87</c:f>
              <c:numCache>
                <c:formatCode>0.00\x</c:formatCode>
                <c:ptCount val="4"/>
                <c:pt idx="1">
                  <c:v>16.334180183701388</c:v>
                </c:pt>
                <c:pt idx="2">
                  <c:v>7.7455849239145067</c:v>
                </c:pt>
                <c:pt idx="3">
                  <c:v>24.079765107615895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63-46D0-BF6C-4CB1FB581390}"/>
            </c:ext>
          </c:extLst>
        </c:ser>
        <c:ser>
          <c:idx val="1"/>
          <c:order val="1"/>
          <c:tx>
            <c:strRef>
              <c:f>'Relative Valuation'!$CS$88</c:f>
              <c:strCache>
                <c:ptCount val="1"/>
                <c:pt idx="0">
                  <c:v>LTM Tier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'Relative Valuation'!$CT$88:$CW$88</c:f>
              <c:numCache>
                <c:formatCode>0.00\x</c:formatCode>
                <c:ptCount val="4"/>
                <c:pt idx="1">
                  <c:v>0.69941732749854757</c:v>
                </c:pt>
                <c:pt idx="2">
                  <c:v>0.69430678237174948</c:v>
                </c:pt>
                <c:pt idx="3">
                  <c:v>1.393724109870297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63-46D0-BF6C-4CB1FB581390}"/>
            </c:ext>
          </c:extLst>
        </c:ser>
        <c:ser>
          <c:idx val="2"/>
          <c:order val="2"/>
          <c:tx>
            <c:strRef>
              <c:f>'Relative Valuation'!$CS$89</c:f>
              <c:strCache>
                <c:ptCount val="1"/>
                <c:pt idx="0">
                  <c:v>LTM Tier 3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'Relative Valuation'!$CT$89:$CW$89</c:f>
              <c:numCache>
                <c:formatCode>0.00\x</c:formatCode>
                <c:ptCount val="4"/>
                <c:pt idx="1">
                  <c:v>9.3555555555555561</c:v>
                </c:pt>
                <c:pt idx="2">
                  <c:v>3.6203608979823816</c:v>
                </c:pt>
                <c:pt idx="3">
                  <c:v>12.975916453537938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63-46D0-BF6C-4CB1FB581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6101744"/>
        <c:axId val="86102704"/>
      </c:barChart>
      <c:catAx>
        <c:axId val="86101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02704"/>
        <c:crosses val="max"/>
        <c:auto val="1"/>
        <c:lblAlgn val="ctr"/>
        <c:lblOffset val="100"/>
        <c:noMultiLvlLbl val="0"/>
      </c:catAx>
      <c:valAx>
        <c:axId val="86102704"/>
        <c:scaling>
          <c:orientation val="maxMin"/>
          <c:max val="27"/>
          <c:min val="7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0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EV/EBITDA Method-Implied</a:t>
            </a:r>
            <a:r>
              <a:rPr lang="en-US" baseline="0"/>
              <a:t> Shareprice range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'Relative Valuation'!$CS$15:$CS$23</c:f>
              <c:strCache>
                <c:ptCount val="9"/>
                <c:pt idx="0">
                  <c:v>LTM Tier 1</c:v>
                </c:pt>
                <c:pt idx="1">
                  <c:v>2026E Tier 1</c:v>
                </c:pt>
                <c:pt idx="2">
                  <c:v>2027E Tier 1</c:v>
                </c:pt>
                <c:pt idx="3">
                  <c:v>LTM Tier 2</c:v>
                </c:pt>
                <c:pt idx="4">
                  <c:v>2026E Tier 2</c:v>
                </c:pt>
                <c:pt idx="5">
                  <c:v>2027E Tier 2</c:v>
                </c:pt>
                <c:pt idx="6">
                  <c:v>LTM Tier 3</c:v>
                </c:pt>
                <c:pt idx="7">
                  <c:v>2026E Tier 3</c:v>
                </c:pt>
                <c:pt idx="8">
                  <c:v>2027E Tier 3</c:v>
                </c:pt>
              </c:strCache>
            </c:strRef>
          </c:cat>
          <c:val>
            <c:numRef>
              <c:f>'Relative Valuation'!$DK$15:$DK$23</c:f>
              <c:numCache>
                <c:formatCode>[$¥-411]#,##0.00</c:formatCode>
                <c:ptCount val="9"/>
                <c:pt idx="0">
                  <c:v>2442.7887788778876</c:v>
                </c:pt>
                <c:pt idx="1">
                  <c:v>2570.4125412541257</c:v>
                </c:pt>
                <c:pt idx="2">
                  <c:v>2643.4158415841584</c:v>
                </c:pt>
                <c:pt idx="3">
                  <c:v>2360.0825082508254</c:v>
                </c:pt>
                <c:pt idx="4">
                  <c:v>2354.818481848185</c:v>
                </c:pt>
                <c:pt idx="5">
                  <c:v>2472.3234323432343</c:v>
                </c:pt>
                <c:pt idx="6">
                  <c:v>1476.8976897689772</c:v>
                </c:pt>
                <c:pt idx="7">
                  <c:v>1475.8580858085809</c:v>
                </c:pt>
                <c:pt idx="8">
                  <c:v>2097.3762376237619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6F-4C44-919A-D40B6C8646F4}"/>
            </c:ext>
          </c:extLst>
        </c:ser>
        <c:ser>
          <c:idx val="1"/>
          <c:order val="1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'Relative Valuation'!$CS$15:$CS$23</c:f>
              <c:strCache>
                <c:ptCount val="9"/>
                <c:pt idx="0">
                  <c:v>LTM Tier 1</c:v>
                </c:pt>
                <c:pt idx="1">
                  <c:v>2026E Tier 1</c:v>
                </c:pt>
                <c:pt idx="2">
                  <c:v>2027E Tier 1</c:v>
                </c:pt>
                <c:pt idx="3">
                  <c:v>LTM Tier 2</c:v>
                </c:pt>
                <c:pt idx="4">
                  <c:v>2026E Tier 2</c:v>
                </c:pt>
                <c:pt idx="5">
                  <c:v>2027E Tier 2</c:v>
                </c:pt>
                <c:pt idx="6">
                  <c:v>LTM Tier 3</c:v>
                </c:pt>
                <c:pt idx="7">
                  <c:v>2026E Tier 3</c:v>
                </c:pt>
                <c:pt idx="8">
                  <c:v>2027E Tier 3</c:v>
                </c:pt>
              </c:strCache>
            </c:strRef>
          </c:cat>
          <c:val>
            <c:numRef>
              <c:f>'Relative Valuation'!$DL$15:$DL$23</c:f>
              <c:numCache>
                <c:formatCode>[$¥-411]#,##0.00;\-[$¥-411]#,##0.00</c:formatCode>
                <c:ptCount val="9"/>
                <c:pt idx="0">
                  <c:v>1039.7359735973596</c:v>
                </c:pt>
                <c:pt idx="1">
                  <c:v>1253.6303630363036</c:v>
                </c:pt>
                <c:pt idx="2">
                  <c:v>1187.3102310231022</c:v>
                </c:pt>
                <c:pt idx="3">
                  <c:v>886.13861386138615</c:v>
                </c:pt>
                <c:pt idx="4">
                  <c:v>1197.2442244224421</c:v>
                </c:pt>
                <c:pt idx="5">
                  <c:v>513.86138613861363</c:v>
                </c:pt>
                <c:pt idx="6">
                  <c:v>1813.6303630363036</c:v>
                </c:pt>
                <c:pt idx="7">
                  <c:v>1993.2838283828385</c:v>
                </c:pt>
                <c:pt idx="8">
                  <c:v>1223.7128712871286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6F-4C44-919A-D40B6C8646F4}"/>
            </c:ext>
          </c:extLst>
        </c:ser>
        <c:ser>
          <c:idx val="2"/>
          <c:order val="2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'Relative Valuation'!$CS$15:$CS$23</c:f>
              <c:strCache>
                <c:ptCount val="9"/>
                <c:pt idx="0">
                  <c:v>LTM Tier 1</c:v>
                </c:pt>
                <c:pt idx="1">
                  <c:v>2026E Tier 1</c:v>
                </c:pt>
                <c:pt idx="2">
                  <c:v>2027E Tier 1</c:v>
                </c:pt>
                <c:pt idx="3">
                  <c:v>LTM Tier 2</c:v>
                </c:pt>
                <c:pt idx="4">
                  <c:v>2026E Tier 2</c:v>
                </c:pt>
                <c:pt idx="5">
                  <c:v>2027E Tier 2</c:v>
                </c:pt>
                <c:pt idx="6">
                  <c:v>LTM Tier 3</c:v>
                </c:pt>
                <c:pt idx="7">
                  <c:v>2026E Tier 3</c:v>
                </c:pt>
                <c:pt idx="8">
                  <c:v>2027E Tier 3</c:v>
                </c:pt>
              </c:strCache>
            </c:strRef>
          </c:cat>
          <c:val>
            <c:numRef>
              <c:f>'Relative Valuation'!$DM$15:$DM$23</c:f>
              <c:numCache>
                <c:formatCode>[$¥-411]#,##0.00</c:formatCode>
                <c:ptCount val="9"/>
                <c:pt idx="0">
                  <c:v>3751.3201320132016</c:v>
                </c:pt>
                <c:pt idx="1">
                  <c:v>4092.8382838283833</c:v>
                </c:pt>
                <c:pt idx="2">
                  <c:v>4099.5214521452144</c:v>
                </c:pt>
                <c:pt idx="3">
                  <c:v>3515.0165016501655</c:v>
                </c:pt>
                <c:pt idx="4">
                  <c:v>3820.8580858085811</c:v>
                </c:pt>
                <c:pt idx="5">
                  <c:v>3254.9801980198017</c:v>
                </c:pt>
                <c:pt idx="6">
                  <c:v>3559.3234323432348</c:v>
                </c:pt>
                <c:pt idx="7">
                  <c:v>3737.9372937293733</c:v>
                </c:pt>
                <c:pt idx="8">
                  <c:v>3589.8844884488449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6F-4C44-919A-D40B6C864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81688559"/>
        <c:axId val="1481689519"/>
      </c:barChart>
      <c:catAx>
        <c:axId val="1481688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689519"/>
        <c:crosses val="autoZero"/>
        <c:auto val="1"/>
        <c:lblAlgn val="ctr"/>
        <c:lblOffset val="100"/>
        <c:noMultiLvlLbl val="0"/>
      </c:catAx>
      <c:valAx>
        <c:axId val="1481689519"/>
        <c:scaling>
          <c:orientation val="minMax"/>
          <c:max val="5000"/>
          <c:min val="1000"/>
        </c:scaling>
        <c:delete val="0"/>
        <c:axPos val="b"/>
        <c:numFmt formatCode="[$¥-411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688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218278</xdr:colOff>
      <xdr:row>83</xdr:row>
      <xdr:rowOff>89297</xdr:rowOff>
    </xdr:from>
    <xdr:to>
      <xdr:col>47</xdr:col>
      <xdr:colOff>545703</xdr:colOff>
      <xdr:row>119</xdr:row>
      <xdr:rowOff>79375</xdr:rowOff>
    </xdr:to>
    <xdr:graphicFrame macro="">
      <xdr:nvGraphicFramePr>
        <xdr:cNvPr id="16" name="Chart 1">
          <a:extLst>
            <a:ext uri="{FF2B5EF4-FFF2-40B4-BE49-F238E27FC236}">
              <a16:creationId xmlns:a16="http://schemas.microsoft.com/office/drawing/2014/main" id="{8C5C747D-36E0-E350-3D8B-76B0511A51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354527</xdr:colOff>
      <xdr:row>127</xdr:row>
      <xdr:rowOff>159234</xdr:rowOff>
    </xdr:from>
    <xdr:to>
      <xdr:col>39</xdr:col>
      <xdr:colOff>356461</xdr:colOff>
      <xdr:row>160</xdr:row>
      <xdr:rowOff>72599</xdr:rowOff>
    </xdr:to>
    <xdr:graphicFrame macro="">
      <xdr:nvGraphicFramePr>
        <xdr:cNvPr id="149" name="Chart 2">
          <a:extLst>
            <a:ext uri="{FF2B5EF4-FFF2-40B4-BE49-F238E27FC236}">
              <a16:creationId xmlns:a16="http://schemas.microsoft.com/office/drawing/2014/main" id="{D5E38E4F-8A15-9E76-E768-25D3DAED60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517071</xdr:colOff>
      <xdr:row>130</xdr:row>
      <xdr:rowOff>122465</xdr:rowOff>
    </xdr:from>
    <xdr:to>
      <xdr:col>30</xdr:col>
      <xdr:colOff>462643</xdr:colOff>
      <xdr:row>158</xdr:row>
      <xdr:rowOff>81643</xdr:rowOff>
    </xdr:to>
    <xdr:sp macro="" textlink="">
      <xdr:nvSpPr>
        <xdr:cNvPr id="13" name="Rectangle 3">
          <a:extLst>
            <a:ext uri="{FF2B5EF4-FFF2-40B4-BE49-F238E27FC236}">
              <a16:creationId xmlns:a16="http://schemas.microsoft.com/office/drawing/2014/main" id="{5991F3E9-B798-3B5D-852A-D7D25B4CEA90}"/>
            </a:ext>
          </a:extLst>
        </xdr:cNvPr>
        <xdr:cNvSpPr/>
      </xdr:nvSpPr>
      <xdr:spPr>
        <a:xfrm>
          <a:off x="17947821" y="25499786"/>
          <a:ext cx="1143001" cy="5293178"/>
        </a:xfrm>
        <a:prstGeom prst="rect">
          <a:avLst/>
        </a:prstGeom>
        <a:noFill/>
        <a:ln w="38100"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96</xdr:col>
      <xdr:colOff>456930</xdr:colOff>
      <xdr:row>39</xdr:row>
      <xdr:rowOff>16713</xdr:rowOff>
    </xdr:from>
    <xdr:to>
      <xdr:col>103</xdr:col>
      <xdr:colOff>531512</xdr:colOff>
      <xdr:row>54</xdr:row>
      <xdr:rowOff>64158</xdr:rowOff>
    </xdr:to>
    <xdr:graphicFrame macro="">
      <xdr:nvGraphicFramePr>
        <xdr:cNvPr id="66" name="Chart 3">
          <a:extLst>
            <a:ext uri="{FF2B5EF4-FFF2-40B4-BE49-F238E27FC236}">
              <a16:creationId xmlns:a16="http://schemas.microsoft.com/office/drawing/2014/main" id="{2DB6E6D8-F0AB-992C-C2A8-4507981CEF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104</xdr:col>
      <xdr:colOff>861294</xdr:colOff>
      <xdr:row>39</xdr:row>
      <xdr:rowOff>115558</xdr:rowOff>
    </xdr:from>
    <xdr:to>
      <xdr:col>111</xdr:col>
      <xdr:colOff>333824</xdr:colOff>
      <xdr:row>54</xdr:row>
      <xdr:rowOff>163003</xdr:rowOff>
    </xdr:to>
    <xdr:graphicFrame macro="">
      <xdr:nvGraphicFramePr>
        <xdr:cNvPr id="52" name="Chart 4">
          <a:extLst>
            <a:ext uri="{FF2B5EF4-FFF2-40B4-BE49-F238E27FC236}">
              <a16:creationId xmlns:a16="http://schemas.microsoft.com/office/drawing/2014/main" id="{23B9BAE4-D04B-DB77-F2DE-6D85626939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95</xdr:col>
      <xdr:colOff>474902</xdr:colOff>
      <xdr:row>67</xdr:row>
      <xdr:rowOff>142514</xdr:rowOff>
    </xdr:from>
    <xdr:to>
      <xdr:col>102</xdr:col>
      <xdr:colOff>549485</xdr:colOff>
      <xdr:row>83</xdr:row>
      <xdr:rowOff>10243</xdr:rowOff>
    </xdr:to>
    <xdr:graphicFrame macro="">
      <xdr:nvGraphicFramePr>
        <xdr:cNvPr id="84" name="Chart 5">
          <a:extLst>
            <a:ext uri="{FF2B5EF4-FFF2-40B4-BE49-F238E27FC236}">
              <a16:creationId xmlns:a16="http://schemas.microsoft.com/office/drawing/2014/main" id="{FDE06732-03AF-8E0B-6893-E4FFDE1C65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96</xdr:col>
      <xdr:colOff>344607</xdr:colOff>
      <xdr:row>89</xdr:row>
      <xdr:rowOff>169473</xdr:rowOff>
    </xdr:from>
    <xdr:to>
      <xdr:col>102</xdr:col>
      <xdr:colOff>536005</xdr:colOff>
      <xdr:row>105</xdr:row>
      <xdr:rowOff>37201</xdr:rowOff>
    </xdr:to>
    <xdr:graphicFrame macro="">
      <xdr:nvGraphicFramePr>
        <xdr:cNvPr id="105" name="Chart 6">
          <a:extLst>
            <a:ext uri="{FF2B5EF4-FFF2-40B4-BE49-F238E27FC236}">
              <a16:creationId xmlns:a16="http://schemas.microsoft.com/office/drawing/2014/main" id="{E2FA19A6-3871-95BD-B575-21CC5434B0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112</xdr:col>
      <xdr:colOff>86320</xdr:colOff>
      <xdr:row>26</xdr:row>
      <xdr:rowOff>64724</xdr:rowOff>
    </xdr:from>
    <xdr:to>
      <xdr:col>123</xdr:col>
      <xdr:colOff>399846</xdr:colOff>
      <xdr:row>41</xdr:row>
      <xdr:rowOff>132265</xdr:rowOff>
    </xdr:to>
    <xdr:graphicFrame macro="">
      <xdr:nvGraphicFramePr>
        <xdr:cNvPr id="38" name="Chart 7">
          <a:extLst>
            <a:ext uri="{FF2B5EF4-FFF2-40B4-BE49-F238E27FC236}">
              <a16:creationId xmlns:a16="http://schemas.microsoft.com/office/drawing/2014/main" id="{17B20361-1181-7B6B-72DD-8AC87B8F98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0.4368</cdr:x>
      <cdr:y>0.09823</cdr:y>
    </cdr:from>
    <cdr:to>
      <cdr:x>0.52484</cdr:x>
      <cdr:y>0.93733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5991F3E9-B798-3B5D-852A-D7D25B4CEA90}"/>
            </a:ext>
          </a:extLst>
        </cdr:cNvPr>
        <cdr:cNvSpPr/>
      </cdr:nvSpPr>
      <cdr:spPr>
        <a:xfrm xmlns:a="http://schemas.openxmlformats.org/drawingml/2006/main">
          <a:off x="5670550" y="672703"/>
          <a:ext cx="1143001" cy="57462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38100">
          <a:prstDash val="dash"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SG" sz="1100"/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#ZHAO XINGYAN#" id="{4101A3A3-201A-4A10-AD0B-0F0A207F4AFB}" userId="S::ZHAO0439@e.ntu.edu.sg::28f69b98-dae7-42b7-9cad-3fe385e4d51a" providerId="AD"/>
  <person displayName="#GABRIEL EMMANUEL THAMBIAH#" id="{923415DF-B23C-4889-B533-457B34FABACE}" userId="S::gabriel007@e.ntu.edu.sg::8853d987-484b-4729-936a-05306c4ad37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02" dT="2026-02-06T12:42:09.42" personId="{4101A3A3-201A-4A10-AD0B-0F0A207F4AFB}" id="{C9568996-9AE1-4EBD-915B-835382B88C8E}">
    <text>Japanese PPI</text>
  </threadedComment>
  <threadedComment ref="C121" dT="2026-02-06T06:36:31.13" personId="{923415DF-B23C-4889-B533-457B34FABACE}" id="{D3190F21-DE10-4569-BAB5-AD6F9970A41B}">
    <text>7.5 % is median of forecasted Nissin food price revision in Apr FY2027. Adjusted downwards for premiumisation adjustment</text>
  </threadedComment>
  <threadedComment ref="C123" dT="2026-02-06T06:43:45.62" personId="{923415DF-B23C-4889-B533-457B34FABACE}" id="{80AC4A47-1A66-4FDD-86E7-3EDA0E35C00F}">
    <text xml:space="preserve">Modelled after premium adjustment to Nissin Food Products. Slight downward adjustment to estimate a conservative figure 
</text>
  </threadedComment>
  <threadedComment ref="C124" dT="2026-02-06T06:44:32.51" personId="{923415DF-B23C-4889-B533-457B34FABACE}" id="{889A814A-A598-4522-AF71-17E6F16A15C2}">
    <text>Lower premium adjustment to China and Domestic due to lower spending power vs America. Modelled conservatively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46" dT="2026-02-06T15:37:39.24" personId="{4101A3A3-201A-4A10-AD0B-0F0A207F4AFB}" id="{FF7E6156-67C8-4D2B-A0D4-67B03D3C465A}">
    <text>Use historical since bottom up is negative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0202F-B940-48C6-B377-5DE4EF39DC28}">
  <dimension ref="B4:B7"/>
  <sheetViews>
    <sheetView showGridLines="0" workbookViewId="0"/>
  </sheetViews>
  <sheetFormatPr defaultRowHeight="14.65"/>
  <sheetData>
    <row r="4" spans="2:2" ht="32.1">
      <c r="B4" s="201" t="s">
        <v>0</v>
      </c>
    </row>
    <row r="5" spans="2:2" ht="32.1">
      <c r="B5" s="201" t="s">
        <v>1</v>
      </c>
    </row>
    <row r="6" spans="2:2" ht="32.1">
      <c r="B6" s="201"/>
    </row>
    <row r="7" spans="2:2" ht="26.1">
      <c r="B7" s="20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FBE7E-F164-4364-BB1C-FB7D3BCB385B}">
  <dimension ref="A2:FK195"/>
  <sheetViews>
    <sheetView showGridLines="0" zoomScale="55" zoomScaleNormal="55" workbookViewId="0">
      <selection activeCell="G211" sqref="G211"/>
    </sheetView>
  </sheetViews>
  <sheetFormatPr defaultRowHeight="14.65"/>
  <cols>
    <col min="2" max="2" width="33.28515625" customWidth="1"/>
    <col min="3" max="20" width="10.7109375" customWidth="1"/>
    <col min="21" max="30" width="10.7109375" bestFit="1" customWidth="1"/>
    <col min="31" max="35" width="10.7109375" customWidth="1"/>
  </cols>
  <sheetData>
    <row r="2" spans="1:167" ht="15" thickBot="1">
      <c r="A2" s="2"/>
      <c r="B2" s="2" t="s">
        <v>3</v>
      </c>
      <c r="C2" s="2"/>
      <c r="D2" s="2"/>
      <c r="E2" s="2"/>
      <c r="F2" s="20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167" ht="15" thickTop="1">
      <c r="B3" s="1" t="s">
        <v>4</v>
      </c>
      <c r="F3" s="9"/>
    </row>
    <row r="4" spans="1:167">
      <c r="B4" s="1"/>
      <c r="F4" s="9"/>
      <c r="G4" s="7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spans="1:167">
      <c r="B5" s="1"/>
      <c r="F5" s="9"/>
      <c r="G5" s="7" t="s">
        <v>5</v>
      </c>
      <c r="H5" s="8">
        <v>44105</v>
      </c>
      <c r="I5" s="8">
        <f>H6+1</f>
        <v>44197</v>
      </c>
      <c r="J5" s="8">
        <f>I6+1</f>
        <v>44287</v>
      </c>
      <c r="K5" s="8">
        <f t="shared" ref="K5:AB5" si="0">J6+1</f>
        <v>44378</v>
      </c>
      <c r="L5" s="8">
        <f t="shared" si="0"/>
        <v>44470</v>
      </c>
      <c r="M5" s="8">
        <f t="shared" si="0"/>
        <v>44562</v>
      </c>
      <c r="N5" s="8">
        <f t="shared" si="0"/>
        <v>44652</v>
      </c>
      <c r="O5" s="8">
        <f t="shared" si="0"/>
        <v>44743</v>
      </c>
      <c r="P5" s="8">
        <f t="shared" si="0"/>
        <v>44835</v>
      </c>
      <c r="Q5" s="8">
        <f t="shared" si="0"/>
        <v>44927</v>
      </c>
      <c r="R5" s="8">
        <f t="shared" si="0"/>
        <v>45017</v>
      </c>
      <c r="S5" s="8">
        <f t="shared" si="0"/>
        <v>45108</v>
      </c>
      <c r="T5" s="8">
        <f t="shared" si="0"/>
        <v>45200</v>
      </c>
      <c r="U5" s="8">
        <f t="shared" si="0"/>
        <v>45292</v>
      </c>
      <c r="V5" s="8">
        <f t="shared" si="0"/>
        <v>45383</v>
      </c>
      <c r="W5" s="8">
        <f t="shared" si="0"/>
        <v>45474</v>
      </c>
      <c r="X5" s="8">
        <f t="shared" si="0"/>
        <v>45566</v>
      </c>
      <c r="Y5" s="8">
        <f t="shared" si="0"/>
        <v>45658</v>
      </c>
      <c r="Z5" s="8">
        <f t="shared" si="0"/>
        <v>45748</v>
      </c>
      <c r="AA5" s="8">
        <f t="shared" si="0"/>
        <v>45839</v>
      </c>
      <c r="AB5" s="8">
        <f t="shared" si="0"/>
        <v>45931</v>
      </c>
      <c r="AC5" s="8"/>
      <c r="AD5" s="8"/>
      <c r="AE5" s="8"/>
    </row>
    <row r="6" spans="1:167">
      <c r="B6" s="1"/>
      <c r="F6" s="9"/>
      <c r="G6" s="7" t="s">
        <v>6</v>
      </c>
      <c r="H6" s="8">
        <f>EOMONTH(H5,2)</f>
        <v>44196</v>
      </c>
      <c r="I6" s="8">
        <f>EOMONTH(I5,2)</f>
        <v>44286</v>
      </c>
      <c r="J6" s="8">
        <f>EOMONTH(J5,2)</f>
        <v>44377</v>
      </c>
      <c r="K6" s="8">
        <f t="shared" ref="K6:AB6" si="1">EOMONTH(K5,2)</f>
        <v>44469</v>
      </c>
      <c r="L6" s="8">
        <f t="shared" si="1"/>
        <v>44561</v>
      </c>
      <c r="M6" s="8">
        <f t="shared" si="1"/>
        <v>44651</v>
      </c>
      <c r="N6" s="8">
        <f t="shared" si="1"/>
        <v>44742</v>
      </c>
      <c r="O6" s="8">
        <f t="shared" si="1"/>
        <v>44834</v>
      </c>
      <c r="P6" s="8">
        <f t="shared" si="1"/>
        <v>44926</v>
      </c>
      <c r="Q6" s="8">
        <f t="shared" si="1"/>
        <v>45016</v>
      </c>
      <c r="R6" s="8">
        <f t="shared" si="1"/>
        <v>45107</v>
      </c>
      <c r="S6" s="8">
        <f t="shared" si="1"/>
        <v>45199</v>
      </c>
      <c r="T6" s="8">
        <f t="shared" si="1"/>
        <v>45291</v>
      </c>
      <c r="U6" s="8">
        <f t="shared" si="1"/>
        <v>45382</v>
      </c>
      <c r="V6" s="8">
        <f t="shared" si="1"/>
        <v>45473</v>
      </c>
      <c r="W6" s="8">
        <f t="shared" si="1"/>
        <v>45565</v>
      </c>
      <c r="X6" s="8">
        <f t="shared" si="1"/>
        <v>45657</v>
      </c>
      <c r="Y6" s="8">
        <f t="shared" si="1"/>
        <v>45747</v>
      </c>
      <c r="Z6" s="8">
        <f t="shared" si="1"/>
        <v>45838</v>
      </c>
      <c r="AA6" s="8">
        <f t="shared" si="1"/>
        <v>45930</v>
      </c>
      <c r="AB6" s="8">
        <f t="shared" si="1"/>
        <v>46022</v>
      </c>
      <c r="AC6" s="8"/>
      <c r="AD6" s="8"/>
      <c r="AE6" s="8"/>
    </row>
    <row r="7" spans="1:167">
      <c r="B7" s="1"/>
      <c r="F7" s="9"/>
      <c r="G7" s="7" t="s">
        <v>7</v>
      </c>
      <c r="H7" s="9">
        <f>IF(MONTH(H6)&gt;3,YEAR(H6)+1,YEAR(H6))</f>
        <v>2021</v>
      </c>
      <c r="I7" s="9">
        <f t="shared" ref="I7:AB7" si="2">IF(MONTH(I6)&gt;3,YEAR(I6)+1,YEAR(I6))</f>
        <v>2021</v>
      </c>
      <c r="J7" s="9">
        <f t="shared" si="2"/>
        <v>2022</v>
      </c>
      <c r="K7" s="9">
        <f t="shared" si="2"/>
        <v>2022</v>
      </c>
      <c r="L7" s="9">
        <f t="shared" si="2"/>
        <v>2022</v>
      </c>
      <c r="M7" s="9">
        <f t="shared" si="2"/>
        <v>2022</v>
      </c>
      <c r="N7" s="9">
        <f t="shared" si="2"/>
        <v>2023</v>
      </c>
      <c r="O7" s="9">
        <f t="shared" si="2"/>
        <v>2023</v>
      </c>
      <c r="P7" s="9">
        <f t="shared" si="2"/>
        <v>2023</v>
      </c>
      <c r="Q7" s="9">
        <f t="shared" si="2"/>
        <v>2023</v>
      </c>
      <c r="R7" s="9">
        <f t="shared" si="2"/>
        <v>2024</v>
      </c>
      <c r="S7" s="9">
        <f t="shared" si="2"/>
        <v>2024</v>
      </c>
      <c r="T7" s="9">
        <f t="shared" si="2"/>
        <v>2024</v>
      </c>
      <c r="U7" s="9">
        <f t="shared" si="2"/>
        <v>2024</v>
      </c>
      <c r="V7" s="9">
        <f t="shared" si="2"/>
        <v>2025</v>
      </c>
      <c r="W7" s="9">
        <f t="shared" si="2"/>
        <v>2025</v>
      </c>
      <c r="X7" s="9">
        <f t="shared" si="2"/>
        <v>2025</v>
      </c>
      <c r="Y7" s="9">
        <f t="shared" si="2"/>
        <v>2025</v>
      </c>
      <c r="Z7" s="9">
        <f t="shared" si="2"/>
        <v>2026</v>
      </c>
      <c r="AA7" s="9">
        <f t="shared" si="2"/>
        <v>2026</v>
      </c>
      <c r="AB7" s="9">
        <f t="shared" si="2"/>
        <v>2026</v>
      </c>
    </row>
    <row r="8" spans="1:167">
      <c r="B8" s="1" t="s">
        <v>8</v>
      </c>
      <c r="E8" s="19"/>
      <c r="G8" s="7" t="s">
        <v>9</v>
      </c>
      <c r="H8" s="9" t="str">
        <f>IF(MONTH(H5)=4,"Q1",IF(MONTH(H5)=7,"Q2",IF(MONTH(H5)=10,"Q3","Q4")))</f>
        <v>Q3</v>
      </c>
      <c r="I8" s="9" t="str">
        <f t="shared" ref="I8:AB8" si="3">IF(MONTH(I5)=4,"Q1",IF(MONTH(I5)=7,"Q2",IF(MONTH(I5)=10,"Q3","Q4")))</f>
        <v>Q4</v>
      </c>
      <c r="J8" s="9" t="str">
        <f t="shared" si="3"/>
        <v>Q1</v>
      </c>
      <c r="K8" s="9" t="str">
        <f t="shared" si="3"/>
        <v>Q2</v>
      </c>
      <c r="L8" s="9" t="str">
        <f t="shared" si="3"/>
        <v>Q3</v>
      </c>
      <c r="M8" s="9" t="str">
        <f t="shared" si="3"/>
        <v>Q4</v>
      </c>
      <c r="N8" s="9" t="str">
        <f t="shared" si="3"/>
        <v>Q1</v>
      </c>
      <c r="O8" s="9" t="str">
        <f t="shared" si="3"/>
        <v>Q2</v>
      </c>
      <c r="P8" s="9" t="str">
        <f t="shared" si="3"/>
        <v>Q3</v>
      </c>
      <c r="Q8" s="9" t="str">
        <f t="shared" si="3"/>
        <v>Q4</v>
      </c>
      <c r="R8" s="9" t="str">
        <f t="shared" si="3"/>
        <v>Q1</v>
      </c>
      <c r="S8" s="9" t="str">
        <f t="shared" si="3"/>
        <v>Q2</v>
      </c>
      <c r="T8" s="9" t="str">
        <f t="shared" si="3"/>
        <v>Q3</v>
      </c>
      <c r="U8" s="9" t="str">
        <f t="shared" si="3"/>
        <v>Q4</v>
      </c>
      <c r="V8" s="9" t="str">
        <f t="shared" si="3"/>
        <v>Q1</v>
      </c>
      <c r="W8" s="9" t="str">
        <f t="shared" si="3"/>
        <v>Q2</v>
      </c>
      <c r="X8" s="9" t="str">
        <f t="shared" si="3"/>
        <v>Q3</v>
      </c>
      <c r="Y8" s="9" t="str">
        <f t="shared" si="3"/>
        <v>Q4</v>
      </c>
      <c r="Z8" s="9" t="str">
        <f t="shared" si="3"/>
        <v>Q1</v>
      </c>
      <c r="AA8" s="9" t="str">
        <f t="shared" si="3"/>
        <v>Q2</v>
      </c>
      <c r="AB8" s="9" t="str">
        <f t="shared" si="3"/>
        <v>Q3</v>
      </c>
      <c r="AC8" s="9"/>
    </row>
    <row r="9" spans="1:167">
      <c r="F9" s="9"/>
      <c r="G9" s="7" t="s">
        <v>10</v>
      </c>
      <c r="H9" s="10">
        <f>_xlfn.DAYS(H6,H5)+1</f>
        <v>92</v>
      </c>
      <c r="I9" s="10">
        <f t="shared" ref="I9:AB9" si="4">_xlfn.DAYS(I6,I5)+1</f>
        <v>90</v>
      </c>
      <c r="J9" s="10">
        <f t="shared" si="4"/>
        <v>91</v>
      </c>
      <c r="K9" s="10">
        <f t="shared" si="4"/>
        <v>92</v>
      </c>
      <c r="L9" s="10">
        <f t="shared" si="4"/>
        <v>92</v>
      </c>
      <c r="M9" s="10">
        <f t="shared" si="4"/>
        <v>90</v>
      </c>
      <c r="N9" s="10">
        <f t="shared" si="4"/>
        <v>91</v>
      </c>
      <c r="O9" s="10">
        <f t="shared" si="4"/>
        <v>92</v>
      </c>
      <c r="P9" s="10">
        <f t="shared" si="4"/>
        <v>92</v>
      </c>
      <c r="Q9" s="10">
        <f t="shared" si="4"/>
        <v>90</v>
      </c>
      <c r="R9" s="10">
        <f t="shared" si="4"/>
        <v>91</v>
      </c>
      <c r="S9" s="10">
        <f t="shared" si="4"/>
        <v>92</v>
      </c>
      <c r="T9" s="10">
        <f t="shared" si="4"/>
        <v>92</v>
      </c>
      <c r="U9" s="10">
        <f t="shared" si="4"/>
        <v>91</v>
      </c>
      <c r="V9" s="10">
        <f t="shared" si="4"/>
        <v>91</v>
      </c>
      <c r="W9" s="10">
        <f t="shared" si="4"/>
        <v>92</v>
      </c>
      <c r="X9" s="10">
        <f t="shared" si="4"/>
        <v>92</v>
      </c>
      <c r="Y9" s="10">
        <f t="shared" si="4"/>
        <v>90</v>
      </c>
      <c r="Z9" s="10">
        <f t="shared" si="4"/>
        <v>91</v>
      </c>
      <c r="AA9" s="10">
        <f t="shared" si="4"/>
        <v>92</v>
      </c>
      <c r="AB9" s="10">
        <f t="shared" si="4"/>
        <v>92</v>
      </c>
      <c r="AC9" s="10"/>
    </row>
    <row r="10" spans="1:167">
      <c r="A10" s="4" t="s">
        <v>11</v>
      </c>
      <c r="B10" s="3" t="s">
        <v>12</v>
      </c>
      <c r="C10" s="3"/>
      <c r="D10" s="3"/>
      <c r="E10" s="3"/>
      <c r="F10" s="21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</row>
    <row r="12" spans="1:167">
      <c r="B12" t="s">
        <v>13</v>
      </c>
      <c r="E12" s="19" t="s">
        <v>14</v>
      </c>
      <c r="F12" s="9"/>
    </row>
    <row r="13" spans="1:167">
      <c r="B13" s="5" t="s">
        <v>15</v>
      </c>
      <c r="F13" s="9"/>
      <c r="H13" s="14">
        <f t="shared" ref="H13" si="5">SUM(H14:H17)</f>
        <v>96613</v>
      </c>
      <c r="I13" s="14">
        <f>SUM(I14:I17)</f>
        <v>90658</v>
      </c>
      <c r="J13" s="14">
        <f>SUM(J14:J17)</f>
        <v>88456</v>
      </c>
      <c r="K13" s="14">
        <f t="shared" ref="K13:AB13" si="6">SUM(K14:K17)</f>
        <v>97060</v>
      </c>
      <c r="L13" s="14">
        <f t="shared" si="6"/>
        <v>104735</v>
      </c>
      <c r="M13" s="14">
        <f t="shared" si="6"/>
        <v>101254</v>
      </c>
      <c r="N13" s="14">
        <f t="shared" si="6"/>
        <v>102667</v>
      </c>
      <c r="O13" s="14">
        <f t="shared" si="6"/>
        <v>118232</v>
      </c>
      <c r="P13" s="14">
        <f t="shared" si="6"/>
        <v>130949</v>
      </c>
      <c r="Q13" s="14">
        <f t="shared" si="6"/>
        <v>115877</v>
      </c>
      <c r="R13" s="14">
        <f t="shared" si="6"/>
        <v>110703</v>
      </c>
      <c r="S13" s="14">
        <f t="shared" si="6"/>
        <v>127095</v>
      </c>
      <c r="T13" s="14">
        <f t="shared" si="6"/>
        <v>139264</v>
      </c>
      <c r="U13" s="14">
        <f t="shared" si="6"/>
        <v>125392</v>
      </c>
      <c r="V13" s="14">
        <f t="shared" si="6"/>
        <v>122553</v>
      </c>
      <c r="W13" s="14">
        <f t="shared" si="6"/>
        <v>130741</v>
      </c>
      <c r="X13" s="14">
        <f t="shared" si="6"/>
        <v>140092</v>
      </c>
      <c r="Y13" s="14">
        <f t="shared" si="6"/>
        <v>132805</v>
      </c>
      <c r="Z13" s="14">
        <f t="shared" si="6"/>
        <v>114644</v>
      </c>
      <c r="AA13" s="14">
        <f t="shared" si="6"/>
        <v>131840</v>
      </c>
      <c r="AB13" s="14">
        <f t="shared" si="6"/>
        <v>145992</v>
      </c>
      <c r="AC13" s="14"/>
      <c r="AN13" t="s">
        <v>16</v>
      </c>
    </row>
    <row r="14" spans="1:167">
      <c r="B14" s="6" t="s">
        <v>17</v>
      </c>
      <c r="E14" s="136">
        <f>AB14/$AB$24</f>
        <v>0.3311253621354035</v>
      </c>
      <c r="F14" s="9"/>
      <c r="H14" s="14">
        <v>57884</v>
      </c>
      <c r="I14" s="14">
        <v>50707</v>
      </c>
      <c r="J14" s="14">
        <v>46577</v>
      </c>
      <c r="K14" s="14">
        <v>51948</v>
      </c>
      <c r="L14" s="14">
        <v>59620</v>
      </c>
      <c r="M14" s="14">
        <v>52637</v>
      </c>
      <c r="N14" s="14">
        <v>47791</v>
      </c>
      <c r="O14" s="14">
        <v>54071</v>
      </c>
      <c r="P14" s="14">
        <v>65104</v>
      </c>
      <c r="Q14" s="14">
        <v>53237</v>
      </c>
      <c r="R14" s="14">
        <v>51448</v>
      </c>
      <c r="S14" s="14">
        <v>56355</v>
      </c>
      <c r="T14" s="14">
        <v>69302</v>
      </c>
      <c r="U14" s="14">
        <v>55116</v>
      </c>
      <c r="V14" s="14">
        <v>53363</v>
      </c>
      <c r="W14" s="14">
        <v>57768</v>
      </c>
      <c r="X14" s="14">
        <v>69008</v>
      </c>
      <c r="Y14" s="14">
        <v>58642</v>
      </c>
      <c r="Z14" s="14">
        <v>52940</v>
      </c>
      <c r="AA14" s="14">
        <v>60064</v>
      </c>
      <c r="AB14" s="14">
        <v>70635</v>
      </c>
      <c r="AC14" s="14"/>
    </row>
    <row r="15" spans="1:167">
      <c r="B15" s="6" t="s">
        <v>18</v>
      </c>
      <c r="E15" s="136">
        <f t="shared" ref="E15:E23" si="7">AB15/$AB$24</f>
        <v>6.1354409848207843E-2</v>
      </c>
      <c r="F15" s="9"/>
      <c r="H15" s="14">
        <v>9912</v>
      </c>
      <c r="I15" s="14">
        <v>9516</v>
      </c>
      <c r="J15" s="14">
        <v>9411</v>
      </c>
      <c r="K15" s="14">
        <v>9283</v>
      </c>
      <c r="L15" s="14">
        <v>9562</v>
      </c>
      <c r="M15" s="14">
        <v>9663</v>
      </c>
      <c r="N15" s="14">
        <v>9257</v>
      </c>
      <c r="O15" s="14">
        <v>10014</v>
      </c>
      <c r="P15" s="14">
        <v>10737</v>
      </c>
      <c r="Q15" s="14">
        <v>10502</v>
      </c>
      <c r="R15" s="14">
        <v>9963</v>
      </c>
      <c r="S15" s="14">
        <v>10388</v>
      </c>
      <c r="T15" s="14">
        <v>11582</v>
      </c>
      <c r="U15" s="14">
        <v>11516</v>
      </c>
      <c r="V15" s="14">
        <v>10751</v>
      </c>
      <c r="W15" s="14">
        <v>11498</v>
      </c>
      <c r="X15" s="14">
        <v>11862</v>
      </c>
      <c r="Y15" s="14">
        <v>11263</v>
      </c>
      <c r="Z15" s="14">
        <v>11635</v>
      </c>
      <c r="AA15" s="14">
        <v>11543</v>
      </c>
      <c r="AB15" s="14">
        <v>13088</v>
      </c>
      <c r="AC15" s="14"/>
    </row>
    <row r="16" spans="1:167">
      <c r="B16" s="6" t="s">
        <v>19</v>
      </c>
      <c r="E16" s="136">
        <f t="shared" si="7"/>
        <v>0.20909627879503839</v>
      </c>
      <c r="F16" s="9"/>
      <c r="H16" s="14">
        <v>17767</v>
      </c>
      <c r="I16" s="14">
        <v>17590</v>
      </c>
      <c r="J16" s="14">
        <v>20221</v>
      </c>
      <c r="K16" s="14">
        <v>22196</v>
      </c>
      <c r="L16" s="14">
        <v>21412</v>
      </c>
      <c r="M16" s="14">
        <v>23497</v>
      </c>
      <c r="N16" s="14">
        <v>29899</v>
      </c>
      <c r="O16" s="14">
        <v>36119</v>
      </c>
      <c r="P16" s="14">
        <v>38719</v>
      </c>
      <c r="Q16" s="14">
        <v>35304</v>
      </c>
      <c r="R16" s="14">
        <v>34433</v>
      </c>
      <c r="S16" s="14">
        <v>42276</v>
      </c>
      <c r="T16" s="14">
        <v>42470</v>
      </c>
      <c r="U16" s="14">
        <v>41154</v>
      </c>
      <c r="V16" s="14">
        <v>41981</v>
      </c>
      <c r="W16" s="14">
        <v>42476</v>
      </c>
      <c r="X16" s="14">
        <v>41151</v>
      </c>
      <c r="Y16" s="14">
        <v>42955</v>
      </c>
      <c r="Z16" s="14">
        <v>33380</v>
      </c>
      <c r="AA16" s="14">
        <v>41043</v>
      </c>
      <c r="AB16" s="14">
        <v>44604</v>
      </c>
      <c r="AC16" s="14"/>
    </row>
    <row r="17" spans="2:29">
      <c r="B17" s="6" t="s">
        <v>20</v>
      </c>
      <c r="E17" s="136">
        <f t="shared" si="7"/>
        <v>8.2810639514715123E-2</v>
      </c>
      <c r="F17" s="9"/>
      <c r="H17" s="14">
        <v>11050</v>
      </c>
      <c r="I17" s="14">
        <v>12845</v>
      </c>
      <c r="J17" s="14">
        <v>12247</v>
      </c>
      <c r="K17" s="14">
        <v>13633</v>
      </c>
      <c r="L17" s="14">
        <v>14141</v>
      </c>
      <c r="M17" s="14">
        <v>15457</v>
      </c>
      <c r="N17" s="14">
        <v>15720</v>
      </c>
      <c r="O17" s="14">
        <v>18028</v>
      </c>
      <c r="P17" s="14">
        <v>16389</v>
      </c>
      <c r="Q17" s="14">
        <v>16834</v>
      </c>
      <c r="R17" s="14">
        <v>14859</v>
      </c>
      <c r="S17" s="14">
        <v>18076</v>
      </c>
      <c r="T17" s="14">
        <v>15910</v>
      </c>
      <c r="U17" s="14">
        <v>17606</v>
      </c>
      <c r="V17" s="14">
        <v>16458</v>
      </c>
      <c r="W17" s="14">
        <v>18999</v>
      </c>
      <c r="X17" s="14">
        <v>18071</v>
      </c>
      <c r="Y17" s="14">
        <v>19945</v>
      </c>
      <c r="Z17" s="14">
        <v>16689</v>
      </c>
      <c r="AA17" s="14">
        <v>19190</v>
      </c>
      <c r="AB17" s="14">
        <v>17665</v>
      </c>
      <c r="AC17" s="14"/>
    </row>
    <row r="18" spans="2:29">
      <c r="B18" s="5" t="s">
        <v>21</v>
      </c>
      <c r="E18" s="136">
        <f t="shared" si="7"/>
        <v>0.12651534329029898</v>
      </c>
      <c r="F18" s="9"/>
      <c r="H18" s="14">
        <v>19265</v>
      </c>
      <c r="I18" s="14">
        <v>19107</v>
      </c>
      <c r="J18" s="14">
        <v>20216</v>
      </c>
      <c r="K18" s="14">
        <v>20773</v>
      </c>
      <c r="L18" s="14">
        <v>20232</v>
      </c>
      <c r="M18" s="14">
        <v>19645</v>
      </c>
      <c r="N18" s="14">
        <v>20354</v>
      </c>
      <c r="O18" s="14">
        <v>21235</v>
      </c>
      <c r="P18" s="14">
        <v>22939</v>
      </c>
      <c r="Q18" s="14">
        <v>22309</v>
      </c>
      <c r="R18" s="14">
        <v>23213</v>
      </c>
      <c r="S18" s="14">
        <v>23559</v>
      </c>
      <c r="T18" s="14">
        <v>24769</v>
      </c>
      <c r="U18" s="14">
        <v>23679</v>
      </c>
      <c r="V18" s="14">
        <v>25462</v>
      </c>
      <c r="W18" s="14">
        <v>25474</v>
      </c>
      <c r="X18" s="14">
        <v>25828</v>
      </c>
      <c r="Y18" s="14">
        <v>24584</v>
      </c>
      <c r="Z18" s="14">
        <v>26154</v>
      </c>
      <c r="AA18" s="14">
        <v>26096</v>
      </c>
      <c r="AB18" s="14">
        <v>26988</v>
      </c>
      <c r="AC18" s="14"/>
    </row>
    <row r="19" spans="2:29">
      <c r="B19" s="5" t="s">
        <v>22</v>
      </c>
      <c r="E19" s="136">
        <f t="shared" si="7"/>
        <v>0.11684902352356576</v>
      </c>
      <c r="F19" s="9"/>
      <c r="H19" s="14">
        <v>10433</v>
      </c>
      <c r="I19" s="14">
        <v>15931</v>
      </c>
      <c r="J19" s="14">
        <v>17063</v>
      </c>
      <c r="K19" s="14">
        <v>17740</v>
      </c>
      <c r="L19" s="14">
        <v>17222</v>
      </c>
      <c r="M19" s="14">
        <v>17006</v>
      </c>
      <c r="N19" s="14">
        <v>17561</v>
      </c>
      <c r="O19" s="14">
        <v>17647</v>
      </c>
      <c r="P19" s="14">
        <v>19754</v>
      </c>
      <c r="Q19" s="14">
        <v>19093</v>
      </c>
      <c r="R19" s="14">
        <v>20750</v>
      </c>
      <c r="S19" s="14">
        <v>20129</v>
      </c>
      <c r="T19" s="14">
        <v>22377</v>
      </c>
      <c r="U19" s="14">
        <v>21893</v>
      </c>
      <c r="V19" s="14">
        <v>23072</v>
      </c>
      <c r="W19" s="14">
        <v>22388</v>
      </c>
      <c r="X19" s="14">
        <v>24325</v>
      </c>
      <c r="Y19" s="14">
        <v>22658</v>
      </c>
      <c r="Z19" s="14">
        <v>23743</v>
      </c>
      <c r="AA19" s="14">
        <v>23460</v>
      </c>
      <c r="AB19" s="14">
        <v>24926</v>
      </c>
      <c r="AC19" s="14"/>
    </row>
    <row r="20" spans="2:29">
      <c r="B20" s="5" t="s">
        <v>23</v>
      </c>
      <c r="E20" s="136"/>
      <c r="F20" s="9"/>
      <c r="H20" s="14">
        <v>6412</v>
      </c>
      <c r="I20" s="14">
        <v>6552</v>
      </c>
      <c r="J20" s="14">
        <f>SUM(J21:J23)</f>
        <v>6719</v>
      </c>
      <c r="K20" s="14">
        <f>SUM(K21:K23)</f>
        <v>7003</v>
      </c>
      <c r="L20" s="14">
        <f t="shared" ref="L20:AA20" si="8">SUM(L21:L23)</f>
        <v>7565</v>
      </c>
      <c r="M20" s="14">
        <f t="shared" si="8"/>
        <v>7023</v>
      </c>
      <c r="N20" s="14">
        <f t="shared" si="8"/>
        <v>8677</v>
      </c>
      <c r="O20" s="14">
        <f t="shared" si="8"/>
        <v>10573</v>
      </c>
      <c r="P20" s="14">
        <f t="shared" si="8"/>
        <v>10867</v>
      </c>
      <c r="Q20" s="14">
        <f t="shared" si="8"/>
        <v>10500</v>
      </c>
      <c r="R20" s="14">
        <f t="shared" si="8"/>
        <v>11799</v>
      </c>
      <c r="S20" s="14">
        <f t="shared" si="8"/>
        <v>13113</v>
      </c>
      <c r="T20" s="14">
        <f t="shared" si="8"/>
        <v>12138</v>
      </c>
      <c r="U20" s="14">
        <f t="shared" si="8"/>
        <v>13047</v>
      </c>
      <c r="V20" s="14">
        <f t="shared" si="8"/>
        <v>13946</v>
      </c>
      <c r="W20" s="14">
        <f t="shared" si="8"/>
        <v>14446</v>
      </c>
      <c r="X20" s="14">
        <f t="shared" si="8"/>
        <v>13938</v>
      </c>
      <c r="Y20" s="14">
        <f t="shared" si="8"/>
        <v>14269</v>
      </c>
      <c r="Z20" s="14">
        <f t="shared" si="8"/>
        <v>12486</v>
      </c>
      <c r="AA20" s="14">
        <f t="shared" si="8"/>
        <v>14811</v>
      </c>
      <c r="AB20" s="14">
        <f>SUM(AB21:AB23)</f>
        <v>15412</v>
      </c>
      <c r="AC20" s="14"/>
    </row>
    <row r="21" spans="2:29">
      <c r="B21" s="6" t="s">
        <v>24</v>
      </c>
      <c r="E21" s="136">
        <f t="shared" si="7"/>
        <v>1.0922660066192257E-2</v>
      </c>
      <c r="F21" s="9"/>
      <c r="H21" s="15"/>
      <c r="I21" s="15"/>
      <c r="J21" s="14">
        <v>498</v>
      </c>
      <c r="K21" s="14">
        <v>564</v>
      </c>
      <c r="L21" s="14">
        <v>589</v>
      </c>
      <c r="M21" s="14">
        <v>520</v>
      </c>
      <c r="N21" s="14">
        <v>701</v>
      </c>
      <c r="O21" s="14">
        <v>1526</v>
      </c>
      <c r="P21" s="14">
        <v>1169</v>
      </c>
      <c r="Q21" s="14">
        <v>1282</v>
      </c>
      <c r="R21" s="14">
        <v>1442</v>
      </c>
      <c r="S21" s="14">
        <v>1678</v>
      </c>
      <c r="T21" s="14">
        <v>1393</v>
      </c>
      <c r="U21" s="14">
        <v>1569</v>
      </c>
      <c r="V21" s="14">
        <v>1761</v>
      </c>
      <c r="W21" s="14">
        <v>2100</v>
      </c>
      <c r="X21" s="14">
        <v>1721</v>
      </c>
      <c r="Y21" s="14">
        <v>2210</v>
      </c>
      <c r="Z21" s="14">
        <v>1907</v>
      </c>
      <c r="AA21" s="14">
        <v>2383</v>
      </c>
      <c r="AB21" s="14">
        <v>2330</v>
      </c>
      <c r="AC21" s="14"/>
    </row>
    <row r="22" spans="2:29">
      <c r="B22" s="6" t="s">
        <v>25</v>
      </c>
      <c r="E22" s="136">
        <f t="shared" si="7"/>
        <v>2.7897317619703915E-2</v>
      </c>
      <c r="F22" s="9"/>
      <c r="H22" s="15"/>
      <c r="I22" s="15"/>
      <c r="J22" s="14">
        <v>3391</v>
      </c>
      <c r="K22" s="14">
        <v>3879</v>
      </c>
      <c r="L22" s="14">
        <v>3905</v>
      </c>
      <c r="M22" s="14">
        <v>3602</v>
      </c>
      <c r="N22" s="14">
        <v>4557</v>
      </c>
      <c r="O22" s="14">
        <v>4867</v>
      </c>
      <c r="P22" s="14">
        <v>4966</v>
      </c>
      <c r="Q22" s="14">
        <v>4205</v>
      </c>
      <c r="R22" s="14">
        <v>5201</v>
      </c>
      <c r="S22" s="14">
        <v>5244</v>
      </c>
      <c r="T22" s="14">
        <v>5196</v>
      </c>
      <c r="U22" s="14">
        <v>5081</v>
      </c>
      <c r="V22" s="14">
        <v>6005</v>
      </c>
      <c r="W22" s="14">
        <v>5891</v>
      </c>
      <c r="X22" s="14">
        <v>5682</v>
      </c>
      <c r="Y22" s="14">
        <v>5691</v>
      </c>
      <c r="Z22" s="14">
        <v>5064</v>
      </c>
      <c r="AA22" s="14">
        <v>5656</v>
      </c>
      <c r="AB22" s="14">
        <v>5951</v>
      </c>
      <c r="AC22" s="14"/>
    </row>
    <row r="23" spans="2:29">
      <c r="B23" s="6" t="s">
        <v>26</v>
      </c>
      <c r="E23" s="136">
        <f t="shared" si="7"/>
        <v>3.3428965206874245E-2</v>
      </c>
      <c r="F23" s="9"/>
      <c r="H23" s="15"/>
      <c r="I23" s="15"/>
      <c r="J23" s="14">
        <v>2830</v>
      </c>
      <c r="K23" s="14">
        <v>2560</v>
      </c>
      <c r="L23" s="14">
        <v>3071</v>
      </c>
      <c r="M23" s="14">
        <v>2901</v>
      </c>
      <c r="N23" s="14">
        <v>3419</v>
      </c>
      <c r="O23" s="14">
        <v>4180</v>
      </c>
      <c r="P23" s="14">
        <v>4732</v>
      </c>
      <c r="Q23" s="14">
        <v>5013</v>
      </c>
      <c r="R23" s="14">
        <v>5156</v>
      </c>
      <c r="S23" s="14">
        <v>6191</v>
      </c>
      <c r="T23" s="14">
        <v>5549</v>
      </c>
      <c r="U23" s="14">
        <v>6397</v>
      </c>
      <c r="V23" s="14">
        <v>6180</v>
      </c>
      <c r="W23" s="14">
        <v>6455</v>
      </c>
      <c r="X23" s="14">
        <v>6535</v>
      </c>
      <c r="Y23" s="14">
        <v>6368</v>
      </c>
      <c r="Z23" s="14">
        <v>5515</v>
      </c>
      <c r="AA23" s="14">
        <v>6772</v>
      </c>
      <c r="AB23" s="14">
        <v>7131</v>
      </c>
      <c r="AC23" s="14"/>
    </row>
    <row r="24" spans="2:29">
      <c r="B24" s="12" t="s">
        <v>27</v>
      </c>
      <c r="C24" s="12"/>
      <c r="D24" s="12"/>
      <c r="E24" s="12"/>
      <c r="F24" s="22"/>
      <c r="G24" s="12"/>
      <c r="H24" s="13">
        <f t="shared" ref="H24:AB24" si="9">SUM(H13,H18:H20)</f>
        <v>132723</v>
      </c>
      <c r="I24" s="13">
        <f t="shared" si="9"/>
        <v>132248</v>
      </c>
      <c r="J24" s="13">
        <f t="shared" si="9"/>
        <v>132454</v>
      </c>
      <c r="K24" s="13">
        <f t="shared" si="9"/>
        <v>142576</v>
      </c>
      <c r="L24" s="13">
        <f t="shared" si="9"/>
        <v>149754</v>
      </c>
      <c r="M24" s="13">
        <f t="shared" si="9"/>
        <v>144928</v>
      </c>
      <c r="N24" s="13">
        <f t="shared" si="9"/>
        <v>149259</v>
      </c>
      <c r="O24" s="13">
        <f t="shared" si="9"/>
        <v>167687</v>
      </c>
      <c r="P24" s="13">
        <f t="shared" si="9"/>
        <v>184509</v>
      </c>
      <c r="Q24" s="13">
        <f t="shared" si="9"/>
        <v>167779</v>
      </c>
      <c r="R24" s="13">
        <f t="shared" si="9"/>
        <v>166465</v>
      </c>
      <c r="S24" s="13">
        <f t="shared" si="9"/>
        <v>183896</v>
      </c>
      <c r="T24" s="13">
        <f t="shared" si="9"/>
        <v>198548</v>
      </c>
      <c r="U24" s="13">
        <f t="shared" si="9"/>
        <v>184011</v>
      </c>
      <c r="V24" s="13">
        <f t="shared" si="9"/>
        <v>185033</v>
      </c>
      <c r="W24" s="13">
        <f t="shared" si="9"/>
        <v>193049</v>
      </c>
      <c r="X24" s="13">
        <f t="shared" si="9"/>
        <v>204183</v>
      </c>
      <c r="Y24" s="13">
        <f t="shared" si="9"/>
        <v>194316</v>
      </c>
      <c r="Z24" s="13">
        <f t="shared" si="9"/>
        <v>177027</v>
      </c>
      <c r="AA24" s="13">
        <f t="shared" si="9"/>
        <v>196207</v>
      </c>
      <c r="AB24" s="13">
        <f t="shared" si="9"/>
        <v>213318</v>
      </c>
      <c r="AC24" s="14"/>
    </row>
    <row r="25" spans="2:29">
      <c r="F25" s="9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</row>
    <row r="26" spans="2:29">
      <c r="B26" s="11" t="s">
        <v>28</v>
      </c>
      <c r="F26" s="9"/>
      <c r="H26" s="14">
        <v>-84730</v>
      </c>
      <c r="I26" s="14">
        <v>-87484</v>
      </c>
      <c r="J26" s="14">
        <v>-85725</v>
      </c>
      <c r="K26" s="14">
        <v>-93381</v>
      </c>
      <c r="L26" s="14">
        <v>-96905</v>
      </c>
      <c r="M26" s="14">
        <v>-99207</v>
      </c>
      <c r="N26" s="14">
        <v>-100150</v>
      </c>
      <c r="O26" s="14">
        <v>-112100</v>
      </c>
      <c r="P26" s="14">
        <v>-121274</v>
      </c>
      <c r="Q26" s="14">
        <v>-114646</v>
      </c>
      <c r="R26" s="14">
        <v>-108485</v>
      </c>
      <c r="S26" s="14">
        <v>-117321</v>
      </c>
      <c r="T26" s="14">
        <v>-125522</v>
      </c>
      <c r="U26" s="14">
        <v>-122975</v>
      </c>
      <c r="V26" s="14">
        <v>-117980</v>
      </c>
      <c r="W26" s="14">
        <v>-124434</v>
      </c>
      <c r="X26" s="14">
        <v>-132337</v>
      </c>
      <c r="Y26" s="14">
        <v>-128891</v>
      </c>
      <c r="Z26" s="14">
        <v>-116570</v>
      </c>
      <c r="AA26" s="14">
        <v>-128399</v>
      </c>
      <c r="AB26" s="14">
        <v>-138740</v>
      </c>
      <c r="AC26" s="14"/>
    </row>
    <row r="27" spans="2:29">
      <c r="B27" s="12" t="s">
        <v>29</v>
      </c>
      <c r="C27" s="12"/>
      <c r="D27" s="12"/>
      <c r="E27" s="12"/>
      <c r="F27" s="22"/>
      <c r="G27" s="12"/>
      <c r="H27" s="13">
        <v>47993</v>
      </c>
      <c r="I27" s="13">
        <v>44764</v>
      </c>
      <c r="J27" s="13">
        <v>46729</v>
      </c>
      <c r="K27" s="13">
        <v>49195</v>
      </c>
      <c r="L27" s="13">
        <v>52849</v>
      </c>
      <c r="M27" s="13">
        <v>45721</v>
      </c>
      <c r="N27" s="13">
        <v>49109</v>
      </c>
      <c r="O27" s="13">
        <v>55587</v>
      </c>
      <c r="P27" s="13">
        <v>63235</v>
      </c>
      <c r="Q27" s="13">
        <v>53133</v>
      </c>
      <c r="R27" s="13">
        <v>57980</v>
      </c>
      <c r="S27" s="13">
        <v>66575</v>
      </c>
      <c r="T27" s="13">
        <v>73026</v>
      </c>
      <c r="U27" s="13">
        <v>61036</v>
      </c>
      <c r="V27" s="13">
        <v>67053</v>
      </c>
      <c r="W27" s="13">
        <v>68615</v>
      </c>
      <c r="X27" s="13">
        <v>71846</v>
      </c>
      <c r="Y27" s="13">
        <v>65425</v>
      </c>
      <c r="Z27" s="13">
        <v>60457</v>
      </c>
      <c r="AA27" s="13">
        <v>67808</v>
      </c>
      <c r="AB27" s="13">
        <v>74578</v>
      </c>
      <c r="AC27" s="14"/>
    </row>
    <row r="28" spans="2:29">
      <c r="E28" s="19" t="s">
        <v>30</v>
      </c>
      <c r="F28" s="9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</row>
    <row r="29" spans="2:29">
      <c r="B29" t="s">
        <v>31</v>
      </c>
      <c r="E29" s="101">
        <f>AVERAGE(H29:AB29)</f>
        <v>0.65527908802647361</v>
      </c>
      <c r="F29" s="9"/>
      <c r="H29" s="99">
        <f>-H26/H$24</f>
        <v>0.63839726347355019</v>
      </c>
      <c r="I29" s="99">
        <f t="shared" ref="I29:AB29" si="10">-I26/I$24</f>
        <v>0.66151472990139737</v>
      </c>
      <c r="J29" s="99">
        <f t="shared" si="10"/>
        <v>0.6472058223987196</v>
      </c>
      <c r="K29" s="99">
        <f t="shared" si="10"/>
        <v>0.6549559533161261</v>
      </c>
      <c r="L29" s="99">
        <f t="shared" si="10"/>
        <v>0.64709456842555124</v>
      </c>
      <c r="M29" s="99">
        <f t="shared" si="10"/>
        <v>0.68452610951644954</v>
      </c>
      <c r="N29" s="99">
        <f t="shared" si="10"/>
        <v>0.67098131435960306</v>
      </c>
      <c r="O29" s="99">
        <f t="shared" si="10"/>
        <v>0.66850739771121193</v>
      </c>
      <c r="P29" s="99">
        <f t="shared" si="10"/>
        <v>0.65727959069747277</v>
      </c>
      <c r="Q29" s="99">
        <f t="shared" si="10"/>
        <v>0.68331555200591254</v>
      </c>
      <c r="R29" s="99">
        <f t="shared" si="10"/>
        <v>0.65169855525185472</v>
      </c>
      <c r="S29" s="99">
        <f t="shared" si="10"/>
        <v>0.63797472484447726</v>
      </c>
      <c r="T29" s="99">
        <f t="shared" si="10"/>
        <v>0.63219977033261476</v>
      </c>
      <c r="U29" s="99">
        <f t="shared" si="10"/>
        <v>0.6683024384411802</v>
      </c>
      <c r="V29" s="99">
        <f t="shared" si="10"/>
        <v>0.63761599282290182</v>
      </c>
      <c r="W29" s="99">
        <f t="shared" si="10"/>
        <v>0.64457210345559934</v>
      </c>
      <c r="X29" s="99">
        <f t="shared" si="10"/>
        <v>0.64812937413986471</v>
      </c>
      <c r="Y29" s="99">
        <f t="shared" si="10"/>
        <v>0.663306161098417</v>
      </c>
      <c r="Z29" s="99">
        <f t="shared" si="10"/>
        <v>0.65848712343314864</v>
      </c>
      <c r="AA29" s="99">
        <f t="shared" si="10"/>
        <v>0.65440580611293175</v>
      </c>
      <c r="AB29" s="99">
        <f t="shared" si="10"/>
        <v>0.65039049681695871</v>
      </c>
      <c r="AC29" s="14"/>
    </row>
    <row r="30" spans="2:29">
      <c r="B30" t="s">
        <v>32</v>
      </c>
      <c r="E30" s="101">
        <f>AVERAGE(H30:AB30)</f>
        <v>0.3447209119735265</v>
      </c>
      <c r="F30" s="9"/>
      <c r="H30" s="99">
        <f>H27/H$24</f>
        <v>0.36160273652644981</v>
      </c>
      <c r="I30" s="99">
        <f t="shared" ref="I30:AB30" si="11">I27/I$24</f>
        <v>0.33848527009860263</v>
      </c>
      <c r="J30" s="99">
        <f t="shared" si="11"/>
        <v>0.35279417760128046</v>
      </c>
      <c r="K30" s="99">
        <f t="shared" si="11"/>
        <v>0.34504404668387384</v>
      </c>
      <c r="L30" s="99">
        <f t="shared" si="11"/>
        <v>0.35290543157444876</v>
      </c>
      <c r="M30" s="99">
        <f t="shared" si="11"/>
        <v>0.31547389048355046</v>
      </c>
      <c r="N30" s="99">
        <f t="shared" si="11"/>
        <v>0.32901868564039688</v>
      </c>
      <c r="O30" s="99">
        <f t="shared" si="11"/>
        <v>0.33149260228878802</v>
      </c>
      <c r="P30" s="99">
        <f t="shared" si="11"/>
        <v>0.34272040930252723</v>
      </c>
      <c r="Q30" s="99">
        <f t="shared" si="11"/>
        <v>0.31668444799408746</v>
      </c>
      <c r="R30" s="99">
        <f t="shared" si="11"/>
        <v>0.34830144474814523</v>
      </c>
      <c r="S30" s="99">
        <f t="shared" si="11"/>
        <v>0.36202527515552269</v>
      </c>
      <c r="T30" s="99">
        <f t="shared" si="11"/>
        <v>0.36780022966738524</v>
      </c>
      <c r="U30" s="99">
        <f t="shared" si="11"/>
        <v>0.33169756155881985</v>
      </c>
      <c r="V30" s="99">
        <f t="shared" si="11"/>
        <v>0.36238400717709812</v>
      </c>
      <c r="W30" s="99">
        <f t="shared" si="11"/>
        <v>0.35542789654440066</v>
      </c>
      <c r="X30" s="99">
        <f t="shared" si="11"/>
        <v>0.35187062586013529</v>
      </c>
      <c r="Y30" s="99">
        <f t="shared" si="11"/>
        <v>0.336693838901583</v>
      </c>
      <c r="Z30" s="99">
        <f t="shared" si="11"/>
        <v>0.34151287656685136</v>
      </c>
      <c r="AA30" s="99">
        <f t="shared" si="11"/>
        <v>0.34559419388706825</v>
      </c>
      <c r="AB30" s="99">
        <f t="shared" si="11"/>
        <v>0.34960950318304129</v>
      </c>
      <c r="AC30" s="14"/>
    </row>
    <row r="31" spans="2:29">
      <c r="F31" s="9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</row>
    <row r="32" spans="2:29">
      <c r="B32" s="11" t="s">
        <v>33</v>
      </c>
      <c r="C32" s="9"/>
      <c r="H32" s="14">
        <v>91511</v>
      </c>
      <c r="I32" s="14">
        <v>84837</v>
      </c>
      <c r="J32" s="14">
        <v>76286</v>
      </c>
      <c r="K32" s="14">
        <v>83738</v>
      </c>
      <c r="L32" s="14">
        <v>93222</v>
      </c>
      <c r="M32" s="14">
        <v>89600</v>
      </c>
      <c r="N32" s="14">
        <v>82290</v>
      </c>
      <c r="O32" s="14">
        <v>99864</v>
      </c>
      <c r="P32" s="14">
        <v>113040</v>
      </c>
      <c r="Q32" s="14">
        <v>101483</v>
      </c>
      <c r="R32" s="14">
        <v>94722</v>
      </c>
      <c r="S32" s="14">
        <v>109021</v>
      </c>
      <c r="T32" s="14">
        <v>120651</v>
      </c>
      <c r="U32" s="14">
        <v>116407</v>
      </c>
      <c r="V32" s="14">
        <v>107252</v>
      </c>
      <c r="W32" s="14">
        <v>105775</v>
      </c>
      <c r="X32" s="14">
        <v>125298</v>
      </c>
      <c r="Y32" s="14">
        <v>115072</v>
      </c>
      <c r="Z32" s="14">
        <v>103765</v>
      </c>
      <c r="AA32" s="14">
        <v>118174</v>
      </c>
      <c r="AB32" s="14">
        <v>135291</v>
      </c>
    </row>
    <row r="33" spans="1:167">
      <c r="B33" s="11" t="s">
        <v>34</v>
      </c>
      <c r="C33" s="9"/>
      <c r="H33" s="14">
        <v>38262</v>
      </c>
      <c r="I33" s="14">
        <v>40901</v>
      </c>
      <c r="J33" s="14">
        <v>44193</v>
      </c>
      <c r="K33" s="14">
        <v>43723</v>
      </c>
      <c r="L33" s="14">
        <v>45965</v>
      </c>
      <c r="M33" s="14">
        <v>47638</v>
      </c>
      <c r="N33" s="14">
        <v>57773</v>
      </c>
      <c r="O33" s="14">
        <v>59626</v>
      </c>
      <c r="P33" s="14">
        <v>57292</v>
      </c>
      <c r="Q33" s="14">
        <v>57187</v>
      </c>
      <c r="R33" s="14">
        <v>66079</v>
      </c>
      <c r="S33" s="14">
        <v>69344</v>
      </c>
      <c r="T33" s="14">
        <v>67438</v>
      </c>
      <c r="U33" s="14">
        <v>64060</v>
      </c>
      <c r="V33" s="14">
        <v>71625</v>
      </c>
      <c r="W33" s="14">
        <v>71173</v>
      </c>
      <c r="X33" s="14">
        <v>75789</v>
      </c>
      <c r="Y33" s="14">
        <v>70536</v>
      </c>
      <c r="Z33" s="14">
        <v>74010</v>
      </c>
      <c r="AA33" s="14">
        <v>73824</v>
      </c>
      <c r="AB33" s="14">
        <v>76205</v>
      </c>
    </row>
    <row r="34" spans="1:167">
      <c r="B34" s="11" t="s">
        <v>35</v>
      </c>
      <c r="C34" s="9"/>
      <c r="H34" s="14">
        <v>120225</v>
      </c>
      <c r="I34" s="14">
        <v>119275</v>
      </c>
      <c r="J34" s="14">
        <v>112877</v>
      </c>
      <c r="K34" s="14">
        <v>110398</v>
      </c>
      <c r="L34" s="14">
        <v>124017</v>
      </c>
      <c r="M34" s="14">
        <v>123251</v>
      </c>
      <c r="N34" s="14">
        <v>121933</v>
      </c>
      <c r="O34" s="14">
        <v>126624</v>
      </c>
      <c r="P34" s="14">
        <v>139750</v>
      </c>
      <c r="Q34" s="14">
        <v>140346</v>
      </c>
      <c r="R34" s="14">
        <v>127672</v>
      </c>
      <c r="S34" s="14">
        <v>144655</v>
      </c>
      <c r="T34" s="14">
        <v>150766</v>
      </c>
      <c r="U34" s="14">
        <v>161453</v>
      </c>
      <c r="V34" s="14">
        <v>144432</v>
      </c>
      <c r="W34" s="14">
        <v>131800</v>
      </c>
      <c r="X34" s="14">
        <v>156566</v>
      </c>
      <c r="Y34" s="14">
        <v>144703</v>
      </c>
      <c r="Z34" s="14">
        <v>132757</v>
      </c>
      <c r="AA34" s="14">
        <v>147672</v>
      </c>
      <c r="AB34" s="14">
        <v>155466</v>
      </c>
    </row>
    <row r="35" spans="1:167">
      <c r="B35" s="11"/>
      <c r="C35" s="9"/>
      <c r="E35" s="19" t="s">
        <v>36</v>
      </c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</row>
    <row r="36" spans="1:167">
      <c r="B36" s="5"/>
      <c r="C36" s="91" t="s">
        <v>37</v>
      </c>
      <c r="D36" s="91" t="s">
        <v>38</v>
      </c>
      <c r="E36" s="91" t="s">
        <v>39</v>
      </c>
      <c r="F36" s="91" t="s">
        <v>40</v>
      </c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</row>
    <row r="37" spans="1:167">
      <c r="B37" s="11" t="s">
        <v>41</v>
      </c>
      <c r="C37" s="155">
        <f>AVERAGEIF($I8:$AB8,C36,$I37:$AB37)</f>
        <v>54.524052223939883</v>
      </c>
      <c r="D37" s="155">
        <f t="shared" ref="D37:F37" si="12">AVERAGEIF($I8:$AB8,D36,$I37:$AB37)</f>
        <v>51.071129121684983</v>
      </c>
      <c r="E37" s="155">
        <f t="shared" si="12"/>
        <v>53.472446503955027</v>
      </c>
      <c r="F37" s="155">
        <f t="shared" si="12"/>
        <v>57.718245403874768</v>
      </c>
      <c r="G37" s="14"/>
      <c r="H37" s="14"/>
      <c r="I37" s="14">
        <f t="shared" ref="I37:AB37" si="13">ABS(AVERAGE(H32:I32)/I$24*I$9)</f>
        <v>60.005898009799772</v>
      </c>
      <c r="J37" s="14">
        <f t="shared" si="13"/>
        <v>55.348245428601629</v>
      </c>
      <c r="K37" s="14">
        <f t="shared" si="13"/>
        <v>51.629334530355742</v>
      </c>
      <c r="L37" s="14">
        <f t="shared" si="13"/>
        <v>54.356878614260715</v>
      </c>
      <c r="M37" s="14">
        <f t="shared" si="13"/>
        <v>56.766049348642085</v>
      </c>
      <c r="N37" s="14">
        <f t="shared" si="13"/>
        <v>52.398816821766196</v>
      </c>
      <c r="O37" s="14">
        <f t="shared" si="13"/>
        <v>49.968596253734631</v>
      </c>
      <c r="P37" s="14">
        <f t="shared" si="13"/>
        <v>53.079166869908789</v>
      </c>
      <c r="Q37" s="14">
        <f t="shared" si="13"/>
        <v>57.537206682600321</v>
      </c>
      <c r="R37" s="14">
        <f t="shared" si="13"/>
        <v>53.628855915657951</v>
      </c>
      <c r="S37" s="14">
        <f t="shared" si="13"/>
        <v>50.964556053421504</v>
      </c>
      <c r="T37" s="14">
        <f t="shared" si="13"/>
        <v>53.210870922900256</v>
      </c>
      <c r="U37" s="14">
        <f t="shared" si="13"/>
        <v>58.616816385976925</v>
      </c>
      <c r="V37" s="14">
        <f t="shared" si="13"/>
        <v>54.998213832127249</v>
      </c>
      <c r="W37" s="14">
        <f t="shared" si="13"/>
        <v>50.760387259193266</v>
      </c>
      <c r="X37" s="14">
        <f t="shared" si="13"/>
        <v>52.057996992893635</v>
      </c>
      <c r="Y37" s="14">
        <f t="shared" si="13"/>
        <v>55.665256592354716</v>
      </c>
      <c r="Z37" s="14">
        <f t="shared" si="13"/>
        <v>56.246129121546431</v>
      </c>
      <c r="AA37" s="14">
        <f t="shared" si="13"/>
        <v>52.032771511719766</v>
      </c>
      <c r="AB37" s="14">
        <f t="shared" si="13"/>
        <v>54.657319119811739</v>
      </c>
    </row>
    <row r="38" spans="1:167">
      <c r="B38" s="11" t="s">
        <v>42</v>
      </c>
      <c r="C38" s="155">
        <f>AVERAGEIF($I8:$AB8,C36,$I38:$AB38)</f>
        <v>50.700473941792779</v>
      </c>
      <c r="D38" s="155">
        <f t="shared" ref="D38:F38" si="14">AVERAGEIF($I8:$AB8,D36,$I38:$AB38)</f>
        <v>50.066267427368949</v>
      </c>
      <c r="E38" s="155">
        <f t="shared" si="14"/>
        <v>47.574976176993644</v>
      </c>
      <c r="F38" s="155">
        <f t="shared" si="14"/>
        <v>45.570513519504082</v>
      </c>
      <c r="G38" s="14"/>
      <c r="H38" s="14"/>
      <c r="I38" s="14">
        <f t="shared" ref="I38:AB38" si="15">ABS(AVERAGE(H33:I33)/I$26*I$9)</f>
        <v>40.719845914681542</v>
      </c>
      <c r="J38" s="14">
        <f t="shared" si="15"/>
        <v>45.165086030912803</v>
      </c>
      <c r="K38" s="14">
        <f t="shared" si="15"/>
        <v>43.307910602799282</v>
      </c>
      <c r="L38" s="14">
        <f t="shared" si="15"/>
        <v>42.574149940663538</v>
      </c>
      <c r="M38" s="14">
        <f t="shared" si="15"/>
        <v>42.458042275242676</v>
      </c>
      <c r="N38" s="14">
        <f t="shared" si="15"/>
        <v>47.890169745381925</v>
      </c>
      <c r="O38" s="14">
        <f t="shared" si="15"/>
        <v>48.174433541480823</v>
      </c>
      <c r="P38" s="14">
        <f t="shared" si="15"/>
        <v>44.347741477975489</v>
      </c>
      <c r="Q38" s="14">
        <f t="shared" si="15"/>
        <v>44.934450395129353</v>
      </c>
      <c r="R38" s="14">
        <f t="shared" si="15"/>
        <v>51.69934092270821</v>
      </c>
      <c r="S38" s="14">
        <f t="shared" si="15"/>
        <v>53.097552867773025</v>
      </c>
      <c r="T38" s="14">
        <f t="shared" si="15"/>
        <v>50.126447953346826</v>
      </c>
      <c r="U38" s="14">
        <f t="shared" si="15"/>
        <v>48.653458019922745</v>
      </c>
      <c r="V38" s="14">
        <f t="shared" si="15"/>
        <v>52.328085268689613</v>
      </c>
      <c r="W38" s="14">
        <f t="shared" si="15"/>
        <v>52.788691193725185</v>
      </c>
      <c r="X38" s="14">
        <f t="shared" si="15"/>
        <v>51.08361229285839</v>
      </c>
      <c r="Y38" s="14">
        <f t="shared" si="15"/>
        <v>51.086770992544089</v>
      </c>
      <c r="Z38" s="14">
        <f t="shared" si="15"/>
        <v>56.419687741271339</v>
      </c>
      <c r="AA38" s="14">
        <f t="shared" si="15"/>
        <v>52.962748931066443</v>
      </c>
      <c r="AB38" s="14">
        <f t="shared" si="15"/>
        <v>49.742929220123969</v>
      </c>
    </row>
    <row r="39" spans="1:167">
      <c r="B39" s="11" t="s">
        <v>43</v>
      </c>
      <c r="C39" s="155">
        <f>AVERAGEIF($I8:$AB8,C36,$I39:$AB39)</f>
        <v>114.65734923437</v>
      </c>
      <c r="D39" s="155">
        <f t="shared" ref="D39:F39" si="16">AVERAGEIF($I8:$AB8,D36,$I39:$AB39)</f>
        <v>104.26777870590031</v>
      </c>
      <c r="E39" s="155">
        <f t="shared" si="16"/>
        <v>104.26347199509144</v>
      </c>
      <c r="F39" s="155">
        <f t="shared" si="16"/>
        <v>113.19940663877881</v>
      </c>
      <c r="G39" s="14"/>
      <c r="H39" s="14"/>
      <c r="I39" s="14">
        <f>ABS(AVERAGE(H34:I34)/I$26*I$9)</f>
        <v>123.19395546614237</v>
      </c>
      <c r="J39" s="14">
        <f t="shared" ref="J39:AB39" si="17">ABS(AVERAGE(I34:J34)/J$26*J$9)</f>
        <v>123.2186176727909</v>
      </c>
      <c r="K39" s="14">
        <f t="shared" si="17"/>
        <v>109.98650689112347</v>
      </c>
      <c r="L39" s="14">
        <f t="shared" si="17"/>
        <v>111.27485681853362</v>
      </c>
      <c r="M39" s="14">
        <f t="shared" si="17"/>
        <v>112.16002903020957</v>
      </c>
      <c r="N39" s="14">
        <f t="shared" si="17"/>
        <v>111.39163255117325</v>
      </c>
      <c r="O39" s="14">
        <f t="shared" si="17"/>
        <v>101.99484388938448</v>
      </c>
      <c r="P39" s="14">
        <f t="shared" si="17"/>
        <v>101.03735343107343</v>
      </c>
      <c r="Q39" s="14">
        <f t="shared" si="17"/>
        <v>109.94121033442075</v>
      </c>
      <c r="R39" s="14">
        <f t="shared" si="17"/>
        <v>112.41018573996405</v>
      </c>
      <c r="S39" s="14">
        <f t="shared" si="17"/>
        <v>106.77578609115163</v>
      </c>
      <c r="T39" s="14">
        <f t="shared" si="17"/>
        <v>108.26282245343447</v>
      </c>
      <c r="U39" s="14">
        <f t="shared" si="17"/>
        <v>115.51912583858507</v>
      </c>
      <c r="V39" s="14">
        <f t="shared" si="17"/>
        <v>117.96717664010851</v>
      </c>
      <c r="W39" s="14">
        <f t="shared" si="17"/>
        <v>102.11575614381923</v>
      </c>
      <c r="X39" s="14">
        <f t="shared" si="17"/>
        <v>100.23527811571971</v>
      </c>
      <c r="Y39" s="14">
        <f t="shared" si="17"/>
        <v>105.18271252453623</v>
      </c>
      <c r="Z39" s="14">
        <f t="shared" si="17"/>
        <v>108.29913356781333</v>
      </c>
      <c r="AA39" s="14">
        <f t="shared" si="17"/>
        <v>100.46600051402268</v>
      </c>
      <c r="AB39" s="14">
        <f t="shared" si="17"/>
        <v>100.50704915669597</v>
      </c>
    </row>
    <row r="40" spans="1:167">
      <c r="X40" s="14"/>
      <c r="AB40" s="14"/>
      <c r="AC40" s="33"/>
    </row>
    <row r="41" spans="1:167">
      <c r="A41" s="4" t="s">
        <v>11</v>
      </c>
      <c r="B41" s="3" t="s">
        <v>44</v>
      </c>
      <c r="C41" s="3"/>
      <c r="D41" s="3"/>
      <c r="E41" s="3"/>
      <c r="F41" s="21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</row>
    <row r="43" spans="1:167">
      <c r="B43" t="s">
        <v>13</v>
      </c>
      <c r="F43" s="9"/>
      <c r="AE43" s="9" t="s">
        <v>45</v>
      </c>
      <c r="AF43" s="9" t="s">
        <v>46</v>
      </c>
    </row>
    <row r="44" spans="1:167">
      <c r="B44" s="5" t="s">
        <v>15</v>
      </c>
      <c r="F44" s="9"/>
      <c r="H44" s="15"/>
      <c r="I44" s="15"/>
      <c r="J44" s="15"/>
      <c r="K44" s="15"/>
      <c r="L44" s="34">
        <f t="shared" ref="L44:U51" si="18">L13/H13-1</f>
        <v>8.4067361535197227E-2</v>
      </c>
      <c r="M44" s="34">
        <f t="shared" si="18"/>
        <v>0.11687881929890365</v>
      </c>
      <c r="N44" s="34">
        <f t="shared" si="18"/>
        <v>0.16065614542823559</v>
      </c>
      <c r="O44" s="34">
        <f t="shared" si="18"/>
        <v>0.21813311353801779</v>
      </c>
      <c r="P44" s="34">
        <f t="shared" si="18"/>
        <v>0.25028882417529963</v>
      </c>
      <c r="Q44" s="34">
        <f t="shared" si="18"/>
        <v>0.14441898591660585</v>
      </c>
      <c r="R44" s="34">
        <f t="shared" si="18"/>
        <v>7.8272473141320908E-2</v>
      </c>
      <c r="S44" s="34">
        <f t="shared" si="18"/>
        <v>7.4962785032816726E-2</v>
      </c>
      <c r="T44" s="34">
        <f t="shared" si="18"/>
        <v>6.349800303935127E-2</v>
      </c>
      <c r="U44" s="34">
        <f t="shared" si="18"/>
        <v>8.2112930089664138E-2</v>
      </c>
      <c r="V44" s="34">
        <f t="shared" ref="V44:AB51" si="19">V13/R13-1</f>
        <v>0.1070431695618006</v>
      </c>
      <c r="W44" s="34">
        <f t="shared" si="19"/>
        <v>2.8687202486329166E-2</v>
      </c>
      <c r="X44" s="34">
        <f t="shared" si="19"/>
        <v>5.9455422794116863E-3</v>
      </c>
      <c r="Y44" s="34">
        <f t="shared" si="19"/>
        <v>5.9118604057675217E-2</v>
      </c>
      <c r="Z44" s="34">
        <f t="shared" si="19"/>
        <v>-6.4535343892030417E-2</v>
      </c>
      <c r="AA44" s="34">
        <f t="shared" si="19"/>
        <v>8.4059323395109242E-3</v>
      </c>
      <c r="AB44" s="34">
        <f t="shared" si="19"/>
        <v>4.211518145218851E-2</v>
      </c>
      <c r="AC44" s="14"/>
      <c r="AE44" s="37">
        <f>AVERAGE(L44:AB44)</f>
        <v>8.5886454675311669E-2</v>
      </c>
      <c r="AF44" s="37">
        <f t="shared" ref="AF44:AF51" si="20">(AB13/H13)^(1/((($AB$7-$H$7))))-1</f>
        <v>8.6072201937714254E-2</v>
      </c>
    </row>
    <row r="45" spans="1:167">
      <c r="B45" s="6" t="s">
        <v>17</v>
      </c>
      <c r="F45" s="9"/>
      <c r="H45" s="15"/>
      <c r="I45" s="15"/>
      <c r="J45" s="15"/>
      <c r="K45" s="15"/>
      <c r="L45" s="33">
        <f t="shared" si="18"/>
        <v>2.999101651579017E-2</v>
      </c>
      <c r="M45" s="33">
        <f t="shared" si="18"/>
        <v>3.8061806062279269E-2</v>
      </c>
      <c r="N45" s="33">
        <f t="shared" si="18"/>
        <v>2.6064366532838168E-2</v>
      </c>
      <c r="O45" s="33">
        <f t="shared" si="18"/>
        <v>4.0867790867790799E-2</v>
      </c>
      <c r="P45" s="33">
        <f t="shared" si="18"/>
        <v>9.1982556189198261E-2</v>
      </c>
      <c r="Q45" s="33">
        <f t="shared" si="18"/>
        <v>1.1398825920930111E-2</v>
      </c>
      <c r="R45" s="33">
        <f t="shared" si="18"/>
        <v>7.6520683810759271E-2</v>
      </c>
      <c r="S45" s="33">
        <f t="shared" si="18"/>
        <v>4.224075752251677E-2</v>
      </c>
      <c r="T45" s="33">
        <f t="shared" si="18"/>
        <v>6.448144507249931E-2</v>
      </c>
      <c r="U45" s="33">
        <f t="shared" si="18"/>
        <v>3.5295001596634012E-2</v>
      </c>
      <c r="V45" s="33">
        <f t="shared" si="19"/>
        <v>3.7222049447986238E-2</v>
      </c>
      <c r="W45" s="33">
        <f t="shared" si="19"/>
        <v>2.5073196699494371E-2</v>
      </c>
      <c r="X45" s="33">
        <f t="shared" si="19"/>
        <v>-4.2423018094716047E-3</v>
      </c>
      <c r="Y45" s="33">
        <f t="shared" si="19"/>
        <v>6.3974163582262822E-2</v>
      </c>
      <c r="Z45" s="33">
        <f t="shared" si="19"/>
        <v>-7.9268406948634906E-3</v>
      </c>
      <c r="AA45" s="33">
        <f t="shared" si="19"/>
        <v>3.974518764714019E-2</v>
      </c>
      <c r="AB45" s="33">
        <f t="shared" si="19"/>
        <v>2.3576976582425191E-2</v>
      </c>
      <c r="AC45" s="14"/>
      <c r="AE45" s="36">
        <f t="shared" ref="AE45:AE55" si="21">AVERAGE(L45:AB45)</f>
        <v>3.7313334208600578E-2</v>
      </c>
      <c r="AF45" s="36">
        <f t="shared" si="20"/>
        <v>4.0620274231765841E-2</v>
      </c>
    </row>
    <row r="46" spans="1:167">
      <c r="B46" s="6" t="s">
        <v>18</v>
      </c>
      <c r="F46" s="9"/>
      <c r="H46" s="15"/>
      <c r="I46" s="15"/>
      <c r="J46" s="15"/>
      <c r="K46" s="15"/>
      <c r="L46" s="33">
        <f t="shared" si="18"/>
        <v>-3.5310734463276816E-2</v>
      </c>
      <c r="M46" s="33">
        <f t="shared" si="18"/>
        <v>1.5447667087011396E-2</v>
      </c>
      <c r="N46" s="33">
        <f t="shared" si="18"/>
        <v>-1.6363829561151788E-2</v>
      </c>
      <c r="O46" s="33">
        <f t="shared" si="18"/>
        <v>7.8746095012388162E-2</v>
      </c>
      <c r="P46" s="33">
        <f t="shared" si="18"/>
        <v>0.122882242208743</v>
      </c>
      <c r="Q46" s="33">
        <f t="shared" si="18"/>
        <v>8.682603746248585E-2</v>
      </c>
      <c r="R46" s="33">
        <f t="shared" si="18"/>
        <v>7.6266609052608736E-2</v>
      </c>
      <c r="S46" s="33">
        <f t="shared" si="18"/>
        <v>3.7347713201517863E-2</v>
      </c>
      <c r="T46" s="33">
        <f t="shared" si="18"/>
        <v>7.8699823041818107E-2</v>
      </c>
      <c r="U46" s="33">
        <f t="shared" si="18"/>
        <v>9.6553037516663442E-2</v>
      </c>
      <c r="V46" s="33">
        <f t="shared" si="19"/>
        <v>7.9092642778279654E-2</v>
      </c>
      <c r="W46" s="33">
        <f t="shared" si="19"/>
        <v>0.10685406237966877</v>
      </c>
      <c r="X46" s="33">
        <f t="shared" si="19"/>
        <v>2.4175444655499811E-2</v>
      </c>
      <c r="Y46" s="33">
        <f t="shared" si="19"/>
        <v>-2.1969433831191432E-2</v>
      </c>
      <c r="Z46" s="33">
        <f t="shared" si="19"/>
        <v>8.2224909310761873E-2</v>
      </c>
      <c r="AA46" s="33">
        <f t="shared" si="19"/>
        <v>3.9137241259350475E-3</v>
      </c>
      <c r="AB46" s="33">
        <f t="shared" si="19"/>
        <v>0.10335525206541907</v>
      </c>
      <c r="AC46" s="14"/>
      <c r="AE46" s="36">
        <f t="shared" si="21"/>
        <v>5.404360364959887E-2</v>
      </c>
      <c r="AF46" s="36">
        <f t="shared" si="20"/>
        <v>5.7164080505046622E-2</v>
      </c>
    </row>
    <row r="47" spans="1:167">
      <c r="B47" s="6" t="s">
        <v>19</v>
      </c>
      <c r="F47" s="9"/>
      <c r="H47" s="15"/>
      <c r="I47" s="15"/>
      <c r="J47" s="15"/>
      <c r="K47" s="15"/>
      <c r="L47" s="33">
        <f t="shared" si="18"/>
        <v>0.2051556255980187</v>
      </c>
      <c r="M47" s="33">
        <f t="shared" si="18"/>
        <v>0.33581580443433778</v>
      </c>
      <c r="N47" s="33">
        <f t="shared" si="18"/>
        <v>0.47861134464170907</v>
      </c>
      <c r="O47" s="33">
        <f t="shared" si="18"/>
        <v>0.62727518471796717</v>
      </c>
      <c r="P47" s="33">
        <f t="shared" si="18"/>
        <v>0.80828507379039793</v>
      </c>
      <c r="Q47" s="33">
        <f t="shared" si="18"/>
        <v>0.50248967953355739</v>
      </c>
      <c r="R47" s="33">
        <f t="shared" si="18"/>
        <v>0.15164386768788263</v>
      </c>
      <c r="S47" s="33">
        <f t="shared" si="18"/>
        <v>0.17046429856862044</v>
      </c>
      <c r="T47" s="33">
        <f t="shared" si="18"/>
        <v>9.6877502001601279E-2</v>
      </c>
      <c r="U47" s="33">
        <f t="shared" si="18"/>
        <v>0.16570360299116249</v>
      </c>
      <c r="V47" s="33">
        <f t="shared" si="19"/>
        <v>0.21920831760230008</v>
      </c>
      <c r="W47" s="33">
        <f t="shared" si="19"/>
        <v>4.7308165389345902E-3</v>
      </c>
      <c r="X47" s="33">
        <f t="shared" si="19"/>
        <v>-3.1057216858959236E-2</v>
      </c>
      <c r="Y47" s="33">
        <f t="shared" si="19"/>
        <v>4.3762453224474029E-2</v>
      </c>
      <c r="Z47" s="33">
        <f t="shared" si="19"/>
        <v>-0.20487839737023894</v>
      </c>
      <c r="AA47" s="33">
        <f t="shared" si="19"/>
        <v>-3.3736698370844698E-2</v>
      </c>
      <c r="AB47" s="33">
        <f t="shared" si="19"/>
        <v>8.3910476051614724E-2</v>
      </c>
      <c r="AC47" s="14"/>
      <c r="AE47" s="36">
        <f t="shared" si="21"/>
        <v>0.21319186675191382</v>
      </c>
      <c r="AF47" s="36">
        <f t="shared" si="20"/>
        <v>0.20213139936040414</v>
      </c>
    </row>
    <row r="48" spans="1:167">
      <c r="B48" s="6" t="s">
        <v>20</v>
      </c>
      <c r="F48" s="9"/>
      <c r="H48" s="15"/>
      <c r="I48" s="15"/>
      <c r="J48" s="15"/>
      <c r="K48" s="15"/>
      <c r="L48" s="33">
        <f t="shared" si="18"/>
        <v>0.2797285067873303</v>
      </c>
      <c r="M48" s="33">
        <f t="shared" si="18"/>
        <v>0.20334760607240177</v>
      </c>
      <c r="N48" s="33">
        <f t="shared" si="18"/>
        <v>0.28357965215971248</v>
      </c>
      <c r="O48" s="33">
        <f t="shared" si="18"/>
        <v>0.3223795202816695</v>
      </c>
      <c r="P48" s="33">
        <f t="shared" si="18"/>
        <v>0.15897036984654545</v>
      </c>
      <c r="Q48" s="33">
        <f t="shared" si="18"/>
        <v>8.9085851070712208E-2</v>
      </c>
      <c r="R48" s="33">
        <f t="shared" si="18"/>
        <v>-5.4770992366412252E-2</v>
      </c>
      <c r="S48" s="33">
        <f t="shared" si="18"/>
        <v>2.6625249611715862E-3</v>
      </c>
      <c r="T48" s="33">
        <f t="shared" si="18"/>
        <v>-2.9226920495454278E-2</v>
      </c>
      <c r="U48" s="33">
        <f t="shared" si="18"/>
        <v>4.5859569918023091E-2</v>
      </c>
      <c r="V48" s="33">
        <f t="shared" si="19"/>
        <v>0.1076115485564304</v>
      </c>
      <c r="W48" s="33">
        <f t="shared" si="19"/>
        <v>5.1062181898650083E-2</v>
      </c>
      <c r="X48" s="33">
        <f t="shared" si="19"/>
        <v>0.13582652419861718</v>
      </c>
      <c r="Y48" s="33">
        <f t="shared" si="19"/>
        <v>0.13285243666931734</v>
      </c>
      <c r="Z48" s="33">
        <f t="shared" si="19"/>
        <v>1.403572730586955E-2</v>
      </c>
      <c r="AA48" s="33">
        <f t="shared" si="19"/>
        <v>1.0053160692667928E-2</v>
      </c>
      <c r="AB48" s="33">
        <f t="shared" si="19"/>
        <v>-2.2466935974766233E-2</v>
      </c>
      <c r="AC48" s="14"/>
      <c r="AE48" s="36">
        <f t="shared" si="21"/>
        <v>0.10179943126955801</v>
      </c>
      <c r="AF48" s="36">
        <f t="shared" si="20"/>
        <v>9.8374072681480129E-2</v>
      </c>
    </row>
    <row r="49" spans="1:32">
      <c r="B49" s="5" t="s">
        <v>21</v>
      </c>
      <c r="F49" s="9"/>
      <c r="H49" s="15"/>
      <c r="I49" s="15"/>
      <c r="J49" s="15"/>
      <c r="K49" s="15"/>
      <c r="L49" s="34">
        <f t="shared" si="18"/>
        <v>5.0194653516740129E-2</v>
      </c>
      <c r="M49" s="34">
        <f t="shared" si="18"/>
        <v>2.815721986706432E-2</v>
      </c>
      <c r="N49" s="34">
        <f t="shared" si="18"/>
        <v>6.8262762168578295E-3</v>
      </c>
      <c r="O49" s="34">
        <f t="shared" si="18"/>
        <v>2.2240408222211627E-2</v>
      </c>
      <c r="P49" s="34">
        <f t="shared" si="18"/>
        <v>0.1337979438513246</v>
      </c>
      <c r="Q49" s="34">
        <f t="shared" si="18"/>
        <v>0.13560702468821573</v>
      </c>
      <c r="R49" s="34">
        <f t="shared" si="18"/>
        <v>0.14046379090105132</v>
      </c>
      <c r="S49" s="34">
        <f t="shared" si="18"/>
        <v>0.10944195902990339</v>
      </c>
      <c r="T49" s="34">
        <f t="shared" si="18"/>
        <v>7.9776799337373028E-2</v>
      </c>
      <c r="U49" s="34">
        <f t="shared" si="18"/>
        <v>6.1410193195571283E-2</v>
      </c>
      <c r="V49" s="34">
        <f t="shared" si="19"/>
        <v>9.6885365958730096E-2</v>
      </c>
      <c r="W49" s="34">
        <f t="shared" si="19"/>
        <v>8.1285283755677229E-2</v>
      </c>
      <c r="X49" s="34">
        <f t="shared" si="19"/>
        <v>4.2755056724131046E-2</v>
      </c>
      <c r="Y49" s="34">
        <f t="shared" si="19"/>
        <v>3.8219519405380264E-2</v>
      </c>
      <c r="Z49" s="34">
        <f t="shared" si="19"/>
        <v>2.7177755086010613E-2</v>
      </c>
      <c r="AA49" s="34">
        <f t="shared" si="19"/>
        <v>2.4417052681165119E-2</v>
      </c>
      <c r="AB49" s="34">
        <f t="shared" si="19"/>
        <v>4.4912498064116457E-2</v>
      </c>
      <c r="AC49" s="14"/>
      <c r="AE49" s="37">
        <f t="shared" si="21"/>
        <v>6.6092282382442594E-2</v>
      </c>
      <c r="AF49" s="37">
        <f t="shared" si="20"/>
        <v>6.9745178243917128E-2</v>
      </c>
    </row>
    <row r="50" spans="1:32">
      <c r="B50" s="5" t="s">
        <v>22</v>
      </c>
      <c r="F50" s="9"/>
      <c r="H50" s="15"/>
      <c r="I50" s="15"/>
      <c r="J50" s="15"/>
      <c r="K50" s="15"/>
      <c r="L50" s="34">
        <f t="shared" si="18"/>
        <v>0.65072366529282077</v>
      </c>
      <c r="M50" s="34">
        <f t="shared" si="18"/>
        <v>6.747850103571662E-2</v>
      </c>
      <c r="N50" s="34">
        <f t="shared" si="18"/>
        <v>2.9185957920647043E-2</v>
      </c>
      <c r="O50" s="34">
        <f t="shared" si="18"/>
        <v>-5.2423900789176914E-3</v>
      </c>
      <c r="P50" s="34">
        <f t="shared" si="18"/>
        <v>0.14702125188712123</v>
      </c>
      <c r="Q50" s="34">
        <f t="shared" si="18"/>
        <v>0.12272139244972369</v>
      </c>
      <c r="R50" s="34">
        <f t="shared" si="18"/>
        <v>0.18159558111724849</v>
      </c>
      <c r="S50" s="34">
        <f t="shared" si="18"/>
        <v>0.14064713549045171</v>
      </c>
      <c r="T50" s="34">
        <f t="shared" si="18"/>
        <v>0.13278323377543799</v>
      </c>
      <c r="U50" s="34">
        <f t="shared" si="18"/>
        <v>0.14665060493374527</v>
      </c>
      <c r="V50" s="34">
        <f t="shared" si="19"/>
        <v>0.11190361445783137</v>
      </c>
      <c r="W50" s="34">
        <f t="shared" si="19"/>
        <v>0.11222614138804721</v>
      </c>
      <c r="X50" s="34">
        <f t="shared" si="19"/>
        <v>8.7053671180229664E-2</v>
      </c>
      <c r="Y50" s="34">
        <f t="shared" si="19"/>
        <v>3.4942675741104434E-2</v>
      </c>
      <c r="Z50" s="34">
        <f t="shared" si="19"/>
        <v>2.9082871012482636E-2</v>
      </c>
      <c r="AA50" s="34">
        <f t="shared" si="19"/>
        <v>4.7882794354118241E-2</v>
      </c>
      <c r="AB50" s="34">
        <f t="shared" si="19"/>
        <v>2.4707091469681419E-2</v>
      </c>
      <c r="AC50" s="14"/>
      <c r="AE50" s="37">
        <f t="shared" si="21"/>
        <v>0.12125669373102885</v>
      </c>
      <c r="AF50" s="37">
        <f t="shared" si="20"/>
        <v>0.19027874023200719</v>
      </c>
    </row>
    <row r="51" spans="1:32">
      <c r="B51" s="5" t="s">
        <v>23</v>
      </c>
      <c r="F51" s="9"/>
      <c r="H51" s="15"/>
      <c r="I51" s="15"/>
      <c r="J51" s="15"/>
      <c r="K51" s="15"/>
      <c r="L51" s="34">
        <f t="shared" si="18"/>
        <v>0.17981908920773559</v>
      </c>
      <c r="M51" s="34">
        <f t="shared" si="18"/>
        <v>7.1886446886446853E-2</v>
      </c>
      <c r="N51" s="34">
        <f t="shared" si="18"/>
        <v>0.29141241256139305</v>
      </c>
      <c r="O51" s="34">
        <f t="shared" si="18"/>
        <v>0.50978152220476947</v>
      </c>
      <c r="P51" s="34">
        <f t="shared" si="18"/>
        <v>0.43648380700594847</v>
      </c>
      <c r="Q51" s="34">
        <f t="shared" si="18"/>
        <v>0.49508756941478005</v>
      </c>
      <c r="R51" s="34">
        <f t="shared" si="18"/>
        <v>0.35980177480696085</v>
      </c>
      <c r="S51" s="34">
        <f t="shared" si="18"/>
        <v>0.2402345597276081</v>
      </c>
      <c r="T51" s="34">
        <f t="shared" si="18"/>
        <v>0.11695960246618209</v>
      </c>
      <c r="U51" s="34">
        <f t="shared" si="18"/>
        <v>0.24257142857142866</v>
      </c>
      <c r="V51" s="34">
        <f t="shared" si="19"/>
        <v>0.18196457326892101</v>
      </c>
      <c r="W51" s="34">
        <f t="shared" si="19"/>
        <v>0.10165484633569744</v>
      </c>
      <c r="X51" s="34">
        <f t="shared" si="19"/>
        <v>0.14829461196243199</v>
      </c>
      <c r="Y51" s="34">
        <f t="shared" si="19"/>
        <v>9.3661378094581194E-2</v>
      </c>
      <c r="Z51" s="34">
        <f t="shared" si="19"/>
        <v>-0.10468951670729953</v>
      </c>
      <c r="AA51" s="34">
        <f t="shared" si="19"/>
        <v>2.5266509760487388E-2</v>
      </c>
      <c r="AB51" s="34">
        <f t="shared" si="19"/>
        <v>0.10575405366623625</v>
      </c>
      <c r="AC51" s="14"/>
      <c r="AE51" s="37">
        <f t="shared" si="21"/>
        <v>0.20564380407260643</v>
      </c>
      <c r="AF51" s="37">
        <f t="shared" si="20"/>
        <v>0.19171689757813826</v>
      </c>
    </row>
    <row r="52" spans="1:32">
      <c r="B52" s="6" t="s">
        <v>24</v>
      </c>
      <c r="F52" s="9"/>
      <c r="H52" s="15"/>
      <c r="I52" s="15"/>
      <c r="J52" s="15"/>
      <c r="K52" s="15"/>
      <c r="L52" s="15"/>
      <c r="M52" s="15"/>
      <c r="N52" s="33">
        <f t="shared" ref="N52:AB55" si="22">N21/J21-1</f>
        <v>0.40763052208835338</v>
      </c>
      <c r="O52" s="33">
        <f t="shared" si="22"/>
        <v>1.7056737588652484</v>
      </c>
      <c r="P52" s="33">
        <f t="shared" si="22"/>
        <v>0.98471986417657043</v>
      </c>
      <c r="Q52" s="33">
        <f t="shared" si="22"/>
        <v>1.4653846153846155</v>
      </c>
      <c r="R52" s="33">
        <f t="shared" si="22"/>
        <v>1.0570613409415119</v>
      </c>
      <c r="S52" s="33">
        <f t="shared" si="22"/>
        <v>9.9606815203145516E-2</v>
      </c>
      <c r="T52" s="33">
        <f t="shared" si="22"/>
        <v>0.19161676646706582</v>
      </c>
      <c r="U52" s="33">
        <f t="shared" si="22"/>
        <v>0.22386895475819024</v>
      </c>
      <c r="V52" s="33">
        <f t="shared" si="22"/>
        <v>0.22122052704576967</v>
      </c>
      <c r="W52" s="33">
        <f t="shared" si="22"/>
        <v>0.25148986889153746</v>
      </c>
      <c r="X52" s="33">
        <f t="shared" si="22"/>
        <v>0.23546302943287878</v>
      </c>
      <c r="Y52" s="33">
        <f t="shared" si="22"/>
        <v>0.4085404716379859</v>
      </c>
      <c r="Z52" s="33">
        <f t="shared" si="22"/>
        <v>8.290743895513919E-2</v>
      </c>
      <c r="AA52" s="33">
        <f t="shared" si="22"/>
        <v>0.13476190476190486</v>
      </c>
      <c r="AB52" s="33">
        <f t="shared" si="22"/>
        <v>0.35386403253922127</v>
      </c>
      <c r="AC52" s="14"/>
      <c r="AE52" s="36">
        <f t="shared" si="21"/>
        <v>0.52158732740994262</v>
      </c>
      <c r="AF52" s="36">
        <f>(AB21/J21)^(1/((($AB$7-$J$7))))-1</f>
        <v>0.47072557490066225</v>
      </c>
    </row>
    <row r="53" spans="1:32">
      <c r="B53" s="6" t="s">
        <v>25</v>
      </c>
      <c r="F53" s="9"/>
      <c r="H53" s="15"/>
      <c r="I53" s="15"/>
      <c r="J53" s="15"/>
      <c r="K53" s="15"/>
      <c r="L53" s="15"/>
      <c r="M53" s="15"/>
      <c r="N53" s="33">
        <f t="shared" si="22"/>
        <v>0.34385137127690957</v>
      </c>
      <c r="O53" s="33">
        <f t="shared" si="22"/>
        <v>0.25470482083011081</v>
      </c>
      <c r="P53" s="33">
        <f t="shared" si="22"/>
        <v>0.27170294494238156</v>
      </c>
      <c r="Q53" s="33">
        <f t="shared" si="22"/>
        <v>0.16740699611327048</v>
      </c>
      <c r="R53" s="33">
        <f t="shared" si="22"/>
        <v>0.1413210445468509</v>
      </c>
      <c r="S53" s="33">
        <f t="shared" si="22"/>
        <v>7.7460447914526442E-2</v>
      </c>
      <c r="T53" s="33">
        <f t="shared" si="22"/>
        <v>4.6314941602899617E-2</v>
      </c>
      <c r="U53" s="33">
        <f t="shared" si="22"/>
        <v>0.20832342449464925</v>
      </c>
      <c r="V53" s="33">
        <f t="shared" si="22"/>
        <v>0.15458565660449919</v>
      </c>
      <c r="W53" s="33">
        <f t="shared" si="22"/>
        <v>0.12337909992372231</v>
      </c>
      <c r="X53" s="33">
        <f t="shared" si="22"/>
        <v>9.3533487297921436E-2</v>
      </c>
      <c r="Y53" s="33">
        <f t="shared" si="22"/>
        <v>0.12005510726234991</v>
      </c>
      <c r="Z53" s="33">
        <f t="shared" si="22"/>
        <v>-0.15670274771024151</v>
      </c>
      <c r="AA53" s="33">
        <f t="shared" si="22"/>
        <v>-3.9891359701239137E-2</v>
      </c>
      <c r="AB53" s="33">
        <f t="shared" si="22"/>
        <v>4.7342485040478666E-2</v>
      </c>
      <c r="AC53" s="14"/>
      <c r="AE53" s="36">
        <f>AVERAGE(L53:AB53)</f>
        <v>0.12355918136260599</v>
      </c>
      <c r="AF53" s="36">
        <f>(Z22/J22)^(1/((($Z$7-$J$7))))-1</f>
        <v>0.1054560396818196</v>
      </c>
    </row>
    <row r="54" spans="1:32">
      <c r="B54" s="6" t="s">
        <v>26</v>
      </c>
      <c r="F54" s="9"/>
      <c r="H54" s="32"/>
      <c r="I54" s="32"/>
      <c r="J54" s="32"/>
      <c r="K54" s="32"/>
      <c r="L54" s="32"/>
      <c r="M54" s="15"/>
      <c r="N54" s="33">
        <f t="shared" si="22"/>
        <v>0.20812720848056543</v>
      </c>
      <c r="O54" s="33">
        <f t="shared" si="22"/>
        <v>0.6328125</v>
      </c>
      <c r="P54" s="33">
        <f t="shared" si="22"/>
        <v>0.54086616737219151</v>
      </c>
      <c r="Q54" s="33">
        <f t="shared" si="22"/>
        <v>0.72802481902792149</v>
      </c>
      <c r="R54" s="33">
        <f t="shared" si="22"/>
        <v>0.50804328751096817</v>
      </c>
      <c r="S54" s="33">
        <f t="shared" si="22"/>
        <v>0.48110047846889947</v>
      </c>
      <c r="T54" s="33">
        <f t="shared" si="22"/>
        <v>0.17265426880811496</v>
      </c>
      <c r="U54" s="33">
        <f t="shared" si="22"/>
        <v>0.27608218631557957</v>
      </c>
      <c r="V54" s="33">
        <f t="shared" si="22"/>
        <v>0.19860356865787443</v>
      </c>
      <c r="W54" s="33">
        <f t="shared" si="22"/>
        <v>4.2642545630754425E-2</v>
      </c>
      <c r="X54" s="33">
        <f t="shared" si="22"/>
        <v>0.17768967381510192</v>
      </c>
      <c r="Y54" s="33">
        <f t="shared" si="22"/>
        <v>-4.533375019540431E-3</v>
      </c>
      <c r="Z54" s="33">
        <f t="shared" si="22"/>
        <v>-0.10760517799352753</v>
      </c>
      <c r="AA54" s="33">
        <f t="shared" si="22"/>
        <v>4.9109217660728177E-2</v>
      </c>
      <c r="AB54" s="33">
        <f t="shared" si="22"/>
        <v>9.1201224177505757E-2</v>
      </c>
      <c r="AC54" s="14"/>
      <c r="AE54" s="36">
        <f>AVERAGE(L54:AB54)</f>
        <v>0.2663212395275425</v>
      </c>
      <c r="AF54" s="36">
        <f>(Z23/J23)^(1/((($Z$7-$J$7))))-1</f>
        <v>0.1815164437798058</v>
      </c>
    </row>
    <row r="55" spans="1:32">
      <c r="B55" s="12" t="s">
        <v>27</v>
      </c>
      <c r="C55" s="12"/>
      <c r="D55" s="12"/>
      <c r="E55" s="12"/>
      <c r="F55" s="22"/>
      <c r="G55" s="12"/>
      <c r="H55" s="15"/>
      <c r="I55" s="15"/>
      <c r="J55" s="15"/>
      <c r="K55" s="15"/>
      <c r="L55" s="34">
        <f>L24/H24-1</f>
        <v>0.1283198842702471</v>
      </c>
      <c r="M55" s="35">
        <f>M24/I24-1</f>
        <v>9.5880467001391301E-2</v>
      </c>
      <c r="N55" s="35">
        <f t="shared" si="22"/>
        <v>0.12687423558367428</v>
      </c>
      <c r="O55" s="35">
        <f t="shared" si="22"/>
        <v>0.17612361126697351</v>
      </c>
      <c r="P55" s="35">
        <f t="shared" si="22"/>
        <v>0.23208061220401466</v>
      </c>
      <c r="Q55" s="35">
        <f t="shared" si="22"/>
        <v>0.15767139545153452</v>
      </c>
      <c r="R55" s="35">
        <f t="shared" si="22"/>
        <v>0.11527613075258447</v>
      </c>
      <c r="S55" s="35">
        <f t="shared" si="22"/>
        <v>9.666223380464789E-2</v>
      </c>
      <c r="T55" s="35">
        <f t="shared" si="22"/>
        <v>7.6088429290712023E-2</v>
      </c>
      <c r="U55" s="35">
        <f t="shared" si="22"/>
        <v>9.6746315093068969E-2</v>
      </c>
      <c r="V55" s="35">
        <f t="shared" si="22"/>
        <v>0.11154296699005806</v>
      </c>
      <c r="W55" s="35">
        <f t="shared" si="22"/>
        <v>4.9772697611693673E-2</v>
      </c>
      <c r="X55" s="35">
        <f t="shared" si="22"/>
        <v>2.8381046396841025E-2</v>
      </c>
      <c r="Y55" s="35">
        <f t="shared" si="22"/>
        <v>5.6002086831765441E-2</v>
      </c>
      <c r="Z55" s="35">
        <f t="shared" si="22"/>
        <v>-4.3267957607561858E-2</v>
      </c>
      <c r="AA55" s="35">
        <f t="shared" si="22"/>
        <v>1.6358541095784052E-2</v>
      </c>
      <c r="AB55" s="35">
        <f t="shared" si="22"/>
        <v>4.4739278000617055E-2</v>
      </c>
      <c r="AC55" s="13"/>
      <c r="AD55" s="12"/>
      <c r="AE55" s="38">
        <f t="shared" si="21"/>
        <v>9.2073645531649775E-2</v>
      </c>
      <c r="AF55" s="38">
        <f>(AB24/H24)^(1/((($AB$7-$H$7))))-1</f>
        <v>9.9553240273915211E-2</v>
      </c>
    </row>
    <row r="57" spans="1:32">
      <c r="B57" s="1"/>
      <c r="F57" s="9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</row>
    <row r="58" spans="1:32" s="3" customFormat="1">
      <c r="A58" s="4" t="s">
        <v>11</v>
      </c>
      <c r="B58" s="3" t="s">
        <v>47</v>
      </c>
      <c r="F58" s="21"/>
    </row>
    <row r="59" spans="1:32">
      <c r="B59" s="1"/>
      <c r="F59" s="9"/>
      <c r="G59" s="7" t="s">
        <v>5</v>
      </c>
      <c r="H59" s="8">
        <v>43922</v>
      </c>
      <c r="I59" s="8">
        <f>H60+1</f>
        <v>44287</v>
      </c>
      <c r="J59" s="8">
        <f>I60+1</f>
        <v>44652</v>
      </c>
      <c r="K59" s="8">
        <f>J60+1</f>
        <v>45017</v>
      </c>
      <c r="L59" s="8">
        <f>K60+1</f>
        <v>45383</v>
      </c>
      <c r="M59" s="8">
        <f>Y5</f>
        <v>45658</v>
      </c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</row>
    <row r="60" spans="1:32">
      <c r="B60" s="1"/>
      <c r="F60" s="9"/>
      <c r="G60" s="7" t="s">
        <v>6</v>
      </c>
      <c r="H60" s="8">
        <f t="shared" ref="H60:M60" si="23">EOMONTH(H59,11)</f>
        <v>44286</v>
      </c>
      <c r="I60" s="8">
        <f t="shared" si="23"/>
        <v>44651</v>
      </c>
      <c r="J60" s="8">
        <f t="shared" si="23"/>
        <v>45016</v>
      </c>
      <c r="K60" s="8">
        <f t="shared" si="23"/>
        <v>45382</v>
      </c>
      <c r="L60" s="8">
        <f t="shared" si="23"/>
        <v>45747</v>
      </c>
      <c r="M60" s="8">
        <f t="shared" si="23"/>
        <v>46022</v>
      </c>
    </row>
    <row r="61" spans="1:32">
      <c r="B61" s="1"/>
      <c r="E61" s="19"/>
      <c r="G61" s="7" t="s">
        <v>7</v>
      </c>
      <c r="H61" s="9">
        <f>IF(MONTH(H60)&gt;3,YEAR(H60)+1,YEAR(H60))</f>
        <v>2021</v>
      </c>
      <c r="I61" s="9">
        <f>H61+1</f>
        <v>2022</v>
      </c>
      <c r="J61" s="9">
        <f>I61+1</f>
        <v>2023</v>
      </c>
      <c r="K61" s="9">
        <f>J61+1</f>
        <v>2024</v>
      </c>
      <c r="L61" s="9">
        <f>K61+1</f>
        <v>2025</v>
      </c>
      <c r="M61" s="9">
        <f>L61+1</f>
        <v>2026</v>
      </c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 spans="1:32">
      <c r="F62" s="9"/>
      <c r="G62" s="7" t="s">
        <v>10</v>
      </c>
      <c r="H62" s="10">
        <f>_xlfn.DAYS(H60,H59)+1</f>
        <v>365</v>
      </c>
      <c r="I62" s="10">
        <f>_xlfn.DAYS(I60,I59)+1</f>
        <v>365</v>
      </c>
      <c r="J62" s="10">
        <f>_xlfn.DAYS(J60,J59)+1</f>
        <v>365</v>
      </c>
      <c r="K62" s="10">
        <f>_xlfn.DAYS(K60,K59)+1</f>
        <v>366</v>
      </c>
      <c r="L62" s="10">
        <f>_xlfn.DAYS(L60,L59)+1</f>
        <v>365</v>
      </c>
      <c r="M62" s="10" t="str">
        <f>(_xlfn.DAYS(M60,M59)+1) &amp; " - TTM"</f>
        <v>365 - TTM</v>
      </c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 spans="1:32">
      <c r="B63" s="5" t="s">
        <v>15</v>
      </c>
      <c r="F63" s="9"/>
      <c r="H63" s="15"/>
      <c r="I63" s="39">
        <f t="shared" ref="I63:L74" si="24">SUMIF($H$7:$AB$7,I$61,$H13:$AB13)</f>
        <v>391505</v>
      </c>
      <c r="J63" s="39">
        <f t="shared" si="24"/>
        <v>467725</v>
      </c>
      <c r="K63" s="39">
        <f t="shared" si="24"/>
        <v>502454</v>
      </c>
      <c r="L63" s="39">
        <f t="shared" si="24"/>
        <v>526191</v>
      </c>
      <c r="M63" s="39">
        <f t="shared" ref="M63:M74" si="25">Y13+SUMIF($H$7:$AB$7,M$61,$H13:$AB13)</f>
        <v>525281</v>
      </c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</row>
    <row r="64" spans="1:32">
      <c r="B64" s="6" t="s">
        <v>17</v>
      </c>
      <c r="F64" s="9"/>
      <c r="H64" s="15"/>
      <c r="I64" s="14">
        <f t="shared" si="24"/>
        <v>210782</v>
      </c>
      <c r="J64" s="14">
        <f t="shared" si="24"/>
        <v>220203</v>
      </c>
      <c r="K64" s="14">
        <f t="shared" si="24"/>
        <v>232221</v>
      </c>
      <c r="L64" s="14">
        <f t="shared" si="24"/>
        <v>238781</v>
      </c>
      <c r="M64" s="14">
        <f t="shared" si="25"/>
        <v>242281</v>
      </c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</row>
    <row r="65" spans="1:29">
      <c r="B65" s="6" t="s">
        <v>18</v>
      </c>
      <c r="F65" s="9"/>
      <c r="H65" s="15"/>
      <c r="I65" s="14">
        <f t="shared" si="24"/>
        <v>37919</v>
      </c>
      <c r="J65" s="14">
        <f t="shared" si="24"/>
        <v>40510</v>
      </c>
      <c r="K65" s="14">
        <f t="shared" si="24"/>
        <v>43449</v>
      </c>
      <c r="L65" s="14">
        <f t="shared" si="24"/>
        <v>45374</v>
      </c>
      <c r="M65" s="14">
        <f t="shared" si="25"/>
        <v>47529</v>
      </c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</row>
    <row r="66" spans="1:29">
      <c r="B66" s="6" t="s">
        <v>19</v>
      </c>
      <c r="F66" s="9"/>
      <c r="H66" s="15"/>
      <c r="I66" s="14">
        <f t="shared" si="24"/>
        <v>87326</v>
      </c>
      <c r="J66" s="14">
        <f t="shared" si="24"/>
        <v>140041</v>
      </c>
      <c r="K66" s="14">
        <f t="shared" si="24"/>
        <v>160333</v>
      </c>
      <c r="L66" s="14">
        <f t="shared" si="24"/>
        <v>168563</v>
      </c>
      <c r="M66" s="14">
        <f t="shared" si="25"/>
        <v>161982</v>
      </c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</row>
    <row r="67" spans="1:29">
      <c r="B67" s="6" t="s">
        <v>20</v>
      </c>
      <c r="F67" s="9"/>
      <c r="H67" s="15"/>
      <c r="I67" s="14">
        <f t="shared" si="24"/>
        <v>55478</v>
      </c>
      <c r="J67" s="14">
        <f t="shared" si="24"/>
        <v>66971</v>
      </c>
      <c r="K67" s="14">
        <f t="shared" si="24"/>
        <v>66451</v>
      </c>
      <c r="L67" s="14">
        <f t="shared" si="24"/>
        <v>73473</v>
      </c>
      <c r="M67" s="14">
        <f t="shared" si="25"/>
        <v>73489</v>
      </c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</row>
    <row r="68" spans="1:29">
      <c r="B68" s="5" t="s">
        <v>21</v>
      </c>
      <c r="F68" s="9"/>
      <c r="H68" s="15"/>
      <c r="I68" s="39">
        <f t="shared" si="24"/>
        <v>80866</v>
      </c>
      <c r="J68" s="39">
        <f t="shared" si="24"/>
        <v>86837</v>
      </c>
      <c r="K68" s="39">
        <f t="shared" si="24"/>
        <v>95220</v>
      </c>
      <c r="L68" s="39">
        <f t="shared" si="24"/>
        <v>101348</v>
      </c>
      <c r="M68" s="39">
        <f t="shared" si="25"/>
        <v>103822</v>
      </c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</row>
    <row r="69" spans="1:29">
      <c r="B69" s="5" t="s">
        <v>22</v>
      </c>
      <c r="F69" s="9"/>
      <c r="H69" s="15"/>
      <c r="I69" s="39">
        <f t="shared" si="24"/>
        <v>69031</v>
      </c>
      <c r="J69" s="39">
        <f t="shared" si="24"/>
        <v>74055</v>
      </c>
      <c r="K69" s="39">
        <f t="shared" si="24"/>
        <v>85149</v>
      </c>
      <c r="L69" s="39">
        <f t="shared" si="24"/>
        <v>92443</v>
      </c>
      <c r="M69" s="39">
        <f t="shared" si="25"/>
        <v>94787</v>
      </c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</row>
    <row r="70" spans="1:29">
      <c r="B70" s="5" t="s">
        <v>23</v>
      </c>
      <c r="F70" s="9"/>
      <c r="H70" s="15"/>
      <c r="I70" s="39">
        <f t="shared" si="24"/>
        <v>28310</v>
      </c>
      <c r="J70" s="39">
        <f t="shared" si="24"/>
        <v>40617</v>
      </c>
      <c r="K70" s="39">
        <f t="shared" si="24"/>
        <v>50097</v>
      </c>
      <c r="L70" s="39">
        <f t="shared" si="24"/>
        <v>56599</v>
      </c>
      <c r="M70" s="39">
        <f t="shared" si="25"/>
        <v>56978</v>
      </c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</row>
    <row r="71" spans="1:29">
      <c r="B71" s="6" t="s">
        <v>24</v>
      </c>
      <c r="F71" s="9"/>
      <c r="H71" s="15"/>
      <c r="I71" s="14">
        <f t="shared" si="24"/>
        <v>2171</v>
      </c>
      <c r="J71" s="14">
        <f t="shared" si="24"/>
        <v>4678</v>
      </c>
      <c r="K71" s="14">
        <f t="shared" si="24"/>
        <v>6082</v>
      </c>
      <c r="L71" s="14">
        <f t="shared" si="24"/>
        <v>7792</v>
      </c>
      <c r="M71" s="14">
        <f t="shared" si="25"/>
        <v>8830</v>
      </c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</row>
    <row r="72" spans="1:29">
      <c r="B72" s="6" t="s">
        <v>25</v>
      </c>
      <c r="F72" s="9"/>
      <c r="H72" s="15"/>
      <c r="I72" s="14">
        <f t="shared" si="24"/>
        <v>14777</v>
      </c>
      <c r="J72" s="14">
        <f t="shared" si="24"/>
        <v>18595</v>
      </c>
      <c r="K72" s="14">
        <f t="shared" si="24"/>
        <v>20722</v>
      </c>
      <c r="L72" s="14">
        <f t="shared" si="24"/>
        <v>23269</v>
      </c>
      <c r="M72" s="14">
        <f t="shared" si="25"/>
        <v>22362</v>
      </c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</row>
    <row r="73" spans="1:29">
      <c r="B73" s="6" t="s">
        <v>26</v>
      </c>
      <c r="F73" s="9"/>
      <c r="H73" s="15"/>
      <c r="I73" s="14">
        <f t="shared" si="24"/>
        <v>11362</v>
      </c>
      <c r="J73" s="14">
        <f t="shared" si="24"/>
        <v>17344</v>
      </c>
      <c r="K73" s="14">
        <f t="shared" si="24"/>
        <v>23293</v>
      </c>
      <c r="L73" s="14">
        <f t="shared" si="24"/>
        <v>25538</v>
      </c>
      <c r="M73" s="14">
        <f t="shared" si="25"/>
        <v>25786</v>
      </c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</row>
    <row r="74" spans="1:29">
      <c r="B74" s="12" t="s">
        <v>27</v>
      </c>
      <c r="C74" s="12"/>
      <c r="D74" s="12"/>
      <c r="E74" s="12"/>
      <c r="F74" s="22"/>
      <c r="G74" s="12"/>
      <c r="H74" s="148"/>
      <c r="I74" s="40">
        <f t="shared" si="24"/>
        <v>569712</v>
      </c>
      <c r="J74" s="40">
        <f t="shared" si="24"/>
        <v>669234</v>
      </c>
      <c r="K74" s="40">
        <f t="shared" si="24"/>
        <v>732920</v>
      </c>
      <c r="L74" s="40">
        <f t="shared" si="24"/>
        <v>776581</v>
      </c>
      <c r="M74" s="40">
        <f t="shared" si="25"/>
        <v>780868</v>
      </c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41"/>
    </row>
    <row r="75" spans="1:29">
      <c r="F75" s="9"/>
      <c r="G75" s="7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 spans="1:29" s="3" customFormat="1">
      <c r="A76" s="4" t="s">
        <v>11</v>
      </c>
      <c r="B76" s="3" t="s">
        <v>48</v>
      </c>
      <c r="F76" s="21"/>
    </row>
    <row r="78" spans="1:29">
      <c r="B78" t="s">
        <v>13</v>
      </c>
      <c r="F78" s="9"/>
      <c r="I78" s="14"/>
      <c r="J78" s="14"/>
      <c r="K78" s="14"/>
      <c r="L78" s="14"/>
    </row>
    <row r="79" spans="1:29">
      <c r="B79" s="5" t="s">
        <v>15</v>
      </c>
      <c r="F79" s="9"/>
      <c r="H79" s="14"/>
      <c r="I79" s="39"/>
      <c r="J79" s="34">
        <f t="shared" ref="J79:M90" si="26">J63/I63-1</f>
        <v>0.19468461450045327</v>
      </c>
      <c r="K79" s="34">
        <f t="shared" si="26"/>
        <v>7.4250895291036345E-2</v>
      </c>
      <c r="L79" s="34">
        <f t="shared" si="26"/>
        <v>4.7242135598482671E-2</v>
      </c>
      <c r="M79" s="34">
        <f t="shared" si="26"/>
        <v>-1.7294100431212156E-3</v>
      </c>
    </row>
    <row r="80" spans="1:29">
      <c r="B80" s="6" t="s">
        <v>17</v>
      </c>
      <c r="F80" s="9"/>
      <c r="H80" s="14"/>
      <c r="I80" s="14"/>
      <c r="J80" s="33">
        <f t="shared" si="26"/>
        <v>4.4695467354897378E-2</v>
      </c>
      <c r="K80" s="33">
        <f t="shared" si="26"/>
        <v>5.457691312107471E-2</v>
      </c>
      <c r="L80" s="33">
        <f t="shared" si="26"/>
        <v>2.8248952506448655E-2</v>
      </c>
      <c r="M80" s="33">
        <f t="shared" si="26"/>
        <v>1.4657782654398765E-2</v>
      </c>
    </row>
    <row r="81" spans="1:28">
      <c r="B81" s="6" t="s">
        <v>18</v>
      </c>
      <c r="F81" s="9"/>
      <c r="H81" s="14"/>
      <c r="I81" s="14"/>
      <c r="J81" s="33">
        <f t="shared" si="26"/>
        <v>6.8329861019541749E-2</v>
      </c>
      <c r="K81" s="33">
        <f t="shared" si="26"/>
        <v>7.2549987657368531E-2</v>
      </c>
      <c r="L81" s="33">
        <f t="shared" si="26"/>
        <v>4.4304817141936459E-2</v>
      </c>
      <c r="M81" s="33">
        <f t="shared" si="26"/>
        <v>4.7494159650901313E-2</v>
      </c>
    </row>
    <row r="82" spans="1:28">
      <c r="B82" s="6" t="s">
        <v>19</v>
      </c>
      <c r="F82" s="9"/>
      <c r="H82" s="14"/>
      <c r="I82" s="14"/>
      <c r="J82" s="33">
        <f t="shared" si="26"/>
        <v>0.6036575590316744</v>
      </c>
      <c r="K82" s="33">
        <f t="shared" si="26"/>
        <v>0.14490042201926578</v>
      </c>
      <c r="L82" s="33">
        <f t="shared" si="26"/>
        <v>5.1330668047126826E-2</v>
      </c>
      <c r="M82" s="33">
        <f t="shared" si="26"/>
        <v>-3.9041782597604491E-2</v>
      </c>
    </row>
    <row r="83" spans="1:28">
      <c r="B83" s="6" t="s">
        <v>20</v>
      </c>
      <c r="F83" s="9"/>
      <c r="H83" s="14"/>
      <c r="I83" s="14"/>
      <c r="J83" s="33">
        <f t="shared" si="26"/>
        <v>0.20716319982695852</v>
      </c>
      <c r="K83" s="33">
        <f t="shared" si="26"/>
        <v>-7.7645548073046466E-3</v>
      </c>
      <c r="L83" s="33">
        <f t="shared" si="26"/>
        <v>0.10567184842966992</v>
      </c>
      <c r="M83" s="33">
        <f t="shared" si="26"/>
        <v>2.1776707089671277E-4</v>
      </c>
    </row>
    <row r="84" spans="1:28">
      <c r="B84" s="5" t="s">
        <v>21</v>
      </c>
      <c r="F84" s="9"/>
      <c r="H84" s="14"/>
      <c r="I84" s="39"/>
      <c r="J84" s="34">
        <f t="shared" si="26"/>
        <v>7.3838201469097031E-2</v>
      </c>
      <c r="K84" s="34">
        <f t="shared" si="26"/>
        <v>9.6537190368161108E-2</v>
      </c>
      <c r="L84" s="34">
        <f t="shared" si="26"/>
        <v>6.4356227683259881E-2</v>
      </c>
      <c r="M84" s="34">
        <f t="shared" si="26"/>
        <v>2.4410940521766511E-2</v>
      </c>
    </row>
    <row r="85" spans="1:28">
      <c r="B85" s="5" t="s">
        <v>22</v>
      </c>
      <c r="F85" s="9"/>
      <c r="H85" s="14"/>
      <c r="I85" s="39"/>
      <c r="J85" s="34">
        <f t="shared" si="26"/>
        <v>7.2778896437832197E-2</v>
      </c>
      <c r="K85" s="34">
        <f t="shared" si="26"/>
        <v>0.14980757545067847</v>
      </c>
      <c r="L85" s="34">
        <f t="shared" si="26"/>
        <v>8.566160495132058E-2</v>
      </c>
      <c r="M85" s="34">
        <f t="shared" si="26"/>
        <v>2.5356165420853838E-2</v>
      </c>
    </row>
    <row r="86" spans="1:28">
      <c r="B86" s="5" t="s">
        <v>23</v>
      </c>
      <c r="F86" s="9"/>
      <c r="H86" s="14"/>
      <c r="I86" s="39"/>
      <c r="J86" s="34">
        <f t="shared" si="26"/>
        <v>0.43472271282232433</v>
      </c>
      <c r="K86" s="34">
        <f t="shared" si="26"/>
        <v>0.23339980796218329</v>
      </c>
      <c r="L86" s="34">
        <f t="shared" si="26"/>
        <v>0.12978821087091053</v>
      </c>
      <c r="M86" s="34">
        <f t="shared" si="26"/>
        <v>6.6962313821798958E-3</v>
      </c>
    </row>
    <row r="87" spans="1:28">
      <c r="B87" s="6" t="s">
        <v>24</v>
      </c>
      <c r="F87" s="9"/>
      <c r="H87" s="14"/>
      <c r="I87" s="14"/>
      <c r="J87" s="33">
        <f t="shared" si="26"/>
        <v>1.1547673883003222</v>
      </c>
      <c r="K87" s="33">
        <f t="shared" si="26"/>
        <v>0.30012825994014536</v>
      </c>
      <c r="L87" s="33">
        <f t="shared" si="26"/>
        <v>0.28115751397566591</v>
      </c>
      <c r="M87" s="33">
        <f t="shared" si="26"/>
        <v>0.1332135523613962</v>
      </c>
    </row>
    <row r="88" spans="1:28">
      <c r="B88" s="6" t="s">
        <v>25</v>
      </c>
      <c r="F88" s="9"/>
      <c r="H88" s="14"/>
      <c r="I88" s="14"/>
      <c r="J88" s="33">
        <f t="shared" si="26"/>
        <v>0.25837450091358183</v>
      </c>
      <c r="K88" s="33">
        <f t="shared" si="26"/>
        <v>0.11438558752352779</v>
      </c>
      <c r="L88" s="33">
        <f t="shared" si="26"/>
        <v>0.12291284625036192</v>
      </c>
      <c r="M88" s="33">
        <f t="shared" si="26"/>
        <v>-3.8978898964287301E-2</v>
      </c>
    </row>
    <row r="89" spans="1:28">
      <c r="B89" s="6" t="s">
        <v>26</v>
      </c>
      <c r="F89" s="9"/>
      <c r="H89" s="14"/>
      <c r="I89" s="14"/>
      <c r="J89" s="33">
        <f t="shared" si="26"/>
        <v>0.52649181482133423</v>
      </c>
      <c r="K89" s="33">
        <f t="shared" si="26"/>
        <v>0.34300046125461248</v>
      </c>
      <c r="L89" s="33">
        <f t="shared" si="26"/>
        <v>9.638088696174818E-2</v>
      </c>
      <c r="M89" s="33">
        <f t="shared" si="26"/>
        <v>9.7110188738349645E-3</v>
      </c>
    </row>
    <row r="90" spans="1:28">
      <c r="B90" s="12" t="s">
        <v>27</v>
      </c>
      <c r="C90" s="12"/>
      <c r="D90" s="12"/>
      <c r="E90" s="12"/>
      <c r="F90" s="22"/>
      <c r="G90" s="12"/>
      <c r="H90" s="13"/>
      <c r="I90" s="40"/>
      <c r="J90" s="35">
        <f t="shared" si="26"/>
        <v>0.17468826354368527</v>
      </c>
      <c r="K90" s="35">
        <f t="shared" si="26"/>
        <v>9.5162529100434323E-2</v>
      </c>
      <c r="L90" s="35">
        <f t="shared" si="26"/>
        <v>5.9571303825792787E-2</v>
      </c>
      <c r="M90" s="35">
        <f t="shared" si="26"/>
        <v>5.520351386397504E-3</v>
      </c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3" spans="1:28" s="3" customFormat="1">
      <c r="A93" s="4" t="s">
        <v>11</v>
      </c>
      <c r="B93" s="3" t="s">
        <v>49</v>
      </c>
      <c r="F93" s="21"/>
    </row>
    <row r="94" spans="1:28">
      <c r="B94" t="s">
        <v>50</v>
      </c>
    </row>
    <row r="95" spans="1:28">
      <c r="B95" t="s">
        <v>51</v>
      </c>
    </row>
    <row r="96" spans="1:28">
      <c r="B96" s="156"/>
    </row>
    <row r="97" spans="2:18">
      <c r="G97" s="139" t="s">
        <v>52</v>
      </c>
      <c r="H97" s="140"/>
      <c r="I97" s="140"/>
      <c r="J97" s="140"/>
      <c r="N97" s="140"/>
      <c r="O97" s="140"/>
      <c r="P97" s="140"/>
    </row>
    <row r="98" spans="2:18">
      <c r="B98" s="1" t="s">
        <v>53</v>
      </c>
      <c r="D98" s="19" t="s">
        <v>54</v>
      </c>
      <c r="G98" s="88" t="s">
        <v>15</v>
      </c>
      <c r="H98" s="89"/>
      <c r="I98" s="89"/>
      <c r="J98" s="138"/>
      <c r="N98" s="9"/>
      <c r="O98" s="9"/>
      <c r="P98" s="9"/>
      <c r="R98" s="11"/>
    </row>
    <row r="99" spans="2:18">
      <c r="B99" s="11" t="s">
        <v>55</v>
      </c>
      <c r="D99" s="93">
        <v>-2.5000000000000001E-2</v>
      </c>
      <c r="F99" s="87"/>
      <c r="G99" s="90" t="s">
        <v>56</v>
      </c>
      <c r="H99" s="91" t="s">
        <v>57</v>
      </c>
      <c r="I99" s="91" t="s">
        <v>58</v>
      </c>
      <c r="J99" s="92" t="s">
        <v>20</v>
      </c>
      <c r="N99" s="145"/>
      <c r="O99" s="145"/>
      <c r="P99" s="145"/>
    </row>
    <row r="100" spans="2:18">
      <c r="B100" s="11" t="s">
        <v>59</v>
      </c>
      <c r="D100" s="93">
        <v>2.5000000000000001E-2</v>
      </c>
      <c r="G100" s="98">
        <v>0.25</v>
      </c>
      <c r="H100" s="99">
        <v>0.25</v>
      </c>
      <c r="I100" s="99">
        <v>0.25</v>
      </c>
      <c r="J100" s="100">
        <v>0.25</v>
      </c>
      <c r="N100" s="145"/>
      <c r="O100" s="145"/>
      <c r="P100" s="145"/>
    </row>
    <row r="101" spans="2:18">
      <c r="B101" s="11" t="s">
        <v>60</v>
      </c>
      <c r="D101" s="93">
        <v>4.2000000000000003E-2</v>
      </c>
      <c r="G101" s="98">
        <v>0.25</v>
      </c>
      <c r="H101" s="99">
        <v>0.25</v>
      </c>
      <c r="I101" s="99">
        <v>0.25</v>
      </c>
      <c r="J101" s="100">
        <v>0.25</v>
      </c>
      <c r="N101" s="145"/>
      <c r="O101" s="145"/>
      <c r="P101" s="145"/>
    </row>
    <row r="102" spans="2:18">
      <c r="B102" s="11" t="s">
        <v>61</v>
      </c>
      <c r="D102" s="93">
        <v>0.05</v>
      </c>
      <c r="G102" s="98">
        <v>0.25</v>
      </c>
      <c r="H102" s="99">
        <v>0.25</v>
      </c>
      <c r="I102" s="99">
        <v>0.25</v>
      </c>
      <c r="J102" s="100">
        <v>0.25</v>
      </c>
      <c r="N102" s="145"/>
      <c r="O102" s="145"/>
      <c r="P102" s="145"/>
    </row>
    <row r="103" spans="2:18">
      <c r="B103" s="11" t="s">
        <v>62</v>
      </c>
      <c r="D103" s="93"/>
      <c r="G103" s="98">
        <v>0.25</v>
      </c>
      <c r="H103" s="99">
        <v>0.25</v>
      </c>
      <c r="I103" s="99">
        <v>0.25</v>
      </c>
      <c r="J103" s="100">
        <v>0.25</v>
      </c>
      <c r="N103" s="145"/>
      <c r="O103" s="145"/>
      <c r="P103" s="145"/>
    </row>
    <row r="104" spans="2:18">
      <c r="B104" s="11" t="s">
        <v>63</v>
      </c>
      <c r="D104" s="93"/>
      <c r="G104" s="98">
        <v>0</v>
      </c>
      <c r="H104" s="99">
        <v>0</v>
      </c>
      <c r="I104" s="99">
        <v>0</v>
      </c>
      <c r="J104" s="100">
        <v>0</v>
      </c>
      <c r="N104" s="145"/>
      <c r="O104" s="145"/>
      <c r="P104" s="145"/>
    </row>
    <row r="105" spans="2:18">
      <c r="B105" s="5"/>
      <c r="G105" s="98">
        <v>0</v>
      </c>
      <c r="H105" s="99">
        <v>0</v>
      </c>
      <c r="I105" s="99">
        <v>0</v>
      </c>
      <c r="J105" s="100">
        <v>0</v>
      </c>
      <c r="N105" s="146"/>
      <c r="O105" s="146"/>
      <c r="P105" s="146"/>
    </row>
    <row r="106" spans="2:18">
      <c r="B106" s="5"/>
      <c r="G106" s="95">
        <f>$D99*G100+$D100*G101+$D101*G102+$D102*G103+$D103*G104+$D104*G105</f>
        <v>2.3E-2</v>
      </c>
      <c r="H106" s="96">
        <f>$D99*H100+$D100*H101+$D101*H102+$D102*H103+$D103*H104+$D104*H105</f>
        <v>2.3E-2</v>
      </c>
      <c r="I106" s="96">
        <f>$D99*I100+$D100*I101+$D101*I102+$D102*I103+$D103*I104+$D104*I105</f>
        <v>2.3E-2</v>
      </c>
      <c r="J106" s="97">
        <f>$D99*J100+$D100*J101+$D101*J102+$D102*J103+$D103*J104+$D104*J105</f>
        <v>2.3E-2</v>
      </c>
      <c r="K106" s="143" t="s">
        <v>64</v>
      </c>
      <c r="N106" s="137"/>
      <c r="O106" s="137"/>
      <c r="P106" s="137"/>
    </row>
    <row r="107" spans="2:18">
      <c r="B107" s="5"/>
      <c r="G107" s="149">
        <f>SUM(G100:G105)</f>
        <v>1</v>
      </c>
      <c r="H107" s="149">
        <f t="shared" ref="H107:J107" si="27">SUM(H100:H105)</f>
        <v>1</v>
      </c>
      <c r="I107" s="149">
        <f t="shared" si="27"/>
        <v>1</v>
      </c>
      <c r="J107" s="149">
        <f t="shared" si="27"/>
        <v>1</v>
      </c>
      <c r="K107" s="143" t="s">
        <v>65</v>
      </c>
      <c r="N107" s="137"/>
      <c r="O107" s="137"/>
      <c r="P107" s="137"/>
      <c r="Q107" s="141"/>
    </row>
    <row r="108" spans="2:18">
      <c r="B108" s="147" t="s">
        <v>66</v>
      </c>
      <c r="D108" s="153">
        <f>G106</f>
        <v>2.3E-2</v>
      </c>
      <c r="E108" s="7"/>
      <c r="F108" s="7"/>
      <c r="G108" s="137"/>
      <c r="H108" s="137"/>
      <c r="I108" s="36"/>
      <c r="J108" s="137"/>
      <c r="K108" s="141"/>
      <c r="N108" s="137"/>
      <c r="O108" s="137"/>
      <c r="P108" s="137"/>
      <c r="Q108" s="141"/>
    </row>
    <row r="109" spans="2:18">
      <c r="B109" s="147" t="s">
        <v>67</v>
      </c>
      <c r="D109" s="154">
        <f>E29</f>
        <v>0.65527908802647361</v>
      </c>
      <c r="E109" s="7"/>
      <c r="F109" s="137"/>
      <c r="G109" s="137"/>
      <c r="H109" s="36"/>
      <c r="I109" s="137"/>
      <c r="J109" s="141"/>
      <c r="K109" s="137"/>
      <c r="L109" s="137"/>
      <c r="M109" s="137"/>
      <c r="N109" s="137"/>
      <c r="O109" s="137"/>
      <c r="P109" s="137"/>
      <c r="Q109" s="141"/>
    </row>
    <row r="110" spans="2:18">
      <c r="B110" s="147"/>
      <c r="E110" s="7"/>
      <c r="F110" s="137"/>
      <c r="G110" s="137"/>
      <c r="H110" s="36"/>
      <c r="I110" s="137"/>
      <c r="J110" s="141"/>
      <c r="K110" s="137"/>
      <c r="L110" s="137"/>
      <c r="M110" s="137"/>
      <c r="N110" s="137"/>
      <c r="O110" s="137"/>
      <c r="P110" s="137"/>
      <c r="Q110" s="141"/>
    </row>
    <row r="111" spans="2:18">
      <c r="B111" s="11"/>
    </row>
    <row r="112" spans="2:18">
      <c r="B112" s="157"/>
    </row>
    <row r="113" spans="2:35">
      <c r="B113" t="s">
        <v>68</v>
      </c>
    </row>
    <row r="114" spans="2:35">
      <c r="B114" t="s">
        <v>69</v>
      </c>
      <c r="K114" s="19" t="s">
        <v>70</v>
      </c>
      <c r="L114" s="19" t="s">
        <v>70</v>
      </c>
      <c r="M114" s="19" t="s">
        <v>70</v>
      </c>
      <c r="N114" s="19" t="s">
        <v>70</v>
      </c>
      <c r="O114" s="19" t="s">
        <v>71</v>
      </c>
    </row>
    <row r="115" spans="2:35">
      <c r="J115" s="7" t="s">
        <v>5</v>
      </c>
      <c r="K115" s="76">
        <v>45658</v>
      </c>
      <c r="L115" s="77">
        <f>K116+1</f>
        <v>45748</v>
      </c>
      <c r="M115" s="77">
        <f t="shared" ref="M115:AI115" si="28">L116+1</f>
        <v>45839</v>
      </c>
      <c r="N115" s="77">
        <f t="shared" si="28"/>
        <v>45931</v>
      </c>
      <c r="O115" s="77">
        <f t="shared" si="28"/>
        <v>46023</v>
      </c>
      <c r="P115" s="77">
        <f t="shared" si="28"/>
        <v>46113</v>
      </c>
      <c r="Q115" s="77">
        <f t="shared" si="28"/>
        <v>46204</v>
      </c>
      <c r="R115" s="77">
        <f t="shared" si="28"/>
        <v>46296</v>
      </c>
      <c r="S115" s="77">
        <f t="shared" si="28"/>
        <v>46388</v>
      </c>
      <c r="T115" s="77">
        <f t="shared" si="28"/>
        <v>46478</v>
      </c>
      <c r="U115" s="77">
        <f t="shared" si="28"/>
        <v>46569</v>
      </c>
      <c r="V115" s="77">
        <f t="shared" si="28"/>
        <v>46661</v>
      </c>
      <c r="W115" s="77">
        <f t="shared" si="28"/>
        <v>46753</v>
      </c>
      <c r="X115" s="77">
        <f t="shared" si="28"/>
        <v>46844</v>
      </c>
      <c r="Y115" s="77">
        <f t="shared" si="28"/>
        <v>46935</v>
      </c>
      <c r="Z115" s="77">
        <f t="shared" si="28"/>
        <v>47027</v>
      </c>
      <c r="AA115" s="77">
        <f t="shared" si="28"/>
        <v>47119</v>
      </c>
      <c r="AB115" s="77">
        <f t="shared" si="28"/>
        <v>47209</v>
      </c>
      <c r="AC115" s="77">
        <f t="shared" si="28"/>
        <v>47300</v>
      </c>
      <c r="AD115" s="77">
        <f t="shared" si="28"/>
        <v>47392</v>
      </c>
      <c r="AE115" s="77">
        <f t="shared" si="28"/>
        <v>47484</v>
      </c>
      <c r="AF115" s="77">
        <f t="shared" si="28"/>
        <v>47574</v>
      </c>
      <c r="AG115" s="77">
        <f t="shared" si="28"/>
        <v>47665</v>
      </c>
      <c r="AH115" s="77">
        <f t="shared" si="28"/>
        <v>47757</v>
      </c>
      <c r="AI115" s="78">
        <f t="shared" si="28"/>
        <v>47849</v>
      </c>
    </row>
    <row r="116" spans="2:35">
      <c r="J116" s="7" t="s">
        <v>6</v>
      </c>
      <c r="K116" s="79">
        <f>EOMONTH(K115,2)</f>
        <v>45747</v>
      </c>
      <c r="L116" s="8">
        <f>EOMONTH(L115,2)</f>
        <v>45838</v>
      </c>
      <c r="M116" s="8">
        <f t="shared" ref="M116:AF116" si="29">EOMONTH(M115,2)</f>
        <v>45930</v>
      </c>
      <c r="N116" s="8">
        <f t="shared" si="29"/>
        <v>46022</v>
      </c>
      <c r="O116" s="8">
        <f t="shared" si="29"/>
        <v>46112</v>
      </c>
      <c r="P116" s="8">
        <f t="shared" si="29"/>
        <v>46203</v>
      </c>
      <c r="Q116" s="8">
        <f t="shared" si="29"/>
        <v>46295</v>
      </c>
      <c r="R116" s="8">
        <f t="shared" si="29"/>
        <v>46387</v>
      </c>
      <c r="S116" s="8">
        <f t="shared" si="29"/>
        <v>46477</v>
      </c>
      <c r="T116" s="8">
        <f t="shared" si="29"/>
        <v>46568</v>
      </c>
      <c r="U116" s="8">
        <f t="shared" si="29"/>
        <v>46660</v>
      </c>
      <c r="V116" s="8">
        <f t="shared" si="29"/>
        <v>46752</v>
      </c>
      <c r="W116" s="8">
        <f t="shared" si="29"/>
        <v>46843</v>
      </c>
      <c r="X116" s="8">
        <f t="shared" si="29"/>
        <v>46934</v>
      </c>
      <c r="Y116" s="8">
        <f t="shared" si="29"/>
        <v>47026</v>
      </c>
      <c r="Z116" s="8">
        <f t="shared" si="29"/>
        <v>47118</v>
      </c>
      <c r="AA116" s="8">
        <f t="shared" si="29"/>
        <v>47208</v>
      </c>
      <c r="AB116" s="8">
        <f t="shared" si="29"/>
        <v>47299</v>
      </c>
      <c r="AC116" s="8">
        <f t="shared" si="29"/>
        <v>47391</v>
      </c>
      <c r="AD116" s="8">
        <f t="shared" si="29"/>
        <v>47483</v>
      </c>
      <c r="AE116" s="8">
        <f t="shared" si="29"/>
        <v>47573</v>
      </c>
      <c r="AF116" s="8">
        <f t="shared" si="29"/>
        <v>47664</v>
      </c>
      <c r="AG116" s="8">
        <f t="shared" ref="AG116" si="30">EOMONTH(AG115,2)</f>
        <v>47756</v>
      </c>
      <c r="AH116" s="8">
        <f t="shared" ref="AH116" si="31">EOMONTH(AH115,2)</f>
        <v>47848</v>
      </c>
      <c r="AI116" s="80">
        <f t="shared" ref="AI116" si="32">EOMONTH(AI115,2)</f>
        <v>47938</v>
      </c>
    </row>
    <row r="117" spans="2:35">
      <c r="J117" s="7" t="s">
        <v>7</v>
      </c>
      <c r="K117" s="81">
        <f t="shared" ref="K117:AI117" si="33">IF(MONTH(K116)&gt;3,YEAR(K116)+1,YEAR(K116))</f>
        <v>2025</v>
      </c>
      <c r="L117" s="9">
        <f t="shared" si="33"/>
        <v>2026</v>
      </c>
      <c r="M117" s="9">
        <f t="shared" si="33"/>
        <v>2026</v>
      </c>
      <c r="N117" s="9">
        <f t="shared" si="33"/>
        <v>2026</v>
      </c>
      <c r="O117" s="9">
        <f t="shared" si="33"/>
        <v>2026</v>
      </c>
      <c r="P117" s="9">
        <f t="shared" si="33"/>
        <v>2027</v>
      </c>
      <c r="Q117" s="9">
        <f t="shared" si="33"/>
        <v>2027</v>
      </c>
      <c r="R117" s="9">
        <f t="shared" si="33"/>
        <v>2027</v>
      </c>
      <c r="S117" s="9">
        <f t="shared" si="33"/>
        <v>2027</v>
      </c>
      <c r="T117" s="9">
        <f t="shared" si="33"/>
        <v>2028</v>
      </c>
      <c r="U117" s="9">
        <f t="shared" si="33"/>
        <v>2028</v>
      </c>
      <c r="V117" s="9">
        <f t="shared" si="33"/>
        <v>2028</v>
      </c>
      <c r="W117" s="9">
        <f t="shared" si="33"/>
        <v>2028</v>
      </c>
      <c r="X117" s="9">
        <f t="shared" si="33"/>
        <v>2029</v>
      </c>
      <c r="Y117" s="9">
        <f t="shared" si="33"/>
        <v>2029</v>
      </c>
      <c r="Z117" s="9">
        <f t="shared" si="33"/>
        <v>2029</v>
      </c>
      <c r="AA117" s="9">
        <f t="shared" si="33"/>
        <v>2029</v>
      </c>
      <c r="AB117" s="9">
        <f t="shared" si="33"/>
        <v>2030</v>
      </c>
      <c r="AC117" s="9">
        <f t="shared" si="33"/>
        <v>2030</v>
      </c>
      <c r="AD117" s="9">
        <f t="shared" si="33"/>
        <v>2030</v>
      </c>
      <c r="AE117" s="9">
        <f t="shared" si="33"/>
        <v>2030</v>
      </c>
      <c r="AF117" s="9">
        <f t="shared" si="33"/>
        <v>2031</v>
      </c>
      <c r="AG117" s="9">
        <f t="shared" si="33"/>
        <v>2031</v>
      </c>
      <c r="AH117" s="9">
        <f t="shared" si="33"/>
        <v>2031</v>
      </c>
      <c r="AI117" s="82">
        <f t="shared" si="33"/>
        <v>2031</v>
      </c>
    </row>
    <row r="118" spans="2:35">
      <c r="J118" s="7" t="s">
        <v>9</v>
      </c>
      <c r="K118" s="81" t="str">
        <f t="shared" ref="K118:AI118" si="34">IF(MONTH(K115)=4,"Q1",IF(MONTH(K115)=7,"Q2",IF(MONTH(K115)=10,"Q3","Q4")))</f>
        <v>Q4</v>
      </c>
      <c r="L118" s="9" t="str">
        <f t="shared" si="34"/>
        <v>Q1</v>
      </c>
      <c r="M118" s="9" t="str">
        <f t="shared" si="34"/>
        <v>Q2</v>
      </c>
      <c r="N118" s="9" t="str">
        <f t="shared" si="34"/>
        <v>Q3</v>
      </c>
      <c r="O118" s="9" t="str">
        <f t="shared" si="34"/>
        <v>Q4</v>
      </c>
      <c r="P118" s="9" t="str">
        <f t="shared" si="34"/>
        <v>Q1</v>
      </c>
      <c r="Q118" s="9" t="str">
        <f t="shared" si="34"/>
        <v>Q2</v>
      </c>
      <c r="R118" s="9" t="str">
        <f t="shared" si="34"/>
        <v>Q3</v>
      </c>
      <c r="S118" s="9" t="str">
        <f t="shared" si="34"/>
        <v>Q4</v>
      </c>
      <c r="T118" s="9" t="str">
        <f t="shared" si="34"/>
        <v>Q1</v>
      </c>
      <c r="U118" s="9" t="str">
        <f t="shared" si="34"/>
        <v>Q2</v>
      </c>
      <c r="V118" s="9" t="str">
        <f t="shared" si="34"/>
        <v>Q3</v>
      </c>
      <c r="W118" s="9" t="str">
        <f t="shared" si="34"/>
        <v>Q4</v>
      </c>
      <c r="X118" s="9" t="str">
        <f t="shared" si="34"/>
        <v>Q1</v>
      </c>
      <c r="Y118" s="9" t="str">
        <f t="shared" si="34"/>
        <v>Q2</v>
      </c>
      <c r="Z118" s="9" t="str">
        <f t="shared" si="34"/>
        <v>Q3</v>
      </c>
      <c r="AA118" s="9" t="str">
        <f t="shared" si="34"/>
        <v>Q4</v>
      </c>
      <c r="AB118" s="9" t="str">
        <f t="shared" si="34"/>
        <v>Q1</v>
      </c>
      <c r="AC118" s="9" t="str">
        <f t="shared" si="34"/>
        <v>Q2</v>
      </c>
      <c r="AD118" s="9" t="str">
        <f t="shared" si="34"/>
        <v>Q3</v>
      </c>
      <c r="AE118" s="9" t="str">
        <f t="shared" si="34"/>
        <v>Q4</v>
      </c>
      <c r="AF118" s="9" t="str">
        <f t="shared" si="34"/>
        <v>Q1</v>
      </c>
      <c r="AG118" s="9" t="str">
        <f t="shared" si="34"/>
        <v>Q2</v>
      </c>
      <c r="AH118" s="9" t="str">
        <f t="shared" si="34"/>
        <v>Q3</v>
      </c>
      <c r="AI118" s="82" t="str">
        <f t="shared" si="34"/>
        <v>Q4</v>
      </c>
    </row>
    <row r="119" spans="2:35">
      <c r="J119" s="7" t="s">
        <v>10</v>
      </c>
      <c r="K119" s="83">
        <f t="shared" ref="K119:AI119" si="35">_xlfn.DAYS(K116,K115)+1</f>
        <v>90</v>
      </c>
      <c r="L119" s="84">
        <f t="shared" si="35"/>
        <v>91</v>
      </c>
      <c r="M119" s="84">
        <f t="shared" si="35"/>
        <v>92</v>
      </c>
      <c r="N119" s="84">
        <f t="shared" si="35"/>
        <v>92</v>
      </c>
      <c r="O119" s="84">
        <f t="shared" si="35"/>
        <v>90</v>
      </c>
      <c r="P119" s="84">
        <f t="shared" si="35"/>
        <v>91</v>
      </c>
      <c r="Q119" s="84">
        <f t="shared" si="35"/>
        <v>92</v>
      </c>
      <c r="R119" s="84">
        <f t="shared" si="35"/>
        <v>92</v>
      </c>
      <c r="S119" s="84">
        <f t="shared" si="35"/>
        <v>90</v>
      </c>
      <c r="T119" s="84">
        <f t="shared" si="35"/>
        <v>91</v>
      </c>
      <c r="U119" s="84">
        <f t="shared" si="35"/>
        <v>92</v>
      </c>
      <c r="V119" s="84">
        <f t="shared" si="35"/>
        <v>92</v>
      </c>
      <c r="W119" s="84">
        <f t="shared" si="35"/>
        <v>91</v>
      </c>
      <c r="X119" s="84">
        <f t="shared" si="35"/>
        <v>91</v>
      </c>
      <c r="Y119" s="84">
        <f t="shared" si="35"/>
        <v>92</v>
      </c>
      <c r="Z119" s="84">
        <f t="shared" si="35"/>
        <v>92</v>
      </c>
      <c r="AA119" s="84">
        <f t="shared" si="35"/>
        <v>90</v>
      </c>
      <c r="AB119" s="84">
        <f t="shared" si="35"/>
        <v>91</v>
      </c>
      <c r="AC119" s="84">
        <f t="shared" si="35"/>
        <v>92</v>
      </c>
      <c r="AD119" s="84">
        <f t="shared" si="35"/>
        <v>92</v>
      </c>
      <c r="AE119" s="84">
        <f t="shared" si="35"/>
        <v>90</v>
      </c>
      <c r="AF119" s="84">
        <f t="shared" si="35"/>
        <v>91</v>
      </c>
      <c r="AG119" s="84">
        <f t="shared" si="35"/>
        <v>92</v>
      </c>
      <c r="AH119" s="84">
        <f t="shared" si="35"/>
        <v>92</v>
      </c>
      <c r="AI119" s="85">
        <f t="shared" si="35"/>
        <v>90</v>
      </c>
    </row>
    <row r="120" spans="2:35">
      <c r="C120" s="19" t="s">
        <v>72</v>
      </c>
      <c r="D120" s="19" t="s">
        <v>73</v>
      </c>
      <c r="E120" s="19" t="s">
        <v>74</v>
      </c>
      <c r="F120" s="19" t="s">
        <v>75</v>
      </c>
      <c r="G120" s="19" t="s">
        <v>76</v>
      </c>
      <c r="H120" s="19" t="s">
        <v>77</v>
      </c>
      <c r="I120" s="19" t="s">
        <v>78</v>
      </c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</row>
    <row r="121" spans="2:35">
      <c r="B121" s="11" t="s">
        <v>17</v>
      </c>
      <c r="C121" s="94">
        <v>0.04</v>
      </c>
      <c r="D121" s="102">
        <f>G106</f>
        <v>2.3E-2</v>
      </c>
      <c r="E121" s="103">
        <v>0.02</v>
      </c>
      <c r="F121" s="102">
        <f t="shared" ref="F121:F126" si="36">AF45</f>
        <v>4.0620274231765841E-2</v>
      </c>
      <c r="G121" s="102">
        <v>8.3000000000000004E-2</v>
      </c>
      <c r="H121" s="101">
        <f t="shared" ref="H121:H129" si="37">SUM(C121:E121)</f>
        <v>8.3000000000000004E-2</v>
      </c>
      <c r="I121" s="101">
        <f t="shared" ref="I121:I129" si="38">H121+2%</f>
        <v>0.10300000000000001</v>
      </c>
      <c r="K121" s="14">
        <v>58642</v>
      </c>
      <c r="L121" s="14">
        <v>52940</v>
      </c>
      <c r="M121" s="14">
        <v>60064</v>
      </c>
      <c r="N121" s="14">
        <v>70635</v>
      </c>
      <c r="O121" s="104">
        <f t="shared" ref="O121:O129" si="39">K121*(1+$G121)</f>
        <v>63509.286</v>
      </c>
      <c r="P121" s="14">
        <f t="shared" ref="P121:P129" si="40">L121*(1+$G121)</f>
        <v>57334.02</v>
      </c>
      <c r="Q121" s="14">
        <f t="shared" ref="Q121:Q129" si="41">M121*(1+$G121)</f>
        <v>65049.311999999998</v>
      </c>
      <c r="R121" s="14">
        <f t="shared" ref="R121:R129" si="42">N121*(1+$G121)</f>
        <v>76497.705000000002</v>
      </c>
      <c r="S121" s="14">
        <f t="shared" ref="S121:S129" si="43">O121*(1+$G121)</f>
        <v>68780.556737999999</v>
      </c>
      <c r="T121" s="14">
        <f t="shared" ref="T121:T129" si="44">P121*(1+$G121)</f>
        <v>62092.743659999993</v>
      </c>
      <c r="U121" s="14">
        <f t="shared" ref="U121:U129" si="45">Q121*(1+$G121)</f>
        <v>70448.404895999993</v>
      </c>
      <c r="V121" s="14">
        <f t="shared" ref="V121:V129" si="46">R121*(1+$G121)</f>
        <v>82847.014515000003</v>
      </c>
      <c r="W121" s="14">
        <f t="shared" ref="W121:W129" si="47">S121*(1+$G121)</f>
        <v>74489.342947254001</v>
      </c>
      <c r="X121" s="14">
        <f t="shared" ref="X121:X129" si="48">T121*(1+$G121)</f>
        <v>67246.441383779995</v>
      </c>
      <c r="Y121" s="14">
        <f t="shared" ref="Y121:Y129" si="49">U121*(1+$G121)</f>
        <v>76295.622502367987</v>
      </c>
      <c r="Z121" s="14">
        <f t="shared" ref="Z121:Z129" si="50">V121*(1+$G121)</f>
        <v>89723.316719744995</v>
      </c>
      <c r="AA121" s="14">
        <f t="shared" ref="AA121:AA129" si="51">W121*(1+$G121)</f>
        <v>80671.958411876083</v>
      </c>
      <c r="AB121" s="14">
        <f t="shared" ref="AB121:AB129" si="52">X121*(1+$G121)</f>
        <v>72827.896018633735</v>
      </c>
      <c r="AC121" s="14">
        <f t="shared" ref="AC121:AC129" si="53">Y121*(1+$G121)</f>
        <v>82628.159170064522</v>
      </c>
      <c r="AD121" s="14">
        <f t="shared" ref="AD121:AD129" si="54">Z121*(1+$G121)</f>
        <v>97170.352007483831</v>
      </c>
      <c r="AE121" s="14">
        <f t="shared" ref="AE121:AE129" si="55">AA121*(1+$G121)</f>
        <v>87367.730960061788</v>
      </c>
      <c r="AF121" s="14">
        <f t="shared" ref="AF121:AF129" si="56">AB121*(1+$G121)</f>
        <v>78872.611388180332</v>
      </c>
      <c r="AG121" s="14">
        <f t="shared" ref="AG121:AG129" si="57">AC121*(1+$G121)</f>
        <v>89486.296381179869</v>
      </c>
      <c r="AH121" s="14">
        <f t="shared" ref="AH121:AH129" si="58">AD121*(1+$G121)</f>
        <v>105235.49122410499</v>
      </c>
      <c r="AI121" s="14">
        <f t="shared" ref="AI121:AI129" si="59">AE121*(1+$G121)</f>
        <v>94619.252629746916</v>
      </c>
    </row>
    <row r="122" spans="2:35">
      <c r="B122" s="11" t="s">
        <v>18</v>
      </c>
      <c r="C122" s="101">
        <v>0</v>
      </c>
      <c r="D122" s="102">
        <f>H106</f>
        <v>2.3E-2</v>
      </c>
      <c r="E122" s="103">
        <v>0.06</v>
      </c>
      <c r="F122" s="102">
        <f t="shared" si="36"/>
        <v>5.7164080505046622E-2</v>
      </c>
      <c r="G122" s="102">
        <v>8.299999999999999E-2</v>
      </c>
      <c r="H122" s="101">
        <f t="shared" si="37"/>
        <v>8.299999999999999E-2</v>
      </c>
      <c r="I122" s="101">
        <f t="shared" si="38"/>
        <v>0.10299999999999999</v>
      </c>
      <c r="K122" s="14">
        <v>11263</v>
      </c>
      <c r="L122" s="14">
        <v>11635</v>
      </c>
      <c r="M122" s="14">
        <v>11543</v>
      </c>
      <c r="N122" s="14">
        <v>13088</v>
      </c>
      <c r="O122" s="104">
        <f t="shared" si="39"/>
        <v>12197.829</v>
      </c>
      <c r="P122" s="14">
        <f t="shared" si="40"/>
        <v>12600.705</v>
      </c>
      <c r="Q122" s="14">
        <f t="shared" si="41"/>
        <v>12501.069</v>
      </c>
      <c r="R122" s="14">
        <f t="shared" si="42"/>
        <v>14174.304</v>
      </c>
      <c r="S122" s="14">
        <f t="shared" si="43"/>
        <v>13210.248807</v>
      </c>
      <c r="T122" s="14">
        <f t="shared" si="44"/>
        <v>13646.563515</v>
      </c>
      <c r="U122" s="14">
        <f t="shared" si="45"/>
        <v>13538.657727</v>
      </c>
      <c r="V122" s="14">
        <f t="shared" si="46"/>
        <v>15350.771231999999</v>
      </c>
      <c r="W122" s="14">
        <f t="shared" si="47"/>
        <v>14306.699457981</v>
      </c>
      <c r="X122" s="14">
        <f t="shared" si="48"/>
        <v>14779.228286744999</v>
      </c>
      <c r="Y122" s="14">
        <f t="shared" si="49"/>
        <v>14662.366318340999</v>
      </c>
      <c r="Z122" s="14">
        <f t="shared" si="50"/>
        <v>16624.885244255998</v>
      </c>
      <c r="AA122" s="14">
        <f t="shared" si="51"/>
        <v>15494.155512993422</v>
      </c>
      <c r="AB122" s="14">
        <f t="shared" si="52"/>
        <v>16005.904234544834</v>
      </c>
      <c r="AC122" s="14">
        <f t="shared" si="53"/>
        <v>15879.342722763302</v>
      </c>
      <c r="AD122" s="14">
        <f t="shared" si="54"/>
        <v>18004.750719529246</v>
      </c>
      <c r="AE122" s="14">
        <f t="shared" si="55"/>
        <v>16780.170420571874</v>
      </c>
      <c r="AF122" s="14">
        <f t="shared" si="56"/>
        <v>17334.394286012055</v>
      </c>
      <c r="AG122" s="14">
        <f t="shared" si="57"/>
        <v>17197.328168752654</v>
      </c>
      <c r="AH122" s="14">
        <f t="shared" si="58"/>
        <v>19499.145029250172</v>
      </c>
      <c r="AI122" s="14">
        <f t="shared" si="59"/>
        <v>18172.924565479338</v>
      </c>
    </row>
    <row r="123" spans="2:35">
      <c r="B123" s="11" t="s">
        <v>19</v>
      </c>
      <c r="C123" s="94">
        <v>0.03</v>
      </c>
      <c r="D123" s="102">
        <f>I106</f>
        <v>2.3E-2</v>
      </c>
      <c r="E123" s="103">
        <v>0.08</v>
      </c>
      <c r="F123" s="102">
        <f t="shared" si="36"/>
        <v>0.20213139936040414</v>
      </c>
      <c r="G123" s="102">
        <v>0.13300000000000001</v>
      </c>
      <c r="H123" s="101">
        <f t="shared" si="37"/>
        <v>0.13300000000000001</v>
      </c>
      <c r="I123" s="101">
        <f t="shared" si="38"/>
        <v>0.153</v>
      </c>
      <c r="K123" s="14">
        <v>42955</v>
      </c>
      <c r="L123" s="14">
        <v>33380</v>
      </c>
      <c r="M123" s="14">
        <v>41043</v>
      </c>
      <c r="N123" s="14">
        <v>44604</v>
      </c>
      <c r="O123" s="104">
        <f t="shared" si="39"/>
        <v>48668.014999999999</v>
      </c>
      <c r="P123" s="14">
        <f t="shared" si="40"/>
        <v>37819.54</v>
      </c>
      <c r="Q123" s="14">
        <f t="shared" si="41"/>
        <v>46501.718999999997</v>
      </c>
      <c r="R123" s="14">
        <f t="shared" si="42"/>
        <v>50536.332000000002</v>
      </c>
      <c r="S123" s="14">
        <f t="shared" si="43"/>
        <v>55140.860995000003</v>
      </c>
      <c r="T123" s="14">
        <f t="shared" si="44"/>
        <v>42849.538820000002</v>
      </c>
      <c r="U123" s="14">
        <f t="shared" si="45"/>
        <v>52686.447626999994</v>
      </c>
      <c r="V123" s="14">
        <f t="shared" si="46"/>
        <v>57257.664156000006</v>
      </c>
      <c r="W123" s="14">
        <f t="shared" si="47"/>
        <v>62474.595507335005</v>
      </c>
      <c r="X123" s="14">
        <f t="shared" si="48"/>
        <v>48548.527483060003</v>
      </c>
      <c r="Y123" s="14">
        <f t="shared" si="49"/>
        <v>59693.745161390994</v>
      </c>
      <c r="Z123" s="14">
        <f t="shared" si="50"/>
        <v>64872.933488748007</v>
      </c>
      <c r="AA123" s="14">
        <f t="shared" si="51"/>
        <v>70783.716709810556</v>
      </c>
      <c r="AB123" s="14">
        <f t="shared" si="52"/>
        <v>55005.481638306985</v>
      </c>
      <c r="AC123" s="14">
        <f t="shared" si="53"/>
        <v>67633.013267856004</v>
      </c>
      <c r="AD123" s="14">
        <f t="shared" si="54"/>
        <v>73501.033642751499</v>
      </c>
      <c r="AE123" s="14">
        <f t="shared" si="55"/>
        <v>80197.951032215366</v>
      </c>
      <c r="AF123" s="14">
        <f t="shared" si="56"/>
        <v>62321.210696201815</v>
      </c>
      <c r="AG123" s="14">
        <f t="shared" si="57"/>
        <v>76628.204032480848</v>
      </c>
      <c r="AH123" s="14">
        <f t="shared" si="58"/>
        <v>83276.671117237449</v>
      </c>
      <c r="AI123" s="14">
        <f t="shared" si="59"/>
        <v>90864.278519500003</v>
      </c>
    </row>
    <row r="124" spans="2:35">
      <c r="B124" s="11" t="s">
        <v>20</v>
      </c>
      <c r="C124" s="94">
        <v>0.02</v>
      </c>
      <c r="D124" s="102">
        <f>J106</f>
        <v>2.3E-2</v>
      </c>
      <c r="E124" s="103">
        <v>0.02</v>
      </c>
      <c r="F124" s="102">
        <f t="shared" si="36"/>
        <v>9.8374072681480129E-2</v>
      </c>
      <c r="G124" s="102">
        <v>6.3E-2</v>
      </c>
      <c r="H124" s="102">
        <f t="shared" si="37"/>
        <v>6.3E-2</v>
      </c>
      <c r="I124" s="102">
        <f t="shared" si="38"/>
        <v>8.3000000000000004E-2</v>
      </c>
      <c r="K124" s="14">
        <v>19945</v>
      </c>
      <c r="L124" s="14">
        <v>16689</v>
      </c>
      <c r="M124" s="14">
        <v>19190</v>
      </c>
      <c r="N124" s="14">
        <v>17665</v>
      </c>
      <c r="O124" s="104">
        <f t="shared" si="39"/>
        <v>21201.535</v>
      </c>
      <c r="P124" s="14">
        <f t="shared" si="40"/>
        <v>17740.406999999999</v>
      </c>
      <c r="Q124" s="14">
        <f t="shared" si="41"/>
        <v>20398.969999999998</v>
      </c>
      <c r="R124" s="14">
        <f t="shared" si="42"/>
        <v>18777.895</v>
      </c>
      <c r="S124" s="14">
        <f t="shared" si="43"/>
        <v>22537.231704999998</v>
      </c>
      <c r="T124" s="14">
        <f t="shared" si="44"/>
        <v>18858.052640999998</v>
      </c>
      <c r="U124" s="14">
        <f t="shared" si="45"/>
        <v>21684.105109999997</v>
      </c>
      <c r="V124" s="14">
        <f t="shared" si="46"/>
        <v>19960.902385000001</v>
      </c>
      <c r="W124" s="14">
        <f t="shared" si="47"/>
        <v>23957.077302414997</v>
      </c>
      <c r="X124" s="14">
        <f t="shared" si="48"/>
        <v>20046.109957382996</v>
      </c>
      <c r="Y124" s="14">
        <f t="shared" si="49"/>
        <v>23050.203731929996</v>
      </c>
      <c r="Z124" s="14">
        <f t="shared" si="50"/>
        <v>21218.439235254998</v>
      </c>
      <c r="AA124" s="14">
        <f t="shared" si="51"/>
        <v>25466.373172467142</v>
      </c>
      <c r="AB124" s="14">
        <f t="shared" si="52"/>
        <v>21309.014884698125</v>
      </c>
      <c r="AC124" s="14">
        <f t="shared" si="53"/>
        <v>24502.366567041583</v>
      </c>
      <c r="AD124" s="14">
        <f t="shared" si="54"/>
        <v>22555.200907076061</v>
      </c>
      <c r="AE124" s="14">
        <f t="shared" si="55"/>
        <v>27070.754682332568</v>
      </c>
      <c r="AF124" s="14">
        <f t="shared" si="56"/>
        <v>22651.482822434104</v>
      </c>
      <c r="AG124" s="14">
        <f t="shared" si="57"/>
        <v>26046.015660765202</v>
      </c>
      <c r="AH124" s="14">
        <f t="shared" si="58"/>
        <v>23976.178564221853</v>
      </c>
      <c r="AI124" s="14">
        <f t="shared" si="59"/>
        <v>28776.21222731952</v>
      </c>
    </row>
    <row r="125" spans="2:35">
      <c r="B125" s="16" t="s">
        <v>21</v>
      </c>
      <c r="C125" s="165">
        <v>0</v>
      </c>
      <c r="D125" s="134">
        <v>0</v>
      </c>
      <c r="E125" s="166">
        <f>F125</f>
        <v>6.9745178243917128E-2</v>
      </c>
      <c r="F125" s="134">
        <f t="shared" si="36"/>
        <v>6.9745178243917128E-2</v>
      </c>
      <c r="G125" s="134">
        <v>6.9745178243917128E-2</v>
      </c>
      <c r="H125" s="165">
        <f t="shared" si="37"/>
        <v>6.9745178243917128E-2</v>
      </c>
      <c r="I125" s="165">
        <f t="shared" si="38"/>
        <v>8.9745178243917131E-2</v>
      </c>
      <c r="K125" s="14">
        <v>24584</v>
      </c>
      <c r="L125" s="14">
        <v>26154</v>
      </c>
      <c r="M125" s="14">
        <v>26096</v>
      </c>
      <c r="N125" s="14">
        <v>26988</v>
      </c>
      <c r="O125" s="104">
        <f t="shared" si="39"/>
        <v>26298.615461948459</v>
      </c>
      <c r="P125" s="14">
        <f t="shared" si="40"/>
        <v>27978.115391791409</v>
      </c>
      <c r="Q125" s="14">
        <f t="shared" si="41"/>
        <v>27916.070171453262</v>
      </c>
      <c r="R125" s="14">
        <f t="shared" si="42"/>
        <v>28870.282870446834</v>
      </c>
      <c r="S125" s="14">
        <f t="shared" si="43"/>
        <v>28132.81708491029</v>
      </c>
      <c r="T125" s="14">
        <f t="shared" si="44"/>
        <v>29929.454036720781</v>
      </c>
      <c r="U125" s="14">
        <f t="shared" si="45"/>
        <v>29863.081461430967</v>
      </c>
      <c r="V125" s="14">
        <f t="shared" si="46"/>
        <v>30883.845895198454</v>
      </c>
      <c r="W125" s="14">
        <f t="shared" si="47"/>
        <v>30094.945427000875</v>
      </c>
      <c r="X125" s="14">
        <f t="shared" si="48"/>
        <v>32016.889143254997</v>
      </c>
      <c r="Y125" s="14">
        <f t="shared" si="49"/>
        <v>31945.887400871088</v>
      </c>
      <c r="Z125" s="14">
        <f t="shared" si="50"/>
        <v>33037.845232016742</v>
      </c>
      <c r="AA125" s="14">
        <f t="shared" si="51"/>
        <v>32193.922760048012</v>
      </c>
      <c r="AB125" s="14">
        <f t="shared" si="52"/>
        <v>34249.91278336705</v>
      </c>
      <c r="AC125" s="14">
        <f t="shared" si="53"/>
        <v>34173.959011804945</v>
      </c>
      <c r="AD125" s="14">
        <f t="shared" si="54"/>
        <v>35342.075636518697</v>
      </c>
      <c r="AE125" s="14">
        <f t="shared" si="55"/>
        <v>34439.293641318458</v>
      </c>
      <c r="AF125" s="14">
        <f t="shared" si="56"/>
        <v>36638.679055281602</v>
      </c>
      <c r="AG125" s="14">
        <f t="shared" si="57"/>
        <v>36557.427874383597</v>
      </c>
      <c r="AH125" s="14">
        <f t="shared" si="58"/>
        <v>37807.015001297696</v>
      </c>
      <c r="AI125" s="14">
        <f t="shared" si="59"/>
        <v>36841.268314926812</v>
      </c>
    </row>
    <row r="126" spans="2:35">
      <c r="B126" s="11" t="s">
        <v>22</v>
      </c>
      <c r="C126" s="101">
        <v>0</v>
      </c>
      <c r="D126" s="102">
        <v>0</v>
      </c>
      <c r="E126" s="103">
        <f>F126</f>
        <v>0.19027874023200719</v>
      </c>
      <c r="F126" s="102">
        <f t="shared" si="36"/>
        <v>0.19027874023200719</v>
      </c>
      <c r="G126" s="102">
        <v>0.19027874023200719</v>
      </c>
      <c r="H126" s="101">
        <f t="shared" si="37"/>
        <v>0.19027874023200719</v>
      </c>
      <c r="I126" s="101">
        <f t="shared" si="38"/>
        <v>0.21027874023200718</v>
      </c>
      <c r="K126" s="14">
        <v>22658</v>
      </c>
      <c r="L126" s="14">
        <v>23743</v>
      </c>
      <c r="M126" s="14">
        <v>23460</v>
      </c>
      <c r="N126" s="14">
        <v>24926</v>
      </c>
      <c r="O126" s="104">
        <f t="shared" si="39"/>
        <v>26969.335696176819</v>
      </c>
      <c r="P126" s="14">
        <f t="shared" si="40"/>
        <v>28260.788129328546</v>
      </c>
      <c r="Q126" s="14">
        <f t="shared" si="41"/>
        <v>27923.939245842888</v>
      </c>
      <c r="R126" s="14">
        <f t="shared" si="42"/>
        <v>29668.887879023012</v>
      </c>
      <c r="S126" s="14">
        <f t="shared" si="43"/>
        <v>32101.026917339448</v>
      </c>
      <c r="T126" s="14">
        <f t="shared" si="44"/>
        <v>33638.215292540845</v>
      </c>
      <c r="U126" s="14">
        <f t="shared" si="45"/>
        <v>33237.271227856982</v>
      </c>
      <c r="V126" s="14">
        <f t="shared" si="46"/>
        <v>35314.246488728175</v>
      </c>
      <c r="W126" s="14">
        <f t="shared" si="47"/>
        <v>38209.169879324552</v>
      </c>
      <c r="X126" s="14">
        <f t="shared" si="48"/>
        <v>40038.852522058558</v>
      </c>
      <c r="Y126" s="14">
        <f t="shared" si="49"/>
        <v>39561.617325843144</v>
      </c>
      <c r="Z126" s="14">
        <f t="shared" si="50"/>
        <v>42033.796822845958</v>
      </c>
      <c r="AA126" s="14">
        <f t="shared" si="51"/>
        <v>45479.562589273184</v>
      </c>
      <c r="AB126" s="14">
        <f t="shared" si="52"/>
        <v>47657.394940290986</v>
      </c>
      <c r="AC126" s="14">
        <f t="shared" si="53"/>
        <v>47089.352032145325</v>
      </c>
      <c r="AD126" s="14">
        <f t="shared" si="54"/>
        <v>50031.934729465233</v>
      </c>
      <c r="AE126" s="14">
        <f t="shared" si="55"/>
        <v>54133.35646506281</v>
      </c>
      <c r="AF126" s="14">
        <f t="shared" si="56"/>
        <v>56725.584012268788</v>
      </c>
      <c r="AG126" s="14">
        <f t="shared" si="57"/>
        <v>56049.454615163442</v>
      </c>
      <c r="AH126" s="14">
        <f t="shared" si="58"/>
        <v>59551.948241157887</v>
      </c>
      <c r="AI126" s="14">
        <f t="shared" si="59"/>
        <v>64433.783337765148</v>
      </c>
    </row>
    <row r="127" spans="2:35">
      <c r="B127" s="11" t="s">
        <v>24</v>
      </c>
      <c r="C127" s="94">
        <v>0.02</v>
      </c>
      <c r="D127" s="102">
        <f>N105</f>
        <v>0</v>
      </c>
      <c r="E127" s="103">
        <f>F127</f>
        <v>0.47072557490066225</v>
      </c>
      <c r="F127" s="102">
        <f>AF52</f>
        <v>0.47072557490066225</v>
      </c>
      <c r="G127" s="102">
        <v>0.49072557490066226</v>
      </c>
      <c r="H127" s="101">
        <f t="shared" si="37"/>
        <v>0.49072557490066226</v>
      </c>
      <c r="I127" s="101">
        <f t="shared" si="38"/>
        <v>0.51072557490066228</v>
      </c>
      <c r="K127" s="14">
        <v>2210</v>
      </c>
      <c r="L127" s="14">
        <v>1907</v>
      </c>
      <c r="M127" s="14">
        <v>2383</v>
      </c>
      <c r="N127" s="14">
        <v>2330</v>
      </c>
      <c r="O127" s="104">
        <f t="shared" si="39"/>
        <v>3294.5035205304634</v>
      </c>
      <c r="P127" s="14">
        <f t="shared" si="40"/>
        <v>2842.813671335563</v>
      </c>
      <c r="Q127" s="14">
        <f t="shared" si="41"/>
        <v>3552.3990449882781</v>
      </c>
      <c r="R127" s="14">
        <f t="shared" si="42"/>
        <v>3473.390589518543</v>
      </c>
      <c r="S127" s="14">
        <f t="shared" si="43"/>
        <v>4911.200654655031</v>
      </c>
      <c r="T127" s="14">
        <f t="shared" si="44"/>
        <v>4237.8550445371693</v>
      </c>
      <c r="U127" s="14">
        <f t="shared" si="45"/>
        <v>5295.652108616714</v>
      </c>
      <c r="V127" s="14">
        <f t="shared" si="46"/>
        <v>5177.8721834145799</v>
      </c>
      <c r="W127" s="14">
        <f t="shared" si="47"/>
        <v>7321.2524193631298</v>
      </c>
      <c r="X127" s="14">
        <f t="shared" si="48"/>
        <v>6317.4788976133432</v>
      </c>
      <c r="Y127" s="14">
        <f t="shared" si="49"/>
        <v>7894.3640340915554</v>
      </c>
      <c r="Z127" s="14">
        <f t="shared" si="50"/>
        <v>7718.7864873828466</v>
      </c>
      <c r="AA127" s="14">
        <f t="shared" si="51"/>
        <v>10913.978221847967</v>
      </c>
      <c r="AB127" s="14">
        <f t="shared" si="52"/>
        <v>9417.6273615674527</v>
      </c>
      <c r="AC127" s="14">
        <f t="shared" si="53"/>
        <v>11768.330363196244</v>
      </c>
      <c r="AD127" s="14">
        <f t="shared" si="54"/>
        <v>11506.592423939257</v>
      </c>
      <c r="AE127" s="14">
        <f t="shared" si="55"/>
        <v>16269.746459217618</v>
      </c>
      <c r="AF127" s="14">
        <f t="shared" si="56"/>
        <v>14039.097962772848</v>
      </c>
      <c r="AG127" s="14">
        <f t="shared" si="57"/>
        <v>17543.351046296641</v>
      </c>
      <c r="AH127" s="14">
        <f t="shared" si="58"/>
        <v>17153.171606324453</v>
      </c>
      <c r="AI127" s="14">
        <f t="shared" si="59"/>
        <v>24253.727143905198</v>
      </c>
    </row>
    <row r="128" spans="2:35">
      <c r="B128" s="11" t="s">
        <v>25</v>
      </c>
      <c r="C128" s="101">
        <v>0</v>
      </c>
      <c r="D128" s="102">
        <f>O105</f>
        <v>0</v>
      </c>
      <c r="E128" s="103">
        <f>F128</f>
        <v>0.1054560396818196</v>
      </c>
      <c r="F128" s="102">
        <f>AF53</f>
        <v>0.1054560396818196</v>
      </c>
      <c r="G128" s="102">
        <v>0.1054560396818196</v>
      </c>
      <c r="H128" s="101">
        <f t="shared" si="37"/>
        <v>0.1054560396818196</v>
      </c>
      <c r="I128" s="101">
        <f t="shared" si="38"/>
        <v>0.12545603968181959</v>
      </c>
      <c r="K128" s="14">
        <v>5691</v>
      </c>
      <c r="L128" s="14">
        <v>5064</v>
      </c>
      <c r="M128" s="14">
        <v>5656</v>
      </c>
      <c r="N128" s="14">
        <v>5951</v>
      </c>
      <c r="O128" s="104">
        <f t="shared" si="39"/>
        <v>6291.1503218292355</v>
      </c>
      <c r="P128" s="14">
        <f t="shared" si="40"/>
        <v>5598.0293849487343</v>
      </c>
      <c r="Q128" s="14">
        <f t="shared" si="41"/>
        <v>6252.4593604403717</v>
      </c>
      <c r="R128" s="14">
        <f t="shared" si="42"/>
        <v>6578.568892146508</v>
      </c>
      <c r="S128" s="14">
        <f t="shared" si="43"/>
        <v>6954.5901198123511</v>
      </c>
      <c r="T128" s="14">
        <f t="shared" si="44"/>
        <v>6188.3753939078806</v>
      </c>
      <c r="U128" s="14">
        <f t="shared" si="45"/>
        <v>6911.8189628639357</v>
      </c>
      <c r="V128" s="14">
        <f t="shared" si="46"/>
        <v>7272.3187142862944</v>
      </c>
      <c r="W128" s="14">
        <f t="shared" si="47"/>
        <v>7687.9936514580731</v>
      </c>
      <c r="X128" s="14">
        <f t="shared" si="48"/>
        <v>6840.9769550138262</v>
      </c>
      <c r="Y128" s="14">
        <f t="shared" si="49"/>
        <v>7640.7120176852677</v>
      </c>
      <c r="Z128" s="14">
        <f t="shared" si="50"/>
        <v>8039.2286451989094</v>
      </c>
      <c r="AA128" s="14">
        <f t="shared" si="51"/>
        <v>8498.7390150398132</v>
      </c>
      <c r="AB128" s="14">
        <f t="shared" si="52"/>
        <v>7562.3992922441776</v>
      </c>
      <c r="AC128" s="14">
        <f t="shared" si="53"/>
        <v>8446.4712474196403</v>
      </c>
      <c r="AD128" s="14">
        <f t="shared" si="54"/>
        <v>8887.0138602182269</v>
      </c>
      <c r="AE128" s="14">
        <f t="shared" si="55"/>
        <v>9394.9823738552805</v>
      </c>
      <c r="AF128" s="14">
        <f t="shared" si="56"/>
        <v>8359.8999720968441</v>
      </c>
      <c r="AG128" s="14">
        <f t="shared" si="57"/>
        <v>9337.2026544588734</v>
      </c>
      <c r="AH128" s="14">
        <f t="shared" si="58"/>
        <v>9824.2031465142809</v>
      </c>
      <c r="AI128" s="14">
        <f t="shared" si="59"/>
        <v>10385.740007882559</v>
      </c>
    </row>
    <row r="129" spans="1:35">
      <c r="B129" s="11" t="s">
        <v>26</v>
      </c>
      <c r="C129" s="101">
        <v>0</v>
      </c>
      <c r="D129" s="102">
        <f>P105</f>
        <v>0</v>
      </c>
      <c r="E129" s="103">
        <f>F129</f>
        <v>0.1815164437798058</v>
      </c>
      <c r="F129" s="102">
        <f>AF54</f>
        <v>0.1815164437798058</v>
      </c>
      <c r="G129" s="102">
        <v>0.1815164437798058</v>
      </c>
      <c r="H129" s="102">
        <f t="shared" si="37"/>
        <v>0.1815164437798058</v>
      </c>
      <c r="I129" s="102">
        <f t="shared" si="38"/>
        <v>0.20151644377980579</v>
      </c>
      <c r="K129" s="14">
        <v>6368</v>
      </c>
      <c r="L129" s="14">
        <v>5515</v>
      </c>
      <c r="M129" s="14">
        <v>6772</v>
      </c>
      <c r="N129" s="14">
        <v>7131</v>
      </c>
      <c r="O129" s="105">
        <f t="shared" si="39"/>
        <v>7523.8967139898032</v>
      </c>
      <c r="P129" s="14">
        <f t="shared" si="40"/>
        <v>6516.0631874456294</v>
      </c>
      <c r="Q129" s="14">
        <f t="shared" si="41"/>
        <v>8001.2293572768449</v>
      </c>
      <c r="R129" s="14">
        <f t="shared" si="42"/>
        <v>8425.3937605937954</v>
      </c>
      <c r="S129" s="14">
        <f t="shared" si="43"/>
        <v>8889.6076888797998</v>
      </c>
      <c r="T129" s="14">
        <f t="shared" si="44"/>
        <v>7698.8358046752664</v>
      </c>
      <c r="U129" s="14">
        <f t="shared" si="45"/>
        <v>9453.584056076319</v>
      </c>
      <c r="V129" s="14">
        <f t="shared" si="46"/>
        <v>9954.7412734613463</v>
      </c>
      <c r="W129" s="14">
        <f t="shared" si="47"/>
        <v>10503.217663162879</v>
      </c>
      <c r="X129" s="14">
        <f t="shared" si="48"/>
        <v>9096.301101184561</v>
      </c>
      <c r="Y129" s="14">
        <f t="shared" si="49"/>
        <v>11169.565014908765</v>
      </c>
      <c r="Z129" s="14">
        <f t="shared" si="50"/>
        <v>11761.690508168105</v>
      </c>
      <c r="AA129" s="14">
        <f t="shared" si="51"/>
        <v>12409.724381625447</v>
      </c>
      <c r="AB129" s="14">
        <f t="shared" si="52"/>
        <v>10747.429328621914</v>
      </c>
      <c r="AC129" s="14">
        <f t="shared" si="53"/>
        <v>13197.024734982338</v>
      </c>
      <c r="AD129" s="14">
        <f t="shared" si="54"/>
        <v>13896.630742049476</v>
      </c>
      <c r="AE129" s="14">
        <f t="shared" si="55"/>
        <v>14662.293419665648</v>
      </c>
      <c r="AF129" s="14">
        <f t="shared" si="56"/>
        <v>12698.264480128149</v>
      </c>
      <c r="AG129" s="14">
        <f t="shared" si="57"/>
        <v>15592.501733350467</v>
      </c>
      <c r="AH129" s="14">
        <f t="shared" si="58"/>
        <v>16419.097734867421</v>
      </c>
      <c r="AI129" s="14">
        <f t="shared" si="59"/>
        <v>17323.740778859403</v>
      </c>
    </row>
    <row r="130" spans="1:35">
      <c r="B130" s="16" t="s">
        <v>27</v>
      </c>
      <c r="C130" s="12"/>
      <c r="D130" s="12"/>
      <c r="E130" s="12"/>
      <c r="F130" s="134"/>
      <c r="G130" s="134"/>
      <c r="H130" s="12"/>
      <c r="I130" s="12"/>
      <c r="K130" s="13">
        <f t="shared" ref="K130:AI130" si="60">SUM(K121:K129)</f>
        <v>194316</v>
      </c>
      <c r="L130" s="13">
        <f t="shared" si="60"/>
        <v>177027</v>
      </c>
      <c r="M130" s="13">
        <f t="shared" si="60"/>
        <v>196207</v>
      </c>
      <c r="N130" s="13">
        <f t="shared" si="60"/>
        <v>213318</v>
      </c>
      <c r="O130" s="13">
        <f t="shared" si="60"/>
        <v>215954.16671447485</v>
      </c>
      <c r="P130" s="13">
        <f t="shared" si="60"/>
        <v>196690.48176484986</v>
      </c>
      <c r="Q130" s="13">
        <f t="shared" si="60"/>
        <v>218097.16718000162</v>
      </c>
      <c r="R130" s="13">
        <f t="shared" si="60"/>
        <v>237002.75999172867</v>
      </c>
      <c r="S130" s="13">
        <f t="shared" si="60"/>
        <v>240658.1407105969</v>
      </c>
      <c r="T130" s="13">
        <f t="shared" si="60"/>
        <v>219139.63420838196</v>
      </c>
      <c r="U130" s="13">
        <f t="shared" si="60"/>
        <v>243119.02317684493</v>
      </c>
      <c r="V130" s="13">
        <f t="shared" si="60"/>
        <v>264019.37684308889</v>
      </c>
      <c r="W130" s="13">
        <f t="shared" si="60"/>
        <v>269044.29425529449</v>
      </c>
      <c r="X130" s="13">
        <f t="shared" si="60"/>
        <v>244930.80573009327</v>
      </c>
      <c r="Y130" s="13">
        <f t="shared" si="60"/>
        <v>271914.08350742981</v>
      </c>
      <c r="Z130" s="13">
        <f t="shared" si="60"/>
        <v>295030.92238361656</v>
      </c>
      <c r="AA130" s="13">
        <f t="shared" si="60"/>
        <v>301912.13077498158</v>
      </c>
      <c r="AB130" s="13">
        <f t="shared" si="60"/>
        <v>274783.06048227526</v>
      </c>
      <c r="AC130" s="13">
        <f t="shared" si="60"/>
        <v>305318.01911727397</v>
      </c>
      <c r="AD130" s="13">
        <f t="shared" si="60"/>
        <v>330895.58466903155</v>
      </c>
      <c r="AE130" s="13">
        <f t="shared" si="60"/>
        <v>340316.27945430146</v>
      </c>
      <c r="AF130" s="13">
        <f t="shared" si="60"/>
        <v>309641.22467537649</v>
      </c>
      <c r="AG130" s="13">
        <f t="shared" si="60"/>
        <v>344437.7821668316</v>
      </c>
      <c r="AH130" s="13">
        <f t="shared" si="60"/>
        <v>372742.92166497617</v>
      </c>
      <c r="AI130" s="13">
        <f t="shared" si="60"/>
        <v>385670.92752538488</v>
      </c>
    </row>
    <row r="131" spans="1:35">
      <c r="B131" s="11"/>
      <c r="D131" s="19" t="s">
        <v>79</v>
      </c>
      <c r="E131" s="19" t="s">
        <v>80</v>
      </c>
      <c r="F131" s="102"/>
      <c r="G131" s="102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</row>
    <row r="132" spans="1:35">
      <c r="B132" s="11" t="s">
        <v>28</v>
      </c>
      <c r="D132" s="153">
        <f>$G$106</f>
        <v>2.3E-2</v>
      </c>
      <c r="E132" s="153">
        <f>$E$29</f>
        <v>0.65527908802647361</v>
      </c>
      <c r="F132" s="102"/>
      <c r="G132" s="167"/>
      <c r="K132" s="14">
        <v>-128891</v>
      </c>
      <c r="L132" s="14">
        <v>-116570</v>
      </c>
      <c r="M132" s="14">
        <v>-128399</v>
      </c>
      <c r="N132" s="158">
        <v>-138740</v>
      </c>
      <c r="O132" s="14">
        <f t="shared" ref="O132:AI132" si="61">SUM(O121:O124)/O130*K132*(1+$D$132)-SUM(O125:O129)*$E$132</f>
        <v>-135001.890436324</v>
      </c>
      <c r="P132" s="14">
        <f t="shared" si="61"/>
        <v>-122739.05889286578</v>
      </c>
      <c r="Q132" s="14">
        <f t="shared" si="61"/>
        <v>-135256.49596830769</v>
      </c>
      <c r="R132" s="14">
        <f t="shared" si="61"/>
        <v>-146276.36920448323</v>
      </c>
      <c r="S132" s="14">
        <f t="shared" si="61"/>
        <v>-144700.04395417316</v>
      </c>
      <c r="T132" s="14">
        <f t="shared" si="61"/>
        <v>-132285.5075075365</v>
      </c>
      <c r="U132" s="14">
        <f t="shared" si="61"/>
        <v>-145669.14180626645</v>
      </c>
      <c r="V132" s="14">
        <f t="shared" si="61"/>
        <v>-157482.07186863307</v>
      </c>
      <c r="W132" s="14">
        <f t="shared" si="61"/>
        <v>-157886.31450601417</v>
      </c>
      <c r="X132" s="14">
        <f t="shared" si="61"/>
        <v>-145019.75648556583</v>
      </c>
      <c r="Y132" s="14">
        <f t="shared" si="61"/>
        <v>-159551.80774015663</v>
      </c>
      <c r="Z132" s="14">
        <f t="shared" si="61"/>
        <v>-172309.24107408393</v>
      </c>
      <c r="AA132" s="14">
        <f t="shared" si="61"/>
        <v>-174689.68860933051</v>
      </c>
      <c r="AB132" s="14">
        <f t="shared" si="61"/>
        <v>-161004.83515934186</v>
      </c>
      <c r="AC132" s="14">
        <f t="shared" si="61"/>
        <v>-177060.9588526451</v>
      </c>
      <c r="AD132" s="14">
        <f t="shared" si="61"/>
        <v>-190939.14169253997</v>
      </c>
      <c r="AE132" s="14">
        <f t="shared" si="61"/>
        <v>-195484.76269591553</v>
      </c>
      <c r="AF132" s="14">
        <f t="shared" si="61"/>
        <v>-180553.3552089025</v>
      </c>
      <c r="AG132" s="14">
        <f t="shared" si="61"/>
        <v>-198612.41696270177</v>
      </c>
      <c r="AH132" s="14">
        <f t="shared" si="61"/>
        <v>-213803.90781348932</v>
      </c>
      <c r="AI132" s="14">
        <f t="shared" si="61"/>
        <v>-220936.51525016426</v>
      </c>
    </row>
    <row r="134" spans="1:35" s="3" customFormat="1">
      <c r="A134" s="4" t="s">
        <v>11</v>
      </c>
      <c r="B134" s="3" t="s">
        <v>81</v>
      </c>
      <c r="F134" s="21"/>
    </row>
    <row r="135" spans="1:35" s="1" customFormat="1">
      <c r="A135" s="24"/>
      <c r="F135" s="19"/>
    </row>
    <row r="136" spans="1:35" s="1" customFormat="1">
      <c r="A136" s="24"/>
      <c r="F136" s="19"/>
      <c r="L136" s="19" t="s">
        <v>70</v>
      </c>
      <c r="M136" s="19" t="s">
        <v>71</v>
      </c>
    </row>
    <row r="137" spans="1:35">
      <c r="K137" s="7" t="s">
        <v>7</v>
      </c>
      <c r="L137" s="160">
        <f t="shared" ref="L137:U139" si="62">N117</f>
        <v>2026</v>
      </c>
      <c r="M137" s="22">
        <f t="shared" si="62"/>
        <v>2026</v>
      </c>
      <c r="N137" s="22">
        <f t="shared" si="62"/>
        <v>2027</v>
      </c>
      <c r="O137" s="22">
        <f t="shared" si="62"/>
        <v>2027</v>
      </c>
      <c r="P137" s="22">
        <f t="shared" si="62"/>
        <v>2027</v>
      </c>
      <c r="Q137" s="22">
        <f t="shared" si="62"/>
        <v>2027</v>
      </c>
      <c r="R137" s="22">
        <f t="shared" si="62"/>
        <v>2028</v>
      </c>
      <c r="S137" s="22">
        <f t="shared" si="62"/>
        <v>2028</v>
      </c>
      <c r="T137" s="22">
        <f t="shared" si="62"/>
        <v>2028</v>
      </c>
      <c r="U137" s="22">
        <f t="shared" si="62"/>
        <v>2028</v>
      </c>
      <c r="V137" s="22">
        <f t="shared" ref="V137:AE139" si="63">X117</f>
        <v>2029</v>
      </c>
      <c r="W137" s="22">
        <f t="shared" si="63"/>
        <v>2029</v>
      </c>
      <c r="X137" s="22">
        <f t="shared" si="63"/>
        <v>2029</v>
      </c>
      <c r="Y137" s="22">
        <f t="shared" si="63"/>
        <v>2029</v>
      </c>
      <c r="Z137" s="22">
        <f t="shared" si="63"/>
        <v>2030</v>
      </c>
      <c r="AA137" s="22">
        <f t="shared" si="63"/>
        <v>2030</v>
      </c>
      <c r="AB137" s="22">
        <f t="shared" si="63"/>
        <v>2030</v>
      </c>
      <c r="AC137" s="22">
        <f t="shared" si="63"/>
        <v>2030</v>
      </c>
      <c r="AD137" s="22">
        <f t="shared" si="63"/>
        <v>2031</v>
      </c>
      <c r="AE137" s="22">
        <f t="shared" si="63"/>
        <v>2031</v>
      </c>
      <c r="AF137" s="22">
        <f t="shared" ref="AF137:AG139" si="64">AH117</f>
        <v>2031</v>
      </c>
      <c r="AG137" s="161">
        <f t="shared" si="64"/>
        <v>2031</v>
      </c>
    </row>
    <row r="138" spans="1:35">
      <c r="K138" s="7" t="s">
        <v>9</v>
      </c>
      <c r="L138" s="81" t="str">
        <f t="shared" si="62"/>
        <v>Q3</v>
      </c>
      <c r="M138" s="9" t="str">
        <f t="shared" si="62"/>
        <v>Q4</v>
      </c>
      <c r="N138" s="9" t="str">
        <f t="shared" si="62"/>
        <v>Q1</v>
      </c>
      <c r="O138" s="9" t="str">
        <f t="shared" si="62"/>
        <v>Q2</v>
      </c>
      <c r="P138" s="9" t="str">
        <f t="shared" si="62"/>
        <v>Q3</v>
      </c>
      <c r="Q138" s="9" t="str">
        <f t="shared" si="62"/>
        <v>Q4</v>
      </c>
      <c r="R138" s="9" t="str">
        <f t="shared" si="62"/>
        <v>Q1</v>
      </c>
      <c r="S138" s="9" t="str">
        <f t="shared" si="62"/>
        <v>Q2</v>
      </c>
      <c r="T138" s="9" t="str">
        <f t="shared" si="62"/>
        <v>Q3</v>
      </c>
      <c r="U138" s="9" t="str">
        <f t="shared" si="62"/>
        <v>Q4</v>
      </c>
      <c r="V138" s="9" t="str">
        <f t="shared" si="63"/>
        <v>Q1</v>
      </c>
      <c r="W138" s="9" t="str">
        <f t="shared" si="63"/>
        <v>Q2</v>
      </c>
      <c r="X138" s="9" t="str">
        <f t="shared" si="63"/>
        <v>Q3</v>
      </c>
      <c r="Y138" s="9" t="str">
        <f t="shared" si="63"/>
        <v>Q4</v>
      </c>
      <c r="Z138" s="9" t="str">
        <f t="shared" si="63"/>
        <v>Q1</v>
      </c>
      <c r="AA138" s="9" t="str">
        <f t="shared" si="63"/>
        <v>Q2</v>
      </c>
      <c r="AB138" s="9" t="str">
        <f t="shared" si="63"/>
        <v>Q3</v>
      </c>
      <c r="AC138" s="9" t="str">
        <f t="shared" si="63"/>
        <v>Q4</v>
      </c>
      <c r="AD138" s="9" t="str">
        <f t="shared" si="63"/>
        <v>Q1</v>
      </c>
      <c r="AE138" s="9" t="str">
        <f t="shared" si="63"/>
        <v>Q2</v>
      </c>
      <c r="AF138" s="9" t="str">
        <f t="shared" si="64"/>
        <v>Q3</v>
      </c>
      <c r="AG138" s="82" t="str">
        <f t="shared" si="64"/>
        <v>Q4</v>
      </c>
    </row>
    <row r="139" spans="1:35">
      <c r="B139" s="11"/>
      <c r="K139" s="7" t="s">
        <v>10</v>
      </c>
      <c r="L139" s="83">
        <f t="shared" si="62"/>
        <v>92</v>
      </c>
      <c r="M139" s="84">
        <f t="shared" si="62"/>
        <v>90</v>
      </c>
      <c r="N139" s="84">
        <f t="shared" si="62"/>
        <v>91</v>
      </c>
      <c r="O139" s="84">
        <f t="shared" si="62"/>
        <v>92</v>
      </c>
      <c r="P139" s="84">
        <f t="shared" si="62"/>
        <v>92</v>
      </c>
      <c r="Q139" s="84">
        <f t="shared" si="62"/>
        <v>90</v>
      </c>
      <c r="R139" s="84">
        <f t="shared" si="62"/>
        <v>91</v>
      </c>
      <c r="S139" s="84">
        <f t="shared" si="62"/>
        <v>92</v>
      </c>
      <c r="T139" s="84">
        <f t="shared" si="62"/>
        <v>92</v>
      </c>
      <c r="U139" s="84">
        <f t="shared" si="62"/>
        <v>91</v>
      </c>
      <c r="V139" s="84">
        <f t="shared" si="63"/>
        <v>91</v>
      </c>
      <c r="W139" s="84">
        <f t="shared" si="63"/>
        <v>92</v>
      </c>
      <c r="X139" s="84">
        <f t="shared" si="63"/>
        <v>92</v>
      </c>
      <c r="Y139" s="84">
        <f t="shared" si="63"/>
        <v>90</v>
      </c>
      <c r="Z139" s="84">
        <f t="shared" si="63"/>
        <v>91</v>
      </c>
      <c r="AA139" s="84">
        <f t="shared" si="63"/>
        <v>92</v>
      </c>
      <c r="AB139" s="84">
        <f t="shared" si="63"/>
        <v>92</v>
      </c>
      <c r="AC139" s="84">
        <f t="shared" si="63"/>
        <v>90</v>
      </c>
      <c r="AD139" s="84">
        <f t="shared" si="63"/>
        <v>91</v>
      </c>
      <c r="AE139" s="84">
        <f t="shared" si="63"/>
        <v>92</v>
      </c>
      <c r="AF139" s="84">
        <f t="shared" si="64"/>
        <v>92</v>
      </c>
      <c r="AG139" s="85">
        <f t="shared" si="64"/>
        <v>90</v>
      </c>
    </row>
    <row r="140" spans="1:35">
      <c r="B140" s="11"/>
      <c r="D140" s="91" t="s">
        <v>37</v>
      </c>
      <c r="E140" s="91" t="s">
        <v>38</v>
      </c>
      <c r="F140" s="91" t="s">
        <v>39</v>
      </c>
      <c r="G140" s="91" t="s">
        <v>40</v>
      </c>
      <c r="H140" s="143"/>
      <c r="L140" s="7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</row>
    <row r="141" spans="1:35" s="1" customFormat="1">
      <c r="A141" s="24"/>
      <c r="B141" s="11" t="s">
        <v>82</v>
      </c>
      <c r="C141" s="159">
        <v>2</v>
      </c>
      <c r="D141" s="155">
        <f t="shared" ref="D141:G143" si="65">C37</f>
        <v>54.524052223939883</v>
      </c>
      <c r="E141" s="155">
        <f t="shared" si="65"/>
        <v>51.071129121684983</v>
      </c>
      <c r="F141" s="155">
        <f t="shared" si="65"/>
        <v>53.472446503955027</v>
      </c>
      <c r="G141" s="155">
        <f t="shared" si="65"/>
        <v>57.718245403874768</v>
      </c>
      <c r="H141" s="143"/>
      <c r="L141" s="14">
        <f>AB32</f>
        <v>135291</v>
      </c>
      <c r="M141" s="104" cm="1">
        <f t="array" ref="M141">INDEX($D$140:$G$143,$C141,MATCH(M$138,$D$140:$G$140))/M139*O130</f>
        <v>138494.39544905938</v>
      </c>
      <c r="N141" s="14" cm="1">
        <f t="array" ref="N141">INDEX($D$140:$G$143,$C141,MATCH(N$138,$D$140:$G$140))/N139*P130</f>
        <v>117850.13296372053</v>
      </c>
      <c r="O141" s="14" cm="1">
        <f t="array" ref="O141">INDEX($D$140:$G$143,$C141,MATCH(O$138,$D$140:$G$140))/O139*Q130</f>
        <v>121070.31071873456</v>
      </c>
      <c r="P141" s="14" cm="1">
        <f t="array" ref="P141">INDEX($D$140:$G$143,$C141,MATCH(P$138,$D$140:$G$140))/P139*R130</f>
        <v>137751.27614073266</v>
      </c>
      <c r="Q141" s="14" cm="1">
        <f t="array" ref="Q141">INDEX($D$140:$G$143,$C141,MATCH(Q$138,$D$140:$G$140))/Q139*S130</f>
        <v>154337.39582193841</v>
      </c>
      <c r="R141" s="14" cm="1">
        <f t="array" ref="R141">INDEX($D$140:$G$143,$C141,MATCH(R$138,$D$140:$G$140))/R139*T130</f>
        <v>131300.88857047143</v>
      </c>
      <c r="S141" s="14" cm="1">
        <f t="array" ref="S141">INDEX($D$140:$G$143,$C141,MATCH(S$138,$D$140:$G$140))/S139*U130</f>
        <v>134960.46765872362</v>
      </c>
      <c r="T141" s="14" cm="1">
        <f t="array" ref="T141">INDEX($D$140:$G$143,$C141,MATCH(T$138,$D$140:$G$140))/T139*V130</f>
        <v>153453.93482880015</v>
      </c>
      <c r="U141" s="14" cm="1">
        <f t="array" ref="U141">INDEX($D$140:$G$143,$C141,MATCH(U$138,$D$140:$G$140))/U139*W130</f>
        <v>170645.76483889431</v>
      </c>
      <c r="V141" s="14" cm="1">
        <f t="array" ref="V141">INDEX($D$140:$G$143,$C141,MATCH(V$138,$D$140:$G$140))/V139*X130</f>
        <v>146754.06640526679</v>
      </c>
      <c r="W141" s="14" cm="1">
        <f t="array" ref="W141">INDEX($D$140:$G$143,$C141,MATCH(W$138,$D$140:$G$140))/W139*Y130</f>
        <v>150945.20944361502</v>
      </c>
      <c r="X141" s="14" cm="1">
        <f t="array" ref="X141">INDEX($D$140:$G$143,$C141,MATCH(X$138,$D$140:$G$140))/X139*Z130</f>
        <v>171478.53493663526</v>
      </c>
      <c r="Y141" s="14" cm="1">
        <f t="array" ref="Y141">INDEX($D$140:$G$143,$C141,MATCH(Y$138,$D$140:$G$140))/Y139*AA130</f>
        <v>193620.42727196799</v>
      </c>
      <c r="Z141" s="14" cm="1">
        <f t="array" ref="Z141">INDEX($D$140:$G$143,$C141,MATCH(Z$138,$D$140:$G$140))/Z139*AB130</f>
        <v>164640.50483505064</v>
      </c>
      <c r="AA141" s="14" cm="1">
        <f t="array" ref="AA141">INDEX($D$140:$G$143,$C141,MATCH(AA$138,$D$140:$G$140))/AA139*AC130</f>
        <v>169488.43453821068</v>
      </c>
      <c r="AB141" s="14" cm="1">
        <f t="array" ref="AB141">INDEX($D$140:$G$143,$C141,MATCH(AB$138,$D$140:$G$140))/AB139*AD130</f>
        <v>192323.87445227947</v>
      </c>
      <c r="AC141" s="14" cm="1">
        <f t="array" ref="AC141">INDEX($D$140:$G$143,$C141,MATCH(AC$138,$D$140:$G$140))/AC139*AE130</f>
        <v>218249.53924974441</v>
      </c>
      <c r="AD141" s="14" cm="1">
        <f t="array" ref="AD141">INDEX($D$140:$G$143,$C141,MATCH(AD$138,$D$140:$G$140))/AD139*AF130</f>
        <v>185526.31104269152</v>
      </c>
      <c r="AE141" s="14" cm="1">
        <f t="array" ref="AE141">INDEX($D$140:$G$143,$C141,MATCH(AE$138,$D$140:$G$140))/AE139*AG130</f>
        <v>191204.63529814198</v>
      </c>
      <c r="AF141" s="14" cm="1">
        <f t="array" ref="AF141">INDEX($D$140:$G$143,$C141,MATCH(AF$138,$D$140:$G$140))/AF139*AH130</f>
        <v>216646.47759193846</v>
      </c>
      <c r="AG141" s="14" cm="1">
        <f t="array" ref="AG141">INDEX($D$140:$G$143,$C141,MATCH(AG$138,$D$140:$G$140))/AG139*AI130</f>
        <v>247336.10266722404</v>
      </c>
    </row>
    <row r="142" spans="1:35" s="1" customFormat="1">
      <c r="A142" s="24"/>
      <c r="B142" s="11" t="s">
        <v>34</v>
      </c>
      <c r="C142" s="159">
        <v>3</v>
      </c>
      <c r="D142" s="155">
        <f t="shared" si="65"/>
        <v>50.700473941792779</v>
      </c>
      <c r="E142" s="155">
        <f t="shared" si="65"/>
        <v>50.066267427368949</v>
      </c>
      <c r="F142" s="155">
        <f t="shared" si="65"/>
        <v>47.574976176993644</v>
      </c>
      <c r="G142" s="155">
        <f t="shared" si="65"/>
        <v>45.570513519504082</v>
      </c>
      <c r="H142" s="143"/>
      <c r="L142" s="14">
        <f t="shared" ref="L142:L143" si="66">AB33</f>
        <v>76205</v>
      </c>
      <c r="M142" s="104" cm="1">
        <f t="array" ref="M142">INDEX($D$140:$G$143,$C142,MATCH(M$138,$D$140:$G$140))/M139*ABS(O$132)</f>
        <v>68356.727480967907</v>
      </c>
      <c r="N142" s="14" cm="1">
        <f t="array" ref="N142">INDEX($D$140:$G$143,$C142,MATCH(N$138,$D$140:$G$140))/N139*ABS(P$132)</f>
        <v>68383.829198218809</v>
      </c>
      <c r="O142" s="14" cm="1">
        <f t="array" ref="O142">INDEX($D$140:$G$143,$C142,MATCH(O$138,$D$140:$G$140))/O139*ABS(Q$132)</f>
        <v>73606.390200414593</v>
      </c>
      <c r="P142" s="14" cm="1">
        <f t="array" ref="P142">INDEX($D$140:$G$143,$C142,MATCH(P$138,$D$140:$G$140))/P139*ABS(R$132)</f>
        <v>75642.334566961043</v>
      </c>
      <c r="Q142" s="14" cm="1">
        <f t="array" ref="Q142">INDEX($D$140:$G$143,$C142,MATCH(Q$138,$D$140:$G$140))/Q139*ABS(S$132)</f>
        <v>73267.281214294257</v>
      </c>
      <c r="R142" s="14" cm="1">
        <f t="array" ref="R142">INDEX($D$140:$G$143,$C142,MATCH(R$138,$D$140:$G$140))/R139*ABS(T$132)</f>
        <v>73702.614574315245</v>
      </c>
      <c r="S142" s="14" cm="1">
        <f t="array" ref="S142">INDEX($D$140:$G$143,$C142,MATCH(S$138,$D$140:$G$140))/S139*ABS(U$132)</f>
        <v>79272.937060737677</v>
      </c>
      <c r="T142" s="14" cm="1">
        <f t="array" ref="T142">INDEX($D$140:$G$143,$C142,MATCH(T$138,$D$140:$G$140))/T139*ABS(V$132)</f>
        <v>81437.019754932815</v>
      </c>
      <c r="U142" s="14" cm="1">
        <f t="array" ref="U142">INDEX($D$140:$G$143,$C142,MATCH(U$138,$D$140:$G$140))/U139*ABS(W$132)</f>
        <v>79065.499227922992</v>
      </c>
      <c r="V142" s="14" cm="1">
        <f t="array" ref="V142">INDEX($D$140:$G$143,$C142,MATCH(V$138,$D$140:$G$140))/V139*ABS(X$132)</f>
        <v>80797.476755401818</v>
      </c>
      <c r="W142" s="14" cm="1">
        <f t="array" ref="W142">INDEX($D$140:$G$143,$C142,MATCH(W$138,$D$140:$G$140))/W139*ABS(Y$132)</f>
        <v>86827.863856943877</v>
      </c>
      <c r="X142" s="14" cm="1">
        <f t="array" ref="X142">INDEX($D$140:$G$143,$C142,MATCH(X$138,$D$140:$G$140))/X139*ABS(Z$132)</f>
        <v>89104.435208428229</v>
      </c>
      <c r="Y142" s="14" cm="1">
        <f t="array" ref="Y142">INDEX($D$140:$G$143,$C142,MATCH(Y$138,$D$140:$G$140))/Y139*ABS(AA$132)</f>
        <v>88452.209072105048</v>
      </c>
      <c r="Z142" s="14" cm="1">
        <f t="array" ref="Z142">INDEX($D$140:$G$143,$C142,MATCH(Z$138,$D$140:$G$140))/Z139*ABS(AB$132)</f>
        <v>89703.532412075321</v>
      </c>
      <c r="AA142" s="14" cm="1">
        <f t="array" ref="AA142">INDEX($D$140:$G$143,$C142,MATCH(AA$138,$D$140:$G$140))/AA139*ABS(AC$132)</f>
        <v>96356.318661553247</v>
      </c>
      <c r="AB142" s="14" cm="1">
        <f t="array" ref="AB142">INDEX($D$140:$G$143,$C142,MATCH(AB$138,$D$140:$G$140))/AB139*ABS(AD$132)</f>
        <v>98738.316492154379</v>
      </c>
      <c r="AC142" s="14" cm="1">
        <f t="array" ref="AC142">INDEX($D$140:$G$143,$C142,MATCH(AC$138,$D$140:$G$140))/AC139*ABS(AE$132)</f>
        <v>98981.566903236293</v>
      </c>
      <c r="AD142" s="14" cm="1">
        <f t="array" ref="AD142">INDEX($D$140:$G$143,$C142,MATCH(AD$138,$D$140:$G$140))/AD139*ABS(AF$132)</f>
        <v>100594.95253705734</v>
      </c>
      <c r="AE142" s="14" cm="1">
        <f t="array" ref="AE142">INDEX($D$140:$G$143,$C142,MATCH(AE$138,$D$140:$G$140))/AE139*ABS(AG$132)</f>
        <v>108084.59110924712</v>
      </c>
      <c r="AF142" s="14" cm="1">
        <f t="array" ref="AF142">INDEX($D$140:$G$143,$C142,MATCH(AF$138,$D$140:$G$140))/AF139*ABS(AH$132)</f>
        <v>110562.12848668369</v>
      </c>
      <c r="AG142" s="14" cm="1">
        <f t="array" ref="AG142">INDEX($D$140:$G$143,$C142,MATCH(AG$138,$D$140:$G$140))/AG139*ABS(AI$132)</f>
        <v>111868.78283510813</v>
      </c>
    </row>
    <row r="143" spans="1:35" s="1" customFormat="1">
      <c r="A143" s="24"/>
      <c r="B143" s="11" t="s">
        <v>83</v>
      </c>
      <c r="C143" s="159">
        <v>4</v>
      </c>
      <c r="D143" s="155">
        <f t="shared" si="65"/>
        <v>114.65734923437</v>
      </c>
      <c r="E143" s="155">
        <f t="shared" si="65"/>
        <v>104.26777870590031</v>
      </c>
      <c r="F143" s="155">
        <f t="shared" si="65"/>
        <v>104.26347199509144</v>
      </c>
      <c r="G143" s="155">
        <f t="shared" si="65"/>
        <v>113.19940663877881</v>
      </c>
      <c r="H143" s="143"/>
      <c r="L143" s="14">
        <f t="shared" si="66"/>
        <v>155466</v>
      </c>
      <c r="M143" s="104" cm="1">
        <f t="array" ref="M143">INDEX($D$140:$G$143,$C143,MATCH(M$138,$D$140:$G$140))/M139*ABS(O$132)</f>
        <v>169801.48769450339</v>
      </c>
      <c r="N143" s="14" cm="1">
        <f t="array" ref="N143">INDEX($D$140:$G$143,$C143,MATCH(N$138,$D$140:$G$140))/N139*ABS(P$132)</f>
        <v>154647.63890304638</v>
      </c>
      <c r="O143" s="14" cm="1">
        <f t="array" ref="O143">INDEX($D$140:$G$143,$C143,MATCH(O$138,$D$140:$G$140))/O139*ABS(Q$132)</f>
        <v>153292.33032781526</v>
      </c>
      <c r="P143" s="14" cm="1">
        <f t="array" ref="P143">INDEX($D$140:$G$143,$C143,MATCH(P$138,$D$140:$G$140))/P139*ABS(R$132)</f>
        <v>165774.80569668795</v>
      </c>
      <c r="Q143" s="14" cm="1">
        <f t="array" ref="Q143">INDEX($D$140:$G$143,$C143,MATCH(Q$138,$D$140:$G$140))/Q139*ABS(S$132)</f>
        <v>181999.54573575128</v>
      </c>
      <c r="R143" s="14" cm="1">
        <f t="array" ref="R143">INDEX($D$140:$G$143,$C143,MATCH(R$138,$D$140:$G$140))/R139*ABS(T$132)</f>
        <v>166675.88607623614</v>
      </c>
      <c r="S143" s="14" cm="1">
        <f t="array" ref="S143">INDEX($D$140:$G$143,$C143,MATCH(S$138,$D$140:$G$140))/S139*ABS(U$132)</f>
        <v>165093.45480580654</v>
      </c>
      <c r="T143" s="14" cm="1">
        <f t="array" ref="T143">INDEX($D$140:$G$143,$C143,MATCH(T$138,$D$140:$G$140))/T139*ABS(V$132)</f>
        <v>178474.21293482828</v>
      </c>
      <c r="U143" s="14" cm="1">
        <f t="array" ref="U143">INDEX($D$140:$G$143,$C143,MATCH(U$138,$D$140:$G$140))/U139*ABS(W$132)</f>
        <v>196402.6056974112</v>
      </c>
      <c r="V143" s="14" cm="1">
        <f t="array" ref="V143">INDEX($D$140:$G$143,$C143,MATCH(V$138,$D$140:$G$140))/V139*ABS(X$132)</f>
        <v>182720.66884888808</v>
      </c>
      <c r="W143" s="14" cm="1">
        <f t="array" ref="W143">INDEX($D$140:$G$143,$C143,MATCH(W$138,$D$140:$G$140))/W139*ABS(Y$132)</f>
        <v>180827.31066931528</v>
      </c>
      <c r="X143" s="14" cm="1">
        <f t="array" ref="X143">INDEX($D$140:$G$143,$C143,MATCH(X$138,$D$140:$G$140))/X139*ABS(Z$132)</f>
        <v>195277.82316546966</v>
      </c>
      <c r="Y143" s="14" cm="1">
        <f t="array" ref="Y143">INDEX($D$140:$G$143,$C143,MATCH(Y$138,$D$140:$G$140))/Y139*ABS(AA$132)</f>
        <v>219719.65662765835</v>
      </c>
      <c r="Z143" s="14" cm="1">
        <f t="array" ref="Z143">INDEX($D$140:$G$143,$C143,MATCH(Z$138,$D$140:$G$140))/Z139*ABS(AB$132)</f>
        <v>202861.40234381138</v>
      </c>
      <c r="AA143" s="14" cm="1">
        <f t="array" ref="AA143">INDEX($D$140:$G$143,$C143,MATCH(AA$138,$D$140:$G$140))/AA139*ABS(AC$132)</f>
        <v>200671.22690328394</v>
      </c>
      <c r="AB143" s="14" cm="1">
        <f t="array" ref="AB143">INDEX($D$140:$G$143,$C143,MATCH(AB$138,$D$140:$G$140))/AB139*ABS(AD$132)</f>
        <v>216391.06361551018</v>
      </c>
      <c r="AC143" s="14" cm="1">
        <f t="array" ref="AC143">INDEX($D$140:$G$143,$C143,MATCH(AC$138,$D$140:$G$140))/AC139*ABS(AE$132)</f>
        <v>245875.10160111246</v>
      </c>
      <c r="AD143" s="14" cm="1">
        <f t="array" ref="AD143">INDEX($D$140:$G$143,$C143,MATCH(AD$138,$D$140:$G$140))/AD139*ABS(AF$132)</f>
        <v>227491.96817169662</v>
      </c>
      <c r="AE143" s="14" cm="1">
        <f t="array" ref="AE143">INDEX($D$140:$G$143,$C143,MATCH(AE$138,$D$140:$G$140))/AE139*ABS(AG$132)</f>
        <v>225096.473262076</v>
      </c>
      <c r="AF143" s="14" cm="1">
        <f t="array" ref="AF143">INDEX($D$140:$G$143,$C143,MATCH(AF$138,$D$140:$G$140))/AF139*ABS(AH$132)</f>
        <v>242303.67124731364</v>
      </c>
      <c r="AG143" s="14" cm="1">
        <f t="array" ref="AG143">INDEX($D$140:$G$143,$C143,MATCH(AG$138,$D$140:$G$140))/AG139*ABS(AI$132)</f>
        <v>277887.58256842336</v>
      </c>
    </row>
    <row r="144" spans="1:35" s="1" customFormat="1">
      <c r="A144" s="24"/>
      <c r="F144" s="19"/>
    </row>
    <row r="145" spans="1:33" s="1" customFormat="1">
      <c r="A145" s="24"/>
      <c r="B145" s="11" t="s">
        <v>84</v>
      </c>
      <c r="F145" s="19"/>
      <c r="M145" s="14">
        <f>L142-M142</f>
        <v>7848.2725190320925</v>
      </c>
      <c r="N145" s="14">
        <f t="shared" ref="N145:AG145" si="67">M142-N142</f>
        <v>-27.101717250901856</v>
      </c>
      <c r="O145" s="14">
        <f t="shared" si="67"/>
        <v>-5222.5610021957837</v>
      </c>
      <c r="P145" s="14">
        <f t="shared" si="67"/>
        <v>-2035.9443665464496</v>
      </c>
      <c r="Q145" s="14">
        <f t="shared" si="67"/>
        <v>2375.0533526667859</v>
      </c>
      <c r="R145" s="14">
        <f t="shared" si="67"/>
        <v>-435.33336002098804</v>
      </c>
      <c r="S145" s="14">
        <f t="shared" si="67"/>
        <v>-5570.3224864224321</v>
      </c>
      <c r="T145" s="14">
        <f t="shared" si="67"/>
        <v>-2164.0826941951382</v>
      </c>
      <c r="U145" s="14">
        <f t="shared" si="67"/>
        <v>2371.5205270098231</v>
      </c>
      <c r="V145" s="14">
        <f t="shared" si="67"/>
        <v>-1731.9775274788262</v>
      </c>
      <c r="W145" s="14">
        <f t="shared" si="67"/>
        <v>-6030.3871015420591</v>
      </c>
      <c r="X145" s="14">
        <f t="shared" si="67"/>
        <v>-2276.5713514843519</v>
      </c>
      <c r="Y145" s="14">
        <f t="shared" si="67"/>
        <v>652.22613632318098</v>
      </c>
      <c r="Z145" s="14">
        <f t="shared" si="67"/>
        <v>-1251.3233399702731</v>
      </c>
      <c r="AA145" s="14">
        <f t="shared" si="67"/>
        <v>-6652.7862494779256</v>
      </c>
      <c r="AB145" s="14">
        <f t="shared" si="67"/>
        <v>-2381.9978306011326</v>
      </c>
      <c r="AC145" s="14">
        <f t="shared" si="67"/>
        <v>-243.25041108191363</v>
      </c>
      <c r="AD145" s="14">
        <f t="shared" si="67"/>
        <v>-1613.3856338210462</v>
      </c>
      <c r="AE145" s="14">
        <f t="shared" si="67"/>
        <v>-7489.6385721897823</v>
      </c>
      <c r="AF145" s="14">
        <f t="shared" si="67"/>
        <v>-2477.5373774365726</v>
      </c>
      <c r="AG145" s="14">
        <f t="shared" si="67"/>
        <v>-1306.6543484244321</v>
      </c>
    </row>
    <row r="146" spans="1:33" s="1" customFormat="1">
      <c r="A146" s="24"/>
      <c r="B146" s="11" t="s">
        <v>85</v>
      </c>
      <c r="F146" s="19"/>
      <c r="M146" s="14">
        <f>L141-M141</f>
        <v>-3203.3954490593751</v>
      </c>
      <c r="N146" s="14">
        <f t="shared" ref="N146:AG146" si="68">M141-N141</f>
        <v>20644.262485338841</v>
      </c>
      <c r="O146" s="14">
        <f t="shared" si="68"/>
        <v>-3220.177755014025</v>
      </c>
      <c r="P146" s="14">
        <f t="shared" si="68"/>
        <v>-16680.965421998102</v>
      </c>
      <c r="Q146" s="14">
        <f t="shared" si="68"/>
        <v>-16586.119681205746</v>
      </c>
      <c r="R146" s="14">
        <f t="shared" si="68"/>
        <v>23036.507251466974</v>
      </c>
      <c r="S146" s="14">
        <f t="shared" si="68"/>
        <v>-3659.5790882521833</v>
      </c>
      <c r="T146" s="14">
        <f t="shared" si="68"/>
        <v>-18493.467170076532</v>
      </c>
      <c r="U146" s="14">
        <f t="shared" si="68"/>
        <v>-17191.830010094156</v>
      </c>
      <c r="V146" s="14">
        <f t="shared" si="68"/>
        <v>23891.69843362752</v>
      </c>
      <c r="W146" s="14">
        <f t="shared" si="68"/>
        <v>-4191.1430383482366</v>
      </c>
      <c r="X146" s="14">
        <f t="shared" si="68"/>
        <v>-20533.325493020238</v>
      </c>
      <c r="Y146" s="14">
        <f t="shared" si="68"/>
        <v>-22141.892335332726</v>
      </c>
      <c r="Z146" s="14">
        <f t="shared" si="68"/>
        <v>28979.922436917346</v>
      </c>
      <c r="AA146" s="14">
        <f t="shared" si="68"/>
        <v>-4847.9297031600436</v>
      </c>
      <c r="AB146" s="14">
        <f t="shared" si="68"/>
        <v>-22835.439914068789</v>
      </c>
      <c r="AC146" s="14">
        <f t="shared" si="68"/>
        <v>-25925.664797464939</v>
      </c>
      <c r="AD146" s="14">
        <f t="shared" si="68"/>
        <v>32723.228207052889</v>
      </c>
      <c r="AE146" s="14">
        <f t="shared" si="68"/>
        <v>-5678.3242554504541</v>
      </c>
      <c r="AF146" s="14">
        <f t="shared" si="68"/>
        <v>-25441.842293796479</v>
      </c>
      <c r="AG146" s="14">
        <f t="shared" si="68"/>
        <v>-30689.625075285585</v>
      </c>
    </row>
    <row r="147" spans="1:33" s="1" customFormat="1">
      <c r="A147" s="24"/>
      <c r="B147" s="11" t="s">
        <v>86</v>
      </c>
      <c r="F147" s="19"/>
      <c r="M147" s="14">
        <f>M143-L143</f>
        <v>14335.48769450339</v>
      </c>
      <c r="N147" s="14">
        <f t="shared" ref="N147:AG147" si="69">N143-M143</f>
        <v>-15153.848791457014</v>
      </c>
      <c r="O147" s="14">
        <f t="shared" si="69"/>
        <v>-1355.3085752311163</v>
      </c>
      <c r="P147" s="14">
        <f t="shared" si="69"/>
        <v>12482.475368872692</v>
      </c>
      <c r="Q147" s="14">
        <f t="shared" si="69"/>
        <v>16224.740039063327</v>
      </c>
      <c r="R147" s="14">
        <f t="shared" si="69"/>
        <v>-15323.659659515135</v>
      </c>
      <c r="S147" s="14">
        <f t="shared" si="69"/>
        <v>-1582.4312704296026</v>
      </c>
      <c r="T147" s="14">
        <f t="shared" si="69"/>
        <v>13380.758129021735</v>
      </c>
      <c r="U147" s="14">
        <f t="shared" si="69"/>
        <v>17928.392762582924</v>
      </c>
      <c r="V147" s="14">
        <f t="shared" si="69"/>
        <v>-13681.936848523124</v>
      </c>
      <c r="W147" s="14">
        <f t="shared" si="69"/>
        <v>-1893.3581795727951</v>
      </c>
      <c r="X147" s="14">
        <f t="shared" si="69"/>
        <v>14450.512496154377</v>
      </c>
      <c r="Y147" s="14">
        <f t="shared" si="69"/>
        <v>24441.83346218869</v>
      </c>
      <c r="Z147" s="14">
        <f t="shared" si="69"/>
        <v>-16858.254283846967</v>
      </c>
      <c r="AA147" s="14">
        <f t="shared" si="69"/>
        <v>-2190.1754405274405</v>
      </c>
      <c r="AB147" s="14">
        <f t="shared" si="69"/>
        <v>15719.836712226243</v>
      </c>
      <c r="AC147" s="14">
        <f t="shared" si="69"/>
        <v>29484.037985602277</v>
      </c>
      <c r="AD147" s="14">
        <f t="shared" si="69"/>
        <v>-18383.133429415844</v>
      </c>
      <c r="AE147" s="14">
        <f t="shared" si="69"/>
        <v>-2395.494909620611</v>
      </c>
      <c r="AF147" s="14">
        <f t="shared" si="69"/>
        <v>17207.197985237639</v>
      </c>
      <c r="AG147" s="14">
        <f t="shared" si="69"/>
        <v>35583.911321109714</v>
      </c>
    </row>
    <row r="148" spans="1:33" s="1" customFormat="1">
      <c r="A148" s="24"/>
      <c r="F148" s="19"/>
    </row>
    <row r="150" spans="1:33" s="3" customFormat="1">
      <c r="A150" s="4" t="s">
        <v>11</v>
      </c>
      <c r="B150" s="3" t="s">
        <v>87</v>
      </c>
      <c r="F150" s="21"/>
    </row>
    <row r="152" spans="1:33">
      <c r="G152" s="7" t="s">
        <v>7</v>
      </c>
      <c r="H152" s="160">
        <f t="shared" ref="H152:AB152" si="70">H7</f>
        <v>2021</v>
      </c>
      <c r="I152" s="22">
        <f t="shared" si="70"/>
        <v>2021</v>
      </c>
      <c r="J152" s="22">
        <f t="shared" si="70"/>
        <v>2022</v>
      </c>
      <c r="K152" s="22">
        <f t="shared" si="70"/>
        <v>2022</v>
      </c>
      <c r="L152" s="22">
        <f t="shared" si="70"/>
        <v>2022</v>
      </c>
      <c r="M152" s="22">
        <f t="shared" si="70"/>
        <v>2022</v>
      </c>
      <c r="N152" s="22">
        <f t="shared" si="70"/>
        <v>2023</v>
      </c>
      <c r="O152" s="22">
        <f t="shared" si="70"/>
        <v>2023</v>
      </c>
      <c r="P152" s="22">
        <f t="shared" si="70"/>
        <v>2023</v>
      </c>
      <c r="Q152" s="22">
        <f t="shared" si="70"/>
        <v>2023</v>
      </c>
      <c r="R152" s="22">
        <f t="shared" si="70"/>
        <v>2024</v>
      </c>
      <c r="S152" s="22">
        <f t="shared" si="70"/>
        <v>2024</v>
      </c>
      <c r="T152" s="22">
        <f t="shared" si="70"/>
        <v>2024</v>
      </c>
      <c r="U152" s="22">
        <f t="shared" si="70"/>
        <v>2024</v>
      </c>
      <c r="V152" s="22">
        <f t="shared" si="70"/>
        <v>2025</v>
      </c>
      <c r="W152" s="22">
        <f t="shared" si="70"/>
        <v>2025</v>
      </c>
      <c r="X152" s="22">
        <f t="shared" si="70"/>
        <v>2025</v>
      </c>
      <c r="Y152" s="22">
        <f t="shared" si="70"/>
        <v>2025</v>
      </c>
      <c r="Z152" s="22">
        <f t="shared" si="70"/>
        <v>2026</v>
      </c>
      <c r="AA152" s="22">
        <f t="shared" si="70"/>
        <v>2026</v>
      </c>
      <c r="AB152" s="161">
        <f t="shared" si="70"/>
        <v>2026</v>
      </c>
    </row>
    <row r="153" spans="1:33">
      <c r="G153" s="7" t="s">
        <v>9</v>
      </c>
      <c r="H153" s="90" t="str">
        <f t="shared" ref="H153:AB153" si="71">H8</f>
        <v>Q3</v>
      </c>
      <c r="I153" s="91" t="str">
        <f t="shared" si="71"/>
        <v>Q4</v>
      </c>
      <c r="J153" s="91" t="str">
        <f t="shared" si="71"/>
        <v>Q1</v>
      </c>
      <c r="K153" s="91" t="str">
        <f t="shared" si="71"/>
        <v>Q2</v>
      </c>
      <c r="L153" s="91" t="str">
        <f t="shared" si="71"/>
        <v>Q3</v>
      </c>
      <c r="M153" s="91" t="str">
        <f t="shared" si="71"/>
        <v>Q4</v>
      </c>
      <c r="N153" s="91" t="str">
        <f t="shared" si="71"/>
        <v>Q1</v>
      </c>
      <c r="O153" s="91" t="str">
        <f t="shared" si="71"/>
        <v>Q2</v>
      </c>
      <c r="P153" s="91" t="str">
        <f t="shared" si="71"/>
        <v>Q3</v>
      </c>
      <c r="Q153" s="91" t="str">
        <f t="shared" si="71"/>
        <v>Q4</v>
      </c>
      <c r="R153" s="91" t="str">
        <f t="shared" si="71"/>
        <v>Q1</v>
      </c>
      <c r="S153" s="91" t="str">
        <f t="shared" si="71"/>
        <v>Q2</v>
      </c>
      <c r="T153" s="91" t="str">
        <f t="shared" si="71"/>
        <v>Q3</v>
      </c>
      <c r="U153" s="91" t="str">
        <f t="shared" si="71"/>
        <v>Q4</v>
      </c>
      <c r="V153" s="91" t="str">
        <f t="shared" si="71"/>
        <v>Q1</v>
      </c>
      <c r="W153" s="91" t="str">
        <f t="shared" si="71"/>
        <v>Q2</v>
      </c>
      <c r="X153" s="91" t="str">
        <f t="shared" si="71"/>
        <v>Q3</v>
      </c>
      <c r="Y153" s="91" t="str">
        <f t="shared" si="71"/>
        <v>Q4</v>
      </c>
      <c r="Z153" s="91" t="str">
        <f t="shared" si="71"/>
        <v>Q1</v>
      </c>
      <c r="AA153" s="91" t="str">
        <f t="shared" si="71"/>
        <v>Q2</v>
      </c>
      <c r="AB153" s="92" t="str">
        <f t="shared" si="71"/>
        <v>Q3</v>
      </c>
    </row>
    <row r="154" spans="1:33">
      <c r="B154" s="156" t="s">
        <v>88</v>
      </c>
    </row>
    <row r="155" spans="1:33">
      <c r="B155" t="s">
        <v>13</v>
      </c>
      <c r="H155" s="14">
        <f>H24</f>
        <v>132723</v>
      </c>
      <c r="I155" s="14">
        <f t="shared" ref="I155:AB155" si="72">I24</f>
        <v>132248</v>
      </c>
      <c r="J155" s="14">
        <f t="shared" si="72"/>
        <v>132454</v>
      </c>
      <c r="K155" s="14">
        <f t="shared" si="72"/>
        <v>142576</v>
      </c>
      <c r="L155" s="14">
        <f t="shared" si="72"/>
        <v>149754</v>
      </c>
      <c r="M155" s="14">
        <f t="shared" si="72"/>
        <v>144928</v>
      </c>
      <c r="N155" s="14">
        <f t="shared" si="72"/>
        <v>149259</v>
      </c>
      <c r="O155" s="14">
        <f t="shared" si="72"/>
        <v>167687</v>
      </c>
      <c r="P155" s="14">
        <f t="shared" si="72"/>
        <v>184509</v>
      </c>
      <c r="Q155" s="14">
        <f t="shared" si="72"/>
        <v>167779</v>
      </c>
      <c r="R155" s="14">
        <f t="shared" si="72"/>
        <v>166465</v>
      </c>
      <c r="S155" s="14">
        <f t="shared" si="72"/>
        <v>183896</v>
      </c>
      <c r="T155" s="14">
        <f t="shared" si="72"/>
        <v>198548</v>
      </c>
      <c r="U155" s="14">
        <f t="shared" si="72"/>
        <v>184011</v>
      </c>
      <c r="V155" s="14">
        <f t="shared" si="72"/>
        <v>185033</v>
      </c>
      <c r="W155" s="14">
        <f t="shared" si="72"/>
        <v>193049</v>
      </c>
      <c r="X155" s="14">
        <f t="shared" si="72"/>
        <v>204183</v>
      </c>
      <c r="Y155" s="14">
        <f t="shared" si="72"/>
        <v>194316</v>
      </c>
      <c r="Z155" s="14">
        <f t="shared" si="72"/>
        <v>177027</v>
      </c>
      <c r="AA155" s="14">
        <f t="shared" si="72"/>
        <v>196207</v>
      </c>
      <c r="AB155" s="14">
        <f t="shared" si="72"/>
        <v>213318</v>
      </c>
    </row>
    <row r="156" spans="1:33">
      <c r="B156" t="s">
        <v>89</v>
      </c>
      <c r="D156" s="19" t="s">
        <v>90</v>
      </c>
      <c r="E156" s="19" t="s">
        <v>91</v>
      </c>
      <c r="H156" s="14">
        <f>'Operating Model'!G78</f>
        <v>-7745</v>
      </c>
      <c r="I156" s="14">
        <f>'Operating Model'!H78</f>
        <v>-6818</v>
      </c>
      <c r="J156" s="14">
        <f>'Operating Model'!I78</f>
        <v>-7440</v>
      </c>
      <c r="K156" s="14">
        <f>'Operating Model'!J78</f>
        <v>-5277</v>
      </c>
      <c r="L156" s="14">
        <f>'Operating Model'!K78</f>
        <v>-5889</v>
      </c>
      <c r="M156" s="14">
        <f>'Operating Model'!L78</f>
        <v>-5213</v>
      </c>
      <c r="N156" s="14">
        <f>'Operating Model'!M78</f>
        <v>-5534</v>
      </c>
      <c r="O156" s="14">
        <f>'Operating Model'!N78</f>
        <v>-5102</v>
      </c>
      <c r="P156" s="14">
        <f>'Operating Model'!O78</f>
        <v>-6130</v>
      </c>
      <c r="Q156" s="14">
        <f>'Operating Model'!P78</f>
        <v>-8513</v>
      </c>
      <c r="R156" s="14">
        <f>'Operating Model'!Q78</f>
        <v>-20983</v>
      </c>
      <c r="S156" s="14">
        <f>'Operating Model'!R78</f>
        <v>-6191</v>
      </c>
      <c r="T156" s="14">
        <f>'Operating Model'!S78</f>
        <v>-9321</v>
      </c>
      <c r="U156" s="14">
        <f>'Operating Model'!T78</f>
        <v>-25593</v>
      </c>
      <c r="V156" s="14">
        <f>'Operating Model'!U78</f>
        <v>-17942</v>
      </c>
      <c r="W156" s="14">
        <f>'Operating Model'!V78</f>
        <v>-15833</v>
      </c>
      <c r="X156" s="14">
        <f>'Operating Model'!W78</f>
        <v>-19192</v>
      </c>
      <c r="Y156" s="14">
        <f>'Operating Model'!X78</f>
        <v>-17755</v>
      </c>
      <c r="Z156" s="14">
        <f>'Operating Model'!Y78</f>
        <v>-20734</v>
      </c>
      <c r="AA156" s="14">
        <f>'Operating Model'!Z78</f>
        <v>-23481</v>
      </c>
      <c r="AB156" s="14">
        <f>'Operating Model'!AA78</f>
        <v>-23993</v>
      </c>
    </row>
    <row r="157" spans="1:33">
      <c r="B157" t="s">
        <v>92</v>
      </c>
      <c r="D157" s="153">
        <f>AVERAGEIF($H158:$AB158,D156,$H157:$AB157)</f>
        <v>-5.8349019982530462E-2</v>
      </c>
      <c r="E157" s="153">
        <f>AVERAGEIF($H158:$AB158,E156,$H157:$AB157)</f>
        <v>-0.1243211246579209</v>
      </c>
      <c r="H157" s="102">
        <f>H156/H155</f>
        <v>-5.8354618265108536E-2</v>
      </c>
      <c r="I157" s="102">
        <f t="shared" ref="I157:AB157" si="73">I156/I155</f>
        <v>-5.1554654890811201E-2</v>
      </c>
      <c r="J157" s="102">
        <f t="shared" si="73"/>
        <v>-5.6170444078699019E-2</v>
      </c>
      <c r="K157" s="102">
        <f t="shared" si="73"/>
        <v>-3.7011839299741889E-2</v>
      </c>
      <c r="L157" s="102">
        <f t="shared" si="73"/>
        <v>-3.9324492167154133E-2</v>
      </c>
      <c r="M157" s="102">
        <f t="shared" si="73"/>
        <v>-3.5969584897328329E-2</v>
      </c>
      <c r="N157" s="102">
        <f t="shared" si="73"/>
        <v>-3.7076491199860645E-2</v>
      </c>
      <c r="O157" s="102">
        <f t="shared" si="73"/>
        <v>-3.0425733658542405E-2</v>
      </c>
      <c r="P157" s="102">
        <f t="shared" si="73"/>
        <v>-3.3223311599976151E-2</v>
      </c>
      <c r="Q157" s="102">
        <f t="shared" si="73"/>
        <v>-5.0739365474821045E-2</v>
      </c>
      <c r="R157" s="102">
        <f t="shared" si="73"/>
        <v>-0.126050521130568</v>
      </c>
      <c r="S157" s="102">
        <f t="shared" si="73"/>
        <v>-3.3665767607778306E-2</v>
      </c>
      <c r="T157" s="102">
        <f t="shared" si="73"/>
        <v>-4.6945826701855473E-2</v>
      </c>
      <c r="U157" s="102">
        <f t="shared" si="73"/>
        <v>-0.13908407649542689</v>
      </c>
      <c r="V157" s="102">
        <f t="shared" si="73"/>
        <v>-9.6966487059065146E-2</v>
      </c>
      <c r="W157" s="102">
        <f t="shared" si="73"/>
        <v>-8.2015446855461568E-2</v>
      </c>
      <c r="X157" s="102">
        <f t="shared" si="73"/>
        <v>-9.3994113124011305E-2</v>
      </c>
      <c r="Y157" s="102">
        <f t="shared" si="73"/>
        <v>-9.1371786162745217E-2</v>
      </c>
      <c r="Z157" s="102">
        <f t="shared" si="73"/>
        <v>-0.11712337666005751</v>
      </c>
      <c r="AA157" s="102">
        <f t="shared" si="73"/>
        <v>-0.11967462934553813</v>
      </c>
      <c r="AB157" s="102">
        <f t="shared" si="73"/>
        <v>-0.11247527166015057</v>
      </c>
    </row>
    <row r="158" spans="1:33">
      <c r="B158" t="s">
        <v>93</v>
      </c>
      <c r="D158" s="102"/>
      <c r="E158" s="102"/>
      <c r="H158" s="102" t="str">
        <f>IF(H157&lt;=_xlfn.QUARTILE.INC(H157:AB157,1),"Expand","BAU")</f>
        <v>BAU</v>
      </c>
      <c r="I158" s="102" t="str">
        <f t="shared" ref="I158:AB158" si="74">IF(I157&lt;=_xlfn.QUARTILE.INC(I157:AC157,1),"Expand","BAU")</f>
        <v>BAU</v>
      </c>
      <c r="J158" s="102" t="str">
        <f t="shared" si="74"/>
        <v>BAU</v>
      </c>
      <c r="K158" s="102" t="str">
        <f t="shared" si="74"/>
        <v>BAU</v>
      </c>
      <c r="L158" s="102" t="str">
        <f t="shared" si="74"/>
        <v>BAU</v>
      </c>
      <c r="M158" s="102" t="str">
        <f t="shared" si="74"/>
        <v>BAU</v>
      </c>
      <c r="N158" s="102" t="str">
        <f t="shared" si="74"/>
        <v>BAU</v>
      </c>
      <c r="O158" s="102" t="str">
        <f t="shared" si="74"/>
        <v>BAU</v>
      </c>
      <c r="P158" s="102" t="str">
        <f t="shared" si="74"/>
        <v>BAU</v>
      </c>
      <c r="Q158" s="102" t="str">
        <f t="shared" si="74"/>
        <v>BAU</v>
      </c>
      <c r="R158" s="102" t="str">
        <f t="shared" si="74"/>
        <v>Expand</v>
      </c>
      <c r="S158" s="102" t="str">
        <f t="shared" si="74"/>
        <v>BAU</v>
      </c>
      <c r="T158" s="102" t="str">
        <f t="shared" si="74"/>
        <v>BAU</v>
      </c>
      <c r="U158" s="102" t="str">
        <f t="shared" si="74"/>
        <v>Expand</v>
      </c>
      <c r="V158" s="102" t="str">
        <f t="shared" si="74"/>
        <v>BAU</v>
      </c>
      <c r="W158" s="102" t="str">
        <f t="shared" si="74"/>
        <v>BAU</v>
      </c>
      <c r="X158" s="102" t="str">
        <f t="shared" si="74"/>
        <v>BAU</v>
      </c>
      <c r="Y158" s="102" t="str">
        <f t="shared" si="74"/>
        <v>BAU</v>
      </c>
      <c r="Z158" s="102" t="str">
        <f t="shared" si="74"/>
        <v>BAU</v>
      </c>
      <c r="AA158" s="102" t="str">
        <f t="shared" si="74"/>
        <v>Expand</v>
      </c>
      <c r="AB158" s="102" t="str">
        <f t="shared" si="74"/>
        <v>Expand</v>
      </c>
    </row>
    <row r="160" spans="1:33">
      <c r="B160" t="s">
        <v>94</v>
      </c>
      <c r="D160" s="19" t="s">
        <v>90</v>
      </c>
      <c r="E160" s="19" t="s">
        <v>91</v>
      </c>
      <c r="H160" s="14">
        <f>'Operating Model'!G59</f>
        <v>6486</v>
      </c>
      <c r="I160" s="14">
        <f>'Operating Model'!H59</f>
        <v>6483</v>
      </c>
      <c r="J160" s="14">
        <f>'Operating Model'!I59</f>
        <v>6892</v>
      </c>
      <c r="K160" s="14">
        <f>'Operating Model'!J59</f>
        <v>7122</v>
      </c>
      <c r="L160" s="14">
        <f>'Operating Model'!K59</f>
        <v>6983</v>
      </c>
      <c r="M160" s="14">
        <f>'Operating Model'!L59</f>
        <v>7243</v>
      </c>
      <c r="N160" s="14">
        <f>'Operating Model'!M59</f>
        <v>7189</v>
      </c>
      <c r="O160" s="14">
        <f>'Operating Model'!N59</f>
        <v>7314</v>
      </c>
      <c r="P160" s="14">
        <f>'Operating Model'!O59</f>
        <v>7320</v>
      </c>
      <c r="Q160" s="14">
        <f>'Operating Model'!P59</f>
        <v>7375</v>
      </c>
      <c r="R160" s="14">
        <f>'Operating Model'!Q59</f>
        <v>7438</v>
      </c>
      <c r="S160" s="14">
        <f>'Operating Model'!R59</f>
        <v>7851</v>
      </c>
      <c r="T160" s="14">
        <f>'Operating Model'!S59</f>
        <v>7971</v>
      </c>
      <c r="U160" s="14">
        <f>'Operating Model'!T59</f>
        <v>8002.0000000000009</v>
      </c>
      <c r="V160" s="14">
        <f>'Operating Model'!U59</f>
        <v>8101</v>
      </c>
      <c r="W160" s="14">
        <f>'Operating Model'!V59</f>
        <v>8372</v>
      </c>
      <c r="X160" s="14">
        <f>'Operating Model'!W59</f>
        <v>8395</v>
      </c>
      <c r="Y160" s="14">
        <f>'Operating Model'!X59</f>
        <v>8369</v>
      </c>
      <c r="Z160" s="14">
        <f>'Operating Model'!Y59</f>
        <v>8220</v>
      </c>
      <c r="AA160" s="14">
        <f>'Operating Model'!Z59</f>
        <v>8701</v>
      </c>
      <c r="AB160" s="14">
        <f>'Operating Model'!AA59</f>
        <v>9176</v>
      </c>
    </row>
    <row r="161" spans="1:28">
      <c r="B161" t="s">
        <v>95</v>
      </c>
      <c r="D161" s="153">
        <f>AVERAGEIF($H162:$AB162,D160,$H161:$AB161)</f>
        <v>-0.93184343615627618</v>
      </c>
      <c r="E161" s="153">
        <f>AVERAGEIF($H162:$AB162,E160,$H161:$AB161)</f>
        <v>-0.35503521239235736</v>
      </c>
      <c r="H161" s="102">
        <f>H160/H156</f>
        <v>-0.83744351194318911</v>
      </c>
      <c r="I161" s="102">
        <f t="shared" ref="I161:AB161" si="75">I160/I156</f>
        <v>-0.9508653564095042</v>
      </c>
      <c r="J161" s="102">
        <f t="shared" si="75"/>
        <v>-0.92634408602150542</v>
      </c>
      <c r="K161" s="102">
        <f t="shared" si="75"/>
        <v>-1.3496304718590109</v>
      </c>
      <c r="L161" s="102">
        <f t="shared" si="75"/>
        <v>-1.185770079809815</v>
      </c>
      <c r="M161" s="102">
        <f t="shared" si="75"/>
        <v>-1.3894110876654517</v>
      </c>
      <c r="N161" s="102">
        <f t="shared" si="75"/>
        <v>-1.2990603541741959</v>
      </c>
      <c r="O161" s="102">
        <f t="shared" si="75"/>
        <v>-1.4335554684437475</v>
      </c>
      <c r="P161" s="102">
        <f t="shared" si="75"/>
        <v>-1.1941272430668841</v>
      </c>
      <c r="Q161" s="102">
        <f t="shared" si="75"/>
        <v>-0.86632209561846585</v>
      </c>
      <c r="R161" s="102">
        <f t="shared" si="75"/>
        <v>-0.35447743411332983</v>
      </c>
      <c r="S161" s="102">
        <f t="shared" si="75"/>
        <v>-1.2681311581327734</v>
      </c>
      <c r="T161" s="102">
        <f t="shared" si="75"/>
        <v>-0.85516575474734469</v>
      </c>
      <c r="U161" s="102">
        <f t="shared" si="75"/>
        <v>-0.31266361895830896</v>
      </c>
      <c r="V161" s="102">
        <f t="shared" si="75"/>
        <v>-0.45151042247241108</v>
      </c>
      <c r="W161" s="102">
        <f t="shared" si="75"/>
        <v>-0.52876902671635195</v>
      </c>
      <c r="X161" s="102">
        <f t="shared" si="75"/>
        <v>-0.43742184243434762</v>
      </c>
      <c r="Y161" s="102">
        <f t="shared" si="75"/>
        <v>-0.47136018023092086</v>
      </c>
      <c r="Z161" s="102">
        <f t="shared" si="75"/>
        <v>-0.39645027491077456</v>
      </c>
      <c r="AA161" s="102">
        <f t="shared" si="75"/>
        <v>-0.37055491674119501</v>
      </c>
      <c r="AB161" s="102">
        <f t="shared" si="75"/>
        <v>-0.38244487975659569</v>
      </c>
    </row>
    <row r="162" spans="1:28">
      <c r="B162" t="s">
        <v>93</v>
      </c>
      <c r="D162" s="102"/>
      <c r="E162" s="102"/>
      <c r="H162" s="102" t="str">
        <f>IF(H161&gt;=_xlfn.QUARTILE.INC(H161:AB161,3),"Expand","BAU")</f>
        <v>BAU</v>
      </c>
      <c r="I162" s="102" t="str">
        <f t="shared" ref="I162:AB162" si="76">IF(I161&gt;=_xlfn.QUARTILE.INC(I161:AC161,3),"Expand","BAU")</f>
        <v>BAU</v>
      </c>
      <c r="J162" s="102" t="str">
        <f t="shared" si="76"/>
        <v>BAU</v>
      </c>
      <c r="K162" s="102" t="str">
        <f t="shared" si="76"/>
        <v>BAU</v>
      </c>
      <c r="L162" s="102" t="str">
        <f t="shared" si="76"/>
        <v>BAU</v>
      </c>
      <c r="M162" s="102" t="str">
        <f t="shared" si="76"/>
        <v>BAU</v>
      </c>
      <c r="N162" s="102" t="str">
        <f t="shared" si="76"/>
        <v>BAU</v>
      </c>
      <c r="O162" s="102" t="str">
        <f t="shared" si="76"/>
        <v>BAU</v>
      </c>
      <c r="P162" s="102" t="str">
        <f t="shared" si="76"/>
        <v>BAU</v>
      </c>
      <c r="Q162" s="102" t="str">
        <f t="shared" si="76"/>
        <v>BAU</v>
      </c>
      <c r="R162" s="102" t="str">
        <f t="shared" si="76"/>
        <v>Expand</v>
      </c>
      <c r="S162" s="102" t="str">
        <f t="shared" si="76"/>
        <v>BAU</v>
      </c>
      <c r="T162" s="102" t="str">
        <f t="shared" si="76"/>
        <v>BAU</v>
      </c>
      <c r="U162" s="102" t="str">
        <f t="shared" si="76"/>
        <v>Expand</v>
      </c>
      <c r="V162" s="102" t="str">
        <f t="shared" si="76"/>
        <v>BAU</v>
      </c>
      <c r="W162" s="102" t="str">
        <f t="shared" si="76"/>
        <v>BAU</v>
      </c>
      <c r="X162" s="102" t="str">
        <f t="shared" si="76"/>
        <v>BAU</v>
      </c>
      <c r="Y162" s="102" t="str">
        <f t="shared" si="76"/>
        <v>BAU</v>
      </c>
      <c r="Z162" s="102" t="str">
        <f t="shared" si="76"/>
        <v>BAU</v>
      </c>
      <c r="AA162" s="102" t="str">
        <f t="shared" si="76"/>
        <v>Expand</v>
      </c>
      <c r="AB162" s="102" t="str">
        <f t="shared" si="76"/>
        <v>Expand</v>
      </c>
    </row>
    <row r="163" spans="1:28" s="143" customFormat="1">
      <c r="B163" s="143" t="s">
        <v>96</v>
      </c>
      <c r="D163" s="163" t="s">
        <v>97</v>
      </c>
      <c r="E163" s="162">
        <f>SUM(H163:AB163)</f>
        <v>0</v>
      </c>
      <c r="H163" s="162">
        <f>IF(H162=H158,0,1)</f>
        <v>0</v>
      </c>
      <c r="I163" s="162">
        <f t="shared" ref="I163:AB163" si="77">IF(I162=I158,0,1)</f>
        <v>0</v>
      </c>
      <c r="J163" s="162">
        <f t="shared" si="77"/>
        <v>0</v>
      </c>
      <c r="K163" s="162">
        <f t="shared" si="77"/>
        <v>0</v>
      </c>
      <c r="L163" s="162">
        <f t="shared" si="77"/>
        <v>0</v>
      </c>
      <c r="M163" s="162">
        <f t="shared" si="77"/>
        <v>0</v>
      </c>
      <c r="N163" s="162">
        <f t="shared" si="77"/>
        <v>0</v>
      </c>
      <c r="O163" s="162">
        <f t="shared" si="77"/>
        <v>0</v>
      </c>
      <c r="P163" s="162">
        <f t="shared" si="77"/>
        <v>0</v>
      </c>
      <c r="Q163" s="162">
        <f t="shared" si="77"/>
        <v>0</v>
      </c>
      <c r="R163" s="162">
        <f t="shared" si="77"/>
        <v>0</v>
      </c>
      <c r="S163" s="162">
        <f t="shared" si="77"/>
        <v>0</v>
      </c>
      <c r="T163" s="162">
        <f t="shared" si="77"/>
        <v>0</v>
      </c>
      <c r="U163" s="162">
        <f t="shared" si="77"/>
        <v>0</v>
      </c>
      <c r="V163" s="162">
        <f t="shared" si="77"/>
        <v>0</v>
      </c>
      <c r="W163" s="162">
        <f t="shared" si="77"/>
        <v>0</v>
      </c>
      <c r="X163" s="162">
        <f t="shared" si="77"/>
        <v>0</v>
      </c>
      <c r="Y163" s="162">
        <f t="shared" si="77"/>
        <v>0</v>
      </c>
      <c r="Z163" s="162">
        <f t="shared" si="77"/>
        <v>0</v>
      </c>
      <c r="AA163" s="162">
        <f t="shared" si="77"/>
        <v>0</v>
      </c>
      <c r="AB163" s="162">
        <f t="shared" si="77"/>
        <v>0</v>
      </c>
    </row>
    <row r="164" spans="1:28" s="143" customFormat="1">
      <c r="D164" s="163"/>
      <c r="E164" s="162"/>
      <c r="H164" s="162"/>
      <c r="I164" s="162"/>
      <c r="J164" s="162"/>
      <c r="K164" s="162"/>
      <c r="L164" s="162"/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  <c r="W164" s="162"/>
      <c r="X164" s="162"/>
      <c r="Y164" s="162"/>
      <c r="Z164" s="162"/>
      <c r="AA164" s="162"/>
      <c r="AB164" s="162"/>
    </row>
    <row r="165" spans="1:28">
      <c r="B165" s="156" t="s">
        <v>98</v>
      </c>
    </row>
    <row r="166" spans="1:28">
      <c r="G166" s="7" t="s">
        <v>7</v>
      </c>
      <c r="H166" s="160">
        <f t="shared" ref="H166:Q167" si="78">O117</f>
        <v>2026</v>
      </c>
      <c r="I166" s="22">
        <f t="shared" si="78"/>
        <v>2027</v>
      </c>
      <c r="J166" s="22">
        <f t="shared" si="78"/>
        <v>2027</v>
      </c>
      <c r="K166" s="22">
        <f t="shared" si="78"/>
        <v>2027</v>
      </c>
      <c r="L166" s="22">
        <f t="shared" si="78"/>
        <v>2027</v>
      </c>
      <c r="M166" s="22">
        <f t="shared" si="78"/>
        <v>2028</v>
      </c>
      <c r="N166" s="22">
        <f t="shared" si="78"/>
        <v>2028</v>
      </c>
      <c r="O166" s="22">
        <f t="shared" si="78"/>
        <v>2028</v>
      </c>
      <c r="P166" s="22">
        <f t="shared" si="78"/>
        <v>2028</v>
      </c>
      <c r="Q166" s="22">
        <f t="shared" si="78"/>
        <v>2029</v>
      </c>
      <c r="R166" s="22">
        <f t="shared" ref="R166:AA167" si="79">Y117</f>
        <v>2029</v>
      </c>
      <c r="S166" s="22">
        <f t="shared" si="79"/>
        <v>2029</v>
      </c>
      <c r="T166" s="22">
        <f t="shared" si="79"/>
        <v>2029</v>
      </c>
      <c r="U166" s="22">
        <f t="shared" si="79"/>
        <v>2030</v>
      </c>
      <c r="V166" s="22">
        <f t="shared" si="79"/>
        <v>2030</v>
      </c>
      <c r="W166" s="22">
        <f t="shared" si="79"/>
        <v>2030</v>
      </c>
      <c r="X166" s="22">
        <f t="shared" si="79"/>
        <v>2030</v>
      </c>
      <c r="Y166" s="22">
        <f t="shared" si="79"/>
        <v>2031</v>
      </c>
      <c r="Z166" s="22">
        <f t="shared" si="79"/>
        <v>2031</v>
      </c>
      <c r="AA166" s="22">
        <f t="shared" si="79"/>
        <v>2031</v>
      </c>
      <c r="AB166" s="161">
        <f t="shared" ref="AB166:AB167" si="80">AI117</f>
        <v>2031</v>
      </c>
    </row>
    <row r="167" spans="1:28">
      <c r="G167" s="7" t="s">
        <v>9</v>
      </c>
      <c r="H167" s="90" t="str">
        <f t="shared" si="78"/>
        <v>Q4</v>
      </c>
      <c r="I167" s="91" t="str">
        <f t="shared" si="78"/>
        <v>Q1</v>
      </c>
      <c r="J167" s="91" t="str">
        <f t="shared" si="78"/>
        <v>Q2</v>
      </c>
      <c r="K167" s="91" t="str">
        <f t="shared" si="78"/>
        <v>Q3</v>
      </c>
      <c r="L167" s="91" t="str">
        <f t="shared" si="78"/>
        <v>Q4</v>
      </c>
      <c r="M167" s="91" t="str">
        <f t="shared" si="78"/>
        <v>Q1</v>
      </c>
      <c r="N167" s="91" t="str">
        <f t="shared" si="78"/>
        <v>Q2</v>
      </c>
      <c r="O167" s="91" t="str">
        <f t="shared" si="78"/>
        <v>Q3</v>
      </c>
      <c r="P167" s="91" t="str">
        <f t="shared" si="78"/>
        <v>Q4</v>
      </c>
      <c r="Q167" s="91" t="str">
        <f t="shared" si="78"/>
        <v>Q1</v>
      </c>
      <c r="R167" s="91" t="str">
        <f t="shared" si="79"/>
        <v>Q2</v>
      </c>
      <c r="S167" s="91" t="str">
        <f t="shared" si="79"/>
        <v>Q3</v>
      </c>
      <c r="T167" s="91" t="str">
        <f t="shared" si="79"/>
        <v>Q4</v>
      </c>
      <c r="U167" s="91" t="str">
        <f t="shared" si="79"/>
        <v>Q1</v>
      </c>
      <c r="V167" s="91" t="str">
        <f t="shared" si="79"/>
        <v>Q2</v>
      </c>
      <c r="W167" s="91" t="str">
        <f t="shared" si="79"/>
        <v>Q3</v>
      </c>
      <c r="X167" s="91" t="str">
        <f t="shared" si="79"/>
        <v>Q4</v>
      </c>
      <c r="Y167" s="91" t="str">
        <f t="shared" si="79"/>
        <v>Q1</v>
      </c>
      <c r="Z167" s="91" t="str">
        <f t="shared" si="79"/>
        <v>Q2</v>
      </c>
      <c r="AA167" s="91" t="str">
        <f t="shared" si="79"/>
        <v>Q3</v>
      </c>
      <c r="AB167" s="92" t="str">
        <f t="shared" si="80"/>
        <v>Q4</v>
      </c>
    </row>
    <row r="168" spans="1:28">
      <c r="B168" t="s">
        <v>13</v>
      </c>
      <c r="H168" s="14">
        <f t="shared" ref="H168:AB168" si="81">O130</f>
        <v>215954.16671447485</v>
      </c>
      <c r="I168" s="14">
        <f t="shared" si="81"/>
        <v>196690.48176484986</v>
      </c>
      <c r="J168" s="14">
        <f t="shared" si="81"/>
        <v>218097.16718000162</v>
      </c>
      <c r="K168" s="14">
        <f t="shared" si="81"/>
        <v>237002.75999172867</v>
      </c>
      <c r="L168" s="14">
        <f t="shared" si="81"/>
        <v>240658.1407105969</v>
      </c>
      <c r="M168" s="14">
        <f t="shared" si="81"/>
        <v>219139.63420838196</v>
      </c>
      <c r="N168" s="14">
        <f t="shared" si="81"/>
        <v>243119.02317684493</v>
      </c>
      <c r="O168" s="14">
        <f t="shared" si="81"/>
        <v>264019.37684308889</v>
      </c>
      <c r="P168" s="14">
        <f t="shared" si="81"/>
        <v>269044.29425529449</v>
      </c>
      <c r="Q168" s="14">
        <f t="shared" si="81"/>
        <v>244930.80573009327</v>
      </c>
      <c r="R168" s="14">
        <f t="shared" si="81"/>
        <v>271914.08350742981</v>
      </c>
      <c r="S168" s="14">
        <f t="shared" si="81"/>
        <v>295030.92238361656</v>
      </c>
      <c r="T168" s="14">
        <f t="shared" si="81"/>
        <v>301912.13077498158</v>
      </c>
      <c r="U168" s="14">
        <f t="shared" si="81"/>
        <v>274783.06048227526</v>
      </c>
      <c r="V168" s="14">
        <f t="shared" si="81"/>
        <v>305318.01911727397</v>
      </c>
      <c r="W168" s="14">
        <f t="shared" si="81"/>
        <v>330895.58466903155</v>
      </c>
      <c r="X168" s="14">
        <f t="shared" si="81"/>
        <v>340316.27945430146</v>
      </c>
      <c r="Y168" s="14">
        <f t="shared" si="81"/>
        <v>309641.22467537649</v>
      </c>
      <c r="Z168" s="14">
        <f t="shared" si="81"/>
        <v>344437.7821668316</v>
      </c>
      <c r="AA168" s="14">
        <f t="shared" si="81"/>
        <v>372742.92166497617</v>
      </c>
      <c r="AB168" s="14">
        <f t="shared" si="81"/>
        <v>385670.92752538488</v>
      </c>
    </row>
    <row r="169" spans="1:28">
      <c r="B169" t="s">
        <v>89</v>
      </c>
      <c r="H169" s="14">
        <f>INDEX($D$156:$E$157,2,MATCH(H$171,$D$156:$E$156))*H168</f>
        <v>-26847.664880507662</v>
      </c>
      <c r="I169" s="14">
        <f t="shared" ref="I169:AB169" si="82">INDEX($D$156:$E$157,2,MATCH(I$171,$D$156:$E$156))*I168</f>
        <v>-24452.781902514416</v>
      </c>
      <c r="J169" s="14">
        <f t="shared" si="82"/>
        <v>-12725.755965919201</v>
      </c>
      <c r="K169" s="14">
        <f t="shared" si="82"/>
        <v>-13828.878778672248</v>
      </c>
      <c r="L169" s="14">
        <f t="shared" si="82"/>
        <v>-14042.166661281246</v>
      </c>
      <c r="M169" s="14">
        <f t="shared" si="82"/>
        <v>-12786.582895389294</v>
      </c>
      <c r="N169" s="14">
        <f t="shared" si="82"/>
        <v>-14185.756741479012</v>
      </c>
      <c r="O169" s="14">
        <f t="shared" si="82"/>
        <v>-15405.271895192634</v>
      </c>
      <c r="P169" s="14">
        <f t="shared" si="82"/>
        <v>-15698.470901687984</v>
      </c>
      <c r="Q169" s="14">
        <f t="shared" si="82"/>
        <v>-14291.472477882498</v>
      </c>
      <c r="R169" s="14">
        <f t="shared" si="82"/>
        <v>-15865.920292106479</v>
      </c>
      <c r="S169" s="14">
        <f t="shared" si="82"/>
        <v>-17214.765185626038</v>
      </c>
      <c r="T169" s="14">
        <f t="shared" si="82"/>
        <v>-37534.055645815002</v>
      </c>
      <c r="U169" s="14">
        <f t="shared" si="82"/>
        <v>-34161.339116101961</v>
      </c>
      <c r="V169" s="14">
        <f t="shared" si="82"/>
        <v>-17815.007198500436</v>
      </c>
      <c r="W169" s="14">
        <f t="shared" si="82"/>
        <v>-19307.433081984422</v>
      </c>
      <c r="X169" s="14">
        <f t="shared" si="82"/>
        <v>-19857.121390259457</v>
      </c>
      <c r="Y169" s="14">
        <f t="shared" si="82"/>
        <v>-18067.262005998746</v>
      </c>
      <c r="Z169" s="14">
        <f t="shared" si="82"/>
        <v>-20097.60703439093</v>
      </c>
      <c r="AA169" s="14">
        <f t="shared" si="82"/>
        <v>-21749.184184576479</v>
      </c>
      <c r="AB169" s="14">
        <f t="shared" si="82"/>
        <v>-22503.520656859739</v>
      </c>
    </row>
    <row r="170" spans="1:28">
      <c r="B170" t="s">
        <v>94</v>
      </c>
      <c r="H170" s="14">
        <f>INDEX($D$160:$E$161,2,MATCH(H$171,$D$160:$E$160))*H169</f>
        <v>9531.8664030898708</v>
      </c>
      <c r="I170" s="14">
        <f t="shared" ref="I170:AB170" si="83">INDEX($D$160:$E$161,2,MATCH(I$171,$D$160:$E$160))*I169</f>
        <v>8681.5986163431971</v>
      </c>
      <c r="J170" s="14">
        <f t="shared" si="83"/>
        <v>11858.412166968379</v>
      </c>
      <c r="K170" s="14">
        <f t="shared" si="83"/>
        <v>12886.349919306555</v>
      </c>
      <c r="L170" s="14">
        <f t="shared" si="83"/>
        <v>13085.100832727421</v>
      </c>
      <c r="M170" s="14">
        <f t="shared" si="83"/>
        <v>11915.093341936627</v>
      </c>
      <c r="N170" s="14">
        <f t="shared" si="83"/>
        <v>13218.904306456861</v>
      </c>
      <c r="O170" s="14">
        <f t="shared" si="83"/>
        <v>14355.301497738013</v>
      </c>
      <c r="P170" s="14">
        <f t="shared" si="83"/>
        <v>14628.517067428247</v>
      </c>
      <c r="Q170" s="14">
        <f t="shared" si="83"/>
        <v>13317.414821522878</v>
      </c>
      <c r="R170" s="14">
        <f t="shared" si="83"/>
        <v>14784.553682778091</v>
      </c>
      <c r="S170" s="14">
        <f t="shared" si="83"/>
        <v>16041.465943197203</v>
      </c>
      <c r="T170" s="14">
        <f t="shared" si="83"/>
        <v>13325.911418158488</v>
      </c>
      <c r="U170" s="14">
        <f t="shared" si="83"/>
        <v>12128.478288692606</v>
      </c>
      <c r="V170" s="14">
        <f t="shared" si="83"/>
        <v>16600.797522999441</v>
      </c>
      <c r="W170" s="14">
        <f t="shared" si="83"/>
        <v>17991.504786473724</v>
      </c>
      <c r="X170" s="14">
        <f t="shared" si="83"/>
        <v>18503.728228471664</v>
      </c>
      <c r="Y170" s="14">
        <f t="shared" si="83"/>
        <v>16835.859509605605</v>
      </c>
      <c r="Z170" s="14">
        <f t="shared" si="83"/>
        <v>18727.823197445392</v>
      </c>
      <c r="AA170" s="14">
        <f t="shared" si="83"/>
        <v>20266.834524151483</v>
      </c>
      <c r="AB170" s="14">
        <f t="shared" si="83"/>
        <v>20969.75801450192</v>
      </c>
    </row>
    <row r="171" spans="1:28">
      <c r="B171" t="s">
        <v>93</v>
      </c>
      <c r="E171" s="9" t="s">
        <v>99</v>
      </c>
      <c r="H171" s="9" t="s">
        <v>91</v>
      </c>
      <c r="I171" s="9" t="s">
        <v>91</v>
      </c>
      <c r="J171" s="9" t="s">
        <v>90</v>
      </c>
      <c r="K171" s="9" t="s">
        <v>90</v>
      </c>
      <c r="L171" s="9" t="s">
        <v>90</v>
      </c>
      <c r="M171" s="9" t="s">
        <v>90</v>
      </c>
      <c r="N171" s="9" t="s">
        <v>90</v>
      </c>
      <c r="O171" s="9" t="s">
        <v>90</v>
      </c>
      <c r="P171" s="9" t="s">
        <v>90</v>
      </c>
      <c r="Q171" s="9" t="s">
        <v>90</v>
      </c>
      <c r="R171" s="9" t="s">
        <v>90</v>
      </c>
      <c r="S171" s="9" t="s">
        <v>90</v>
      </c>
      <c r="T171" s="9" t="s">
        <v>91</v>
      </c>
      <c r="U171" s="9" t="s">
        <v>91</v>
      </c>
      <c r="V171" s="9" t="s">
        <v>90</v>
      </c>
      <c r="W171" s="9" t="s">
        <v>90</v>
      </c>
      <c r="X171" s="9" t="s">
        <v>90</v>
      </c>
      <c r="Y171" s="9" t="s">
        <v>90</v>
      </c>
      <c r="Z171" s="9" t="s">
        <v>90</v>
      </c>
      <c r="AA171" s="9" t="s">
        <v>90</v>
      </c>
      <c r="AB171" s="9" t="s">
        <v>90</v>
      </c>
    </row>
    <row r="174" spans="1:28" s="3" customFormat="1">
      <c r="A174" s="4" t="s">
        <v>11</v>
      </c>
      <c r="B174" s="3" t="s">
        <v>100</v>
      </c>
      <c r="F174" s="21"/>
    </row>
    <row r="175" spans="1:28">
      <c r="B175" t="s">
        <v>101</v>
      </c>
    </row>
    <row r="176" spans="1:28">
      <c r="B176" t="s">
        <v>102</v>
      </c>
      <c r="I176" s="19" t="s">
        <v>70</v>
      </c>
    </row>
    <row r="177" spans="2:28">
      <c r="E177" s="19" t="s">
        <v>103</v>
      </c>
      <c r="H177" s="7" t="s">
        <v>7</v>
      </c>
      <c r="I177" s="150">
        <v>2022</v>
      </c>
      <c r="J177" s="151">
        <v>2023</v>
      </c>
      <c r="K177" s="151">
        <v>2024</v>
      </c>
      <c r="L177" s="152">
        <v>2025</v>
      </c>
    </row>
    <row r="178" spans="2:28">
      <c r="B178" t="s">
        <v>104</v>
      </c>
      <c r="E178" s="102">
        <f>AVERAGE(I178:L178)</f>
        <v>2.8999999999999998E-2</v>
      </c>
      <c r="I178" s="102">
        <v>2.9000000000000001E-2</v>
      </c>
      <c r="J178" s="102">
        <v>2.8000000000000001E-2</v>
      </c>
      <c r="K178" s="102">
        <v>3.1E-2</v>
      </c>
      <c r="L178" s="102">
        <v>2.8000000000000001E-2</v>
      </c>
    </row>
    <row r="179" spans="2:28">
      <c r="B179" t="s">
        <v>105</v>
      </c>
      <c r="E179" s="102">
        <f t="shared" ref="E179:E181" si="84">AVERAGE(I179:L179)</f>
        <v>8.1750000000000003E-2</v>
      </c>
      <c r="I179" s="102">
        <v>8.5999999999999993E-2</v>
      </c>
      <c r="J179" s="102">
        <v>0.08</v>
      </c>
      <c r="K179" s="102">
        <v>7.6999999999999999E-2</v>
      </c>
      <c r="L179" s="102">
        <v>8.4000000000000005E-2</v>
      </c>
    </row>
    <row r="180" spans="2:28">
      <c r="B180" t="s">
        <v>106</v>
      </c>
      <c r="E180" s="102">
        <f t="shared" si="84"/>
        <v>2.5000000000000001E-2</v>
      </c>
      <c r="I180" s="102">
        <v>2.3E-2</v>
      </c>
      <c r="J180" s="102">
        <v>2.5000000000000001E-2</v>
      </c>
      <c r="K180" s="102">
        <v>2.4E-2</v>
      </c>
      <c r="L180" s="102">
        <v>2.8000000000000001E-2</v>
      </c>
    </row>
    <row r="181" spans="2:28">
      <c r="B181" t="s">
        <v>23</v>
      </c>
      <c r="E181" s="102">
        <f t="shared" si="84"/>
        <v>8.5658222544817766E-2</v>
      </c>
      <c r="I181" s="102">
        <v>7.8381351573840546E-2</v>
      </c>
      <c r="J181" s="102">
        <v>8.3101726572480952E-2</v>
      </c>
      <c r="K181" s="102">
        <v>9.4475797010885168E-2</v>
      </c>
      <c r="L181" s="102">
        <v>8.6674015022064399E-2</v>
      </c>
    </row>
    <row r="182" spans="2:28">
      <c r="E182" s="102"/>
    </row>
    <row r="184" spans="2:28">
      <c r="B184" s="156" t="s">
        <v>98</v>
      </c>
    </row>
    <row r="185" spans="2:28">
      <c r="G185" s="7" t="s">
        <v>7</v>
      </c>
      <c r="H185" s="160">
        <f t="shared" ref="H185:H186" si="85">M137</f>
        <v>2026</v>
      </c>
      <c r="I185" s="22">
        <f t="shared" ref="I185:I186" si="86">N137</f>
        <v>2027</v>
      </c>
      <c r="J185" s="22">
        <f t="shared" ref="J185:J186" si="87">O137</f>
        <v>2027</v>
      </c>
      <c r="K185" s="22">
        <f t="shared" ref="K185:K186" si="88">P137</f>
        <v>2027</v>
      </c>
      <c r="L185" s="22">
        <f t="shared" ref="L185:L186" si="89">Q137</f>
        <v>2027</v>
      </c>
      <c r="M185" s="22">
        <f t="shared" ref="M185:M186" si="90">R137</f>
        <v>2028</v>
      </c>
      <c r="N185" s="22">
        <f t="shared" ref="N185:N186" si="91">S137</f>
        <v>2028</v>
      </c>
      <c r="O185" s="22">
        <f t="shared" ref="O185:O186" si="92">T137</f>
        <v>2028</v>
      </c>
      <c r="P185" s="22">
        <f t="shared" ref="P185:P186" si="93">U137</f>
        <v>2028</v>
      </c>
      <c r="Q185" s="22">
        <f t="shared" ref="Q185:Q186" si="94">V137</f>
        <v>2029</v>
      </c>
      <c r="R185" s="22">
        <f t="shared" ref="R185:R186" si="95">W137</f>
        <v>2029</v>
      </c>
      <c r="S185" s="22">
        <f t="shared" ref="S185:S186" si="96">X137</f>
        <v>2029</v>
      </c>
      <c r="T185" s="22">
        <f t="shared" ref="T185:T186" si="97">Y137</f>
        <v>2029</v>
      </c>
      <c r="U185" s="22">
        <f t="shared" ref="U185:U186" si="98">Z137</f>
        <v>2030</v>
      </c>
      <c r="V185" s="22">
        <f t="shared" ref="V185:V186" si="99">AA137</f>
        <v>2030</v>
      </c>
      <c r="W185" s="22">
        <f t="shared" ref="W185:W186" si="100">AB137</f>
        <v>2030</v>
      </c>
      <c r="X185" s="22">
        <f t="shared" ref="X185:X186" si="101">AC137</f>
        <v>2030</v>
      </c>
      <c r="Y185" s="22">
        <f t="shared" ref="Y185:Y186" si="102">AD137</f>
        <v>2031</v>
      </c>
      <c r="Z185" s="22">
        <f t="shared" ref="Z185:Z186" si="103">AE137</f>
        <v>2031</v>
      </c>
      <c r="AA185" s="22">
        <f t="shared" ref="AA185:AA186" si="104">AF137</f>
        <v>2031</v>
      </c>
      <c r="AB185" s="161">
        <f t="shared" ref="AB185:AB186" si="105">AG137</f>
        <v>2031</v>
      </c>
    </row>
    <row r="186" spans="2:28">
      <c r="G186" s="7" t="s">
        <v>9</v>
      </c>
      <c r="H186" s="90" t="str">
        <f t="shared" si="85"/>
        <v>Q4</v>
      </c>
      <c r="I186" s="91" t="str">
        <f t="shared" si="86"/>
        <v>Q1</v>
      </c>
      <c r="J186" s="91" t="str">
        <f t="shared" si="87"/>
        <v>Q2</v>
      </c>
      <c r="K186" s="91" t="str">
        <f t="shared" si="88"/>
        <v>Q3</v>
      </c>
      <c r="L186" s="91" t="str">
        <f t="shared" si="89"/>
        <v>Q4</v>
      </c>
      <c r="M186" s="91" t="str">
        <f t="shared" si="90"/>
        <v>Q1</v>
      </c>
      <c r="N186" s="91" t="str">
        <f t="shared" si="91"/>
        <v>Q2</v>
      </c>
      <c r="O186" s="91" t="str">
        <f t="shared" si="92"/>
        <v>Q3</v>
      </c>
      <c r="P186" s="91" t="str">
        <f t="shared" si="93"/>
        <v>Q4</v>
      </c>
      <c r="Q186" s="91" t="str">
        <f t="shared" si="94"/>
        <v>Q1</v>
      </c>
      <c r="R186" s="91" t="str">
        <f t="shared" si="95"/>
        <v>Q2</v>
      </c>
      <c r="S186" s="91" t="str">
        <f t="shared" si="96"/>
        <v>Q3</v>
      </c>
      <c r="T186" s="91" t="str">
        <f t="shared" si="97"/>
        <v>Q4</v>
      </c>
      <c r="U186" s="91" t="str">
        <f t="shared" si="98"/>
        <v>Q1</v>
      </c>
      <c r="V186" s="91" t="str">
        <f t="shared" si="99"/>
        <v>Q2</v>
      </c>
      <c r="W186" s="91" t="str">
        <f t="shared" si="100"/>
        <v>Q3</v>
      </c>
      <c r="X186" s="91" t="str">
        <f t="shared" si="101"/>
        <v>Q4</v>
      </c>
      <c r="Y186" s="91" t="str">
        <f t="shared" si="102"/>
        <v>Q1</v>
      </c>
      <c r="Z186" s="91" t="str">
        <f t="shared" si="103"/>
        <v>Q2</v>
      </c>
      <c r="AA186" s="91" t="str">
        <f t="shared" si="104"/>
        <v>Q3</v>
      </c>
      <c r="AB186" s="92" t="str">
        <f t="shared" si="105"/>
        <v>Q4</v>
      </c>
    </row>
    <row r="188" spans="2:28">
      <c r="B188" t="s">
        <v>13</v>
      </c>
      <c r="H188" s="14">
        <f t="shared" ref="H188:AB188" si="106">O130</f>
        <v>215954.16671447485</v>
      </c>
      <c r="I188" s="14">
        <f t="shared" si="106"/>
        <v>196690.48176484986</v>
      </c>
      <c r="J188" s="14">
        <f t="shared" si="106"/>
        <v>218097.16718000162</v>
      </c>
      <c r="K188" s="14">
        <f t="shared" si="106"/>
        <v>237002.75999172867</v>
      </c>
      <c r="L188" s="14">
        <f t="shared" si="106"/>
        <v>240658.1407105969</v>
      </c>
      <c r="M188" s="14">
        <f t="shared" si="106"/>
        <v>219139.63420838196</v>
      </c>
      <c r="N188" s="14">
        <f t="shared" si="106"/>
        <v>243119.02317684493</v>
      </c>
      <c r="O188" s="14">
        <f t="shared" si="106"/>
        <v>264019.37684308889</v>
      </c>
      <c r="P188" s="14">
        <f t="shared" si="106"/>
        <v>269044.29425529449</v>
      </c>
      <c r="Q188" s="14">
        <f t="shared" si="106"/>
        <v>244930.80573009327</v>
      </c>
      <c r="R188" s="14">
        <f t="shared" si="106"/>
        <v>271914.08350742981</v>
      </c>
      <c r="S188" s="14">
        <f t="shared" si="106"/>
        <v>295030.92238361656</v>
      </c>
      <c r="T188" s="14">
        <f t="shared" si="106"/>
        <v>301912.13077498158</v>
      </c>
      <c r="U188" s="14">
        <f t="shared" si="106"/>
        <v>274783.06048227526</v>
      </c>
      <c r="V188" s="14">
        <f t="shared" si="106"/>
        <v>305318.01911727397</v>
      </c>
      <c r="W188" s="14">
        <f t="shared" si="106"/>
        <v>330895.58466903155</v>
      </c>
      <c r="X188" s="14">
        <f t="shared" si="106"/>
        <v>340316.27945430146</v>
      </c>
      <c r="Y188" s="14">
        <f t="shared" si="106"/>
        <v>309641.22467537649</v>
      </c>
      <c r="Z188" s="14">
        <f t="shared" si="106"/>
        <v>344437.7821668316</v>
      </c>
      <c r="AA188" s="14">
        <f t="shared" si="106"/>
        <v>372742.92166497617</v>
      </c>
      <c r="AB188" s="14">
        <f t="shared" si="106"/>
        <v>385670.92752538488</v>
      </c>
    </row>
    <row r="189" spans="2:28"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 spans="2:28">
      <c r="B190" t="s">
        <v>104</v>
      </c>
      <c r="H190" s="14">
        <f t="shared" ref="H190:AB190" si="107">-$E178*H$188</f>
        <v>-6262.67083471977</v>
      </c>
      <c r="I190" s="14">
        <f t="shared" si="107"/>
        <v>-5704.0239711806453</v>
      </c>
      <c r="J190" s="14">
        <f t="shared" si="107"/>
        <v>-6324.8178482200465</v>
      </c>
      <c r="K190" s="14">
        <f t="shared" si="107"/>
        <v>-6873.0800397601306</v>
      </c>
      <c r="L190" s="14">
        <f t="shared" si="107"/>
        <v>-6979.0860806073097</v>
      </c>
      <c r="M190" s="14">
        <f t="shared" si="107"/>
        <v>-6355.0493920430763</v>
      </c>
      <c r="N190" s="14">
        <f t="shared" si="107"/>
        <v>-7050.4516721285027</v>
      </c>
      <c r="O190" s="14">
        <f t="shared" si="107"/>
        <v>-7656.561928449577</v>
      </c>
      <c r="P190" s="14">
        <f t="shared" si="107"/>
        <v>-7802.2845334035392</v>
      </c>
      <c r="Q190" s="14">
        <f t="shared" si="107"/>
        <v>-7102.9933661727046</v>
      </c>
      <c r="R190" s="14">
        <f t="shared" si="107"/>
        <v>-7885.5084217154636</v>
      </c>
      <c r="S190" s="14">
        <f t="shared" si="107"/>
        <v>-8555.8967491248804</v>
      </c>
      <c r="T190" s="14">
        <f t="shared" si="107"/>
        <v>-8755.451792474465</v>
      </c>
      <c r="U190" s="14">
        <f t="shared" si="107"/>
        <v>-7968.7087539859822</v>
      </c>
      <c r="V190" s="14">
        <f t="shared" si="107"/>
        <v>-8854.2225544009452</v>
      </c>
      <c r="W190" s="14">
        <f t="shared" si="107"/>
        <v>-9595.9719554019139</v>
      </c>
      <c r="X190" s="14">
        <f t="shared" si="107"/>
        <v>-9869.1721041747423</v>
      </c>
      <c r="Y190" s="14">
        <f t="shared" si="107"/>
        <v>-8979.5955155859174</v>
      </c>
      <c r="Z190" s="14">
        <f t="shared" si="107"/>
        <v>-9988.6956828381153</v>
      </c>
      <c r="AA190" s="14">
        <f t="shared" si="107"/>
        <v>-10809.544728284309</v>
      </c>
      <c r="AB190" s="14">
        <f t="shared" si="107"/>
        <v>-11184.45689823616</v>
      </c>
    </row>
    <row r="191" spans="2:28">
      <c r="B191" t="s">
        <v>105</v>
      </c>
      <c r="H191" s="14">
        <f t="shared" ref="H191:W193" si="108">-$E179*H$188</f>
        <v>-17654.25312890832</v>
      </c>
      <c r="I191" s="14">
        <f t="shared" ref="I191:AB191" si="109">-$E179*I$188</f>
        <v>-16079.446884276476</v>
      </c>
      <c r="J191" s="14">
        <f t="shared" si="109"/>
        <v>-17829.443416965132</v>
      </c>
      <c r="K191" s="14">
        <f t="shared" si="109"/>
        <v>-19374.975629323821</v>
      </c>
      <c r="L191" s="14">
        <f t="shared" si="109"/>
        <v>-19673.803003091296</v>
      </c>
      <c r="M191" s="14">
        <f t="shared" si="109"/>
        <v>-17914.665096535227</v>
      </c>
      <c r="N191" s="14">
        <f t="shared" si="109"/>
        <v>-19874.980144707075</v>
      </c>
      <c r="O191" s="14">
        <f t="shared" si="109"/>
        <v>-21583.584056922518</v>
      </c>
      <c r="P191" s="14">
        <f t="shared" si="109"/>
        <v>-21994.371055370324</v>
      </c>
      <c r="Q191" s="14">
        <f t="shared" si="109"/>
        <v>-20023.093368435126</v>
      </c>
      <c r="R191" s="14">
        <f t="shared" si="109"/>
        <v>-22228.976326732387</v>
      </c>
      <c r="S191" s="14">
        <f t="shared" si="109"/>
        <v>-24118.777904860654</v>
      </c>
      <c r="T191" s="14">
        <f t="shared" si="109"/>
        <v>-24681.316690854746</v>
      </c>
      <c r="U191" s="14">
        <f t="shared" si="109"/>
        <v>-22463.515194426003</v>
      </c>
      <c r="V191" s="14">
        <f t="shared" si="109"/>
        <v>-24959.748062837149</v>
      </c>
      <c r="W191" s="14">
        <f t="shared" si="109"/>
        <v>-27050.714046693331</v>
      </c>
      <c r="X191" s="14">
        <f t="shared" si="109"/>
        <v>-27820.855845389146</v>
      </c>
      <c r="Y191" s="14">
        <f t="shared" si="109"/>
        <v>-25313.17011721203</v>
      </c>
      <c r="Z191" s="14">
        <f t="shared" si="109"/>
        <v>-28157.788692138485</v>
      </c>
      <c r="AA191" s="14">
        <f t="shared" si="109"/>
        <v>-30471.733846111802</v>
      </c>
      <c r="AB191" s="14">
        <f t="shared" si="109"/>
        <v>-31528.598325200215</v>
      </c>
    </row>
    <row r="192" spans="2:28">
      <c r="B192" t="s">
        <v>106</v>
      </c>
      <c r="H192" s="14">
        <f t="shared" si="108"/>
        <v>-5398.8541678618712</v>
      </c>
      <c r="I192" s="14">
        <f t="shared" si="108"/>
        <v>-4917.2620441212466</v>
      </c>
      <c r="J192" s="14">
        <f t="shared" si="108"/>
        <v>-5452.4291795000408</v>
      </c>
      <c r="K192" s="14">
        <f t="shared" si="108"/>
        <v>-5925.0689997932168</v>
      </c>
      <c r="L192" s="14">
        <f t="shared" si="108"/>
        <v>-6016.4535177649232</v>
      </c>
      <c r="M192" s="14">
        <f t="shared" si="108"/>
        <v>-5478.4908552095494</v>
      </c>
      <c r="N192" s="14">
        <f t="shared" si="108"/>
        <v>-6077.9755794211233</v>
      </c>
      <c r="O192" s="14">
        <f t="shared" si="108"/>
        <v>-6600.4844210772226</v>
      </c>
      <c r="P192" s="14">
        <f t="shared" si="108"/>
        <v>-6726.1073563823629</v>
      </c>
      <c r="Q192" s="14">
        <f t="shared" si="108"/>
        <v>-6123.2701432523318</v>
      </c>
      <c r="R192" s="14">
        <f t="shared" si="108"/>
        <v>-6797.8520876857456</v>
      </c>
      <c r="S192" s="14">
        <f t="shared" si="108"/>
        <v>-7375.7730595904141</v>
      </c>
      <c r="T192" s="14">
        <f t="shared" si="108"/>
        <v>-7547.8032693745399</v>
      </c>
      <c r="U192" s="14">
        <f t="shared" si="108"/>
        <v>-6869.5765120568822</v>
      </c>
      <c r="V192" s="14">
        <f t="shared" si="108"/>
        <v>-7632.9504779318495</v>
      </c>
      <c r="W192" s="14">
        <f t="shared" si="108"/>
        <v>-8272.3896167257899</v>
      </c>
      <c r="X192" s="14">
        <f t="shared" ref="X192:AB192" si="110">-$E180*X$188</f>
        <v>-8507.9069863575369</v>
      </c>
      <c r="Y192" s="14">
        <f t="shared" si="110"/>
        <v>-7741.0306168844127</v>
      </c>
      <c r="Z192" s="14">
        <f t="shared" si="110"/>
        <v>-8610.9445541707901</v>
      </c>
      <c r="AA192" s="14">
        <f t="shared" si="110"/>
        <v>-9318.5730416244041</v>
      </c>
      <c r="AB192" s="14">
        <f t="shared" si="110"/>
        <v>-9641.7731881346226</v>
      </c>
    </row>
    <row r="193" spans="2:28">
      <c r="B193" t="s">
        <v>23</v>
      </c>
      <c r="H193" s="14">
        <f t="shared" si="108"/>
        <v>-18498.250071909166</v>
      </c>
      <c r="I193" s="14">
        <f t="shared" si="108"/>
        <v>-16848.157059460929</v>
      </c>
      <c r="J193" s="14">
        <f t="shared" si="108"/>
        <v>-18681.815682698903</v>
      </c>
      <c r="K193" s="14">
        <f t="shared" si="108"/>
        <v>-20301.235159107528</v>
      </c>
      <c r="L193" s="14">
        <f t="shared" si="108"/>
        <v>-20614.348574210377</v>
      </c>
      <c r="M193" s="14">
        <f t="shared" si="108"/>
        <v>-18771.111555411542</v>
      </c>
      <c r="N193" s="14">
        <f t="shared" si="108"/>
        <v>-20825.143392160891</v>
      </c>
      <c r="O193" s="14">
        <f t="shared" si="108"/>
        <v>-22615.430537769415</v>
      </c>
      <c r="P193" s="14">
        <f t="shared" si="108"/>
        <v>-23045.856031733452</v>
      </c>
      <c r="Q193" s="14">
        <f t="shared" si="108"/>
        <v>-20980.337465309854</v>
      </c>
      <c r="R193" s="14">
        <f t="shared" si="108"/>
        <v>-23291.677078149583</v>
      </c>
      <c r="S193" s="14">
        <f t="shared" si="108"/>
        <v>-25271.824407138683</v>
      </c>
      <c r="T193" s="14">
        <f t="shared" si="108"/>
        <v>-25861.256486903498</v>
      </c>
      <c r="U193" s="14">
        <f t="shared" si="108"/>
        <v>-23537.428546336854</v>
      </c>
      <c r="V193" s="14">
        <f t="shared" si="108"/>
        <v>-26152.998828490377</v>
      </c>
      <c r="W193" s="14">
        <f t="shared" si="108"/>
        <v>-28343.927630677495</v>
      </c>
      <c r="X193" s="14">
        <f t="shared" ref="X193:AB193" si="111">-$E181*X$188</f>
        <v>-29150.88760112095</v>
      </c>
      <c r="Y193" s="14">
        <f t="shared" si="111"/>
        <v>-26523.316932293317</v>
      </c>
      <c r="Z193" s="14">
        <f t="shared" si="111"/>
        <v>-29503.928197689926</v>
      </c>
      <c r="AA193" s="14">
        <f t="shared" si="111"/>
        <v>-31928.496135984104</v>
      </c>
      <c r="AB193" s="14">
        <f t="shared" si="111"/>
        <v>-33035.886139035705</v>
      </c>
    </row>
    <row r="194" spans="2:28">
      <c r="B194" t="s">
        <v>94</v>
      </c>
      <c r="H194" s="14">
        <f>-H170</f>
        <v>-9531.8664030898708</v>
      </c>
      <c r="I194" s="14">
        <f t="shared" ref="I194:AB194" si="112">-I170</f>
        <v>-8681.5986163431971</v>
      </c>
      <c r="J194" s="14">
        <f t="shared" si="112"/>
        <v>-11858.412166968379</v>
      </c>
      <c r="K194" s="14">
        <f t="shared" si="112"/>
        <v>-12886.349919306555</v>
      </c>
      <c r="L194" s="14">
        <f t="shared" si="112"/>
        <v>-13085.100832727421</v>
      </c>
      <c r="M194" s="14">
        <f t="shared" si="112"/>
        <v>-11915.093341936627</v>
      </c>
      <c r="N194" s="14">
        <f t="shared" si="112"/>
        <v>-13218.904306456861</v>
      </c>
      <c r="O194" s="14">
        <f t="shared" si="112"/>
        <v>-14355.301497738013</v>
      </c>
      <c r="P194" s="14">
        <f t="shared" si="112"/>
        <v>-14628.517067428247</v>
      </c>
      <c r="Q194" s="14">
        <f t="shared" si="112"/>
        <v>-13317.414821522878</v>
      </c>
      <c r="R194" s="14">
        <f t="shared" si="112"/>
        <v>-14784.553682778091</v>
      </c>
      <c r="S194" s="14">
        <f t="shared" si="112"/>
        <v>-16041.465943197203</v>
      </c>
      <c r="T194" s="14">
        <f t="shared" si="112"/>
        <v>-13325.911418158488</v>
      </c>
      <c r="U194" s="14">
        <f t="shared" si="112"/>
        <v>-12128.478288692606</v>
      </c>
      <c r="V194" s="14">
        <f t="shared" si="112"/>
        <v>-16600.797522999441</v>
      </c>
      <c r="W194" s="14">
        <f t="shared" si="112"/>
        <v>-17991.504786473724</v>
      </c>
      <c r="X194" s="14">
        <f t="shared" si="112"/>
        <v>-18503.728228471664</v>
      </c>
      <c r="Y194" s="14">
        <f t="shared" si="112"/>
        <v>-16835.859509605605</v>
      </c>
      <c r="Z194" s="14">
        <f t="shared" si="112"/>
        <v>-18727.823197445392</v>
      </c>
      <c r="AA194" s="14">
        <f t="shared" si="112"/>
        <v>-20266.834524151483</v>
      </c>
      <c r="AB194" s="14">
        <f t="shared" si="112"/>
        <v>-20969.75801450192</v>
      </c>
    </row>
    <row r="195" spans="2:28">
      <c r="B195" s="12" t="s">
        <v>107</v>
      </c>
      <c r="C195" s="12"/>
      <c r="D195" s="12"/>
      <c r="E195" s="12"/>
      <c r="F195" s="12"/>
      <c r="G195" s="12"/>
      <c r="H195" s="13">
        <f>SUM(H190:H194)</f>
        <v>-57345.894606488997</v>
      </c>
      <c r="I195" s="13">
        <f t="shared" ref="I195:AB195" si="113">SUM(I190:I194)</f>
        <v>-52230.488575382493</v>
      </c>
      <c r="J195" s="13">
        <f t="shared" si="113"/>
        <v>-60146.918294352508</v>
      </c>
      <c r="K195" s="13">
        <f t="shared" si="113"/>
        <v>-65360.709747291243</v>
      </c>
      <c r="L195" s="13">
        <f t="shared" si="113"/>
        <v>-66368.792008401331</v>
      </c>
      <c r="M195" s="13">
        <f t="shared" si="113"/>
        <v>-60434.410241136029</v>
      </c>
      <c r="N195" s="13">
        <f t="shared" si="113"/>
        <v>-67047.455094874458</v>
      </c>
      <c r="O195" s="13">
        <f t="shared" si="113"/>
        <v>-72811.362441956735</v>
      </c>
      <c r="P195" s="13">
        <f t="shared" si="113"/>
        <v>-74197.136044317915</v>
      </c>
      <c r="Q195" s="13">
        <f t="shared" si="113"/>
        <v>-67547.109164692898</v>
      </c>
      <c r="R195" s="13">
        <f t="shared" si="113"/>
        <v>-74988.567597061265</v>
      </c>
      <c r="S195" s="13">
        <f t="shared" si="113"/>
        <v>-81363.738063911849</v>
      </c>
      <c r="T195" s="13">
        <f t="shared" si="113"/>
        <v>-80171.739657765735</v>
      </c>
      <c r="U195" s="13">
        <f t="shared" si="113"/>
        <v>-72967.70729549833</v>
      </c>
      <c r="V195" s="13">
        <f t="shared" si="113"/>
        <v>-84200.717446659779</v>
      </c>
      <c r="W195" s="13">
        <f t="shared" si="113"/>
        <v>-91254.508035972263</v>
      </c>
      <c r="X195" s="13">
        <f t="shared" si="113"/>
        <v>-93852.550765514039</v>
      </c>
      <c r="Y195" s="13">
        <f t="shared" si="113"/>
        <v>-85392.972691581279</v>
      </c>
      <c r="Z195" s="13">
        <f t="shared" si="113"/>
        <v>-94989.180324282715</v>
      </c>
      <c r="AA195" s="13">
        <f t="shared" si="113"/>
        <v>-102795.18227615612</v>
      </c>
      <c r="AB195" s="13">
        <f t="shared" si="113"/>
        <v>-106360.47256510862</v>
      </c>
    </row>
  </sheetData>
  <dataValidations count="9">
    <dataValidation type="list" allowBlank="1" showInputMessage="1" showErrorMessage="1" sqref="G121" xr:uid="{F55AF089-1CEE-470D-85B2-D8FE7B3AFB26}">
      <formula1>$H$121:$I$121</formula1>
    </dataValidation>
    <dataValidation type="list" allowBlank="1" showInputMessage="1" showErrorMessage="1" sqref="G122" xr:uid="{FDA82626-70D2-4458-9A94-6FD6EE287946}">
      <formula1>$H$122:$I$122</formula1>
    </dataValidation>
    <dataValidation type="list" allowBlank="1" showInputMessage="1" showErrorMessage="1" sqref="G123" xr:uid="{DA6FA23D-CA6F-4887-9B57-C39BE2DCD90D}">
      <formula1>$H$123:$I$123</formula1>
    </dataValidation>
    <dataValidation type="list" allowBlank="1" showInputMessage="1" showErrorMessage="1" sqref="G124" xr:uid="{5AFA9256-20B1-4D27-AC02-E87686F03244}">
      <formula1>$H$124:$I$124</formula1>
    </dataValidation>
    <dataValidation type="list" allowBlank="1" showInputMessage="1" showErrorMessage="1" sqref="G125" xr:uid="{36C17B92-F8C0-4325-98C0-CC8D6F877F73}">
      <formula1>$H$125:$I$125</formula1>
    </dataValidation>
    <dataValidation type="list" allowBlank="1" showInputMessage="1" showErrorMessage="1" sqref="G126" xr:uid="{6D745B00-3DCB-4E29-A356-DC802023C64E}">
      <formula1>$H$126:$I$126</formula1>
    </dataValidation>
    <dataValidation type="list" allowBlank="1" showInputMessage="1" showErrorMessage="1" sqref="G127" xr:uid="{7FA8C07E-2C65-4237-9B4D-D82EFD377126}">
      <formula1>$H$127:$I$127</formula1>
    </dataValidation>
    <dataValidation type="list" allowBlank="1" showInputMessage="1" showErrorMessage="1" sqref="G128" xr:uid="{9CFF5BF8-B48D-41CB-94E8-306B778864B0}">
      <formula1>$H$128:$I$128</formula1>
    </dataValidation>
    <dataValidation type="list" allowBlank="1" showInputMessage="1" showErrorMessage="1" sqref="G129" xr:uid="{0CD64D82-7793-4F68-A790-7378797C0205}">
      <formula1>$H$129:$I$129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70"/>
  <sheetViews>
    <sheetView showGridLines="0" zoomScale="70" zoomScaleNormal="70" workbookViewId="0">
      <pane xSplit="6" ySplit="8" topLeftCell="G51" activePane="bottomRight" state="frozen"/>
      <selection pane="bottomRight" activeCell="H9" sqref="H9"/>
      <selection pane="bottomLeft" activeCell="A9" sqref="A9"/>
      <selection pane="topRight" activeCell="G1" sqref="G1"/>
    </sheetView>
  </sheetViews>
  <sheetFormatPr defaultRowHeight="14.65"/>
  <cols>
    <col min="1" max="1" width="5.28515625" customWidth="1"/>
    <col min="2" max="2" width="53.28515625" customWidth="1"/>
    <col min="3" max="3" width="17.7109375" style="9" bestFit="1" customWidth="1"/>
    <col min="6" max="6" width="16.28515625" bestFit="1" customWidth="1"/>
    <col min="7" max="7" width="10.5703125" style="14" bestFit="1" customWidth="1"/>
    <col min="8" max="27" width="10.7109375" style="14" bestFit="1" customWidth="1"/>
    <col min="28" max="28" width="9.42578125" style="14" bestFit="1" customWidth="1"/>
    <col min="29" max="30" width="9.42578125" bestFit="1" customWidth="1"/>
    <col min="31" max="31" width="10.5703125" bestFit="1" customWidth="1"/>
    <col min="32" max="32" width="9.42578125" bestFit="1" customWidth="1"/>
    <col min="33" max="34" width="9.5703125" bestFit="1" customWidth="1"/>
    <col min="35" max="35" width="10.5703125" bestFit="1" customWidth="1"/>
    <col min="36" max="38" width="9.5703125" bestFit="1" customWidth="1"/>
    <col min="39" max="39" width="10.5703125" bestFit="1" customWidth="1"/>
    <col min="40" max="42" width="9.5703125" bestFit="1" customWidth="1"/>
    <col min="43" max="43" width="10.5703125" bestFit="1" customWidth="1"/>
    <col min="44" max="46" width="9.5703125" bestFit="1" customWidth="1"/>
    <col min="47" max="47" width="10.5703125" bestFit="1" customWidth="1"/>
    <col min="48" max="49" width="9.5703125" bestFit="1" customWidth="1"/>
  </cols>
  <sheetData>
    <row r="1" spans="1:49"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</row>
    <row r="2" spans="1:49" s="2" customFormat="1" ht="15" thickBot="1">
      <c r="B2" s="2" t="s">
        <v>3</v>
      </c>
      <c r="C2" s="20"/>
    </row>
    <row r="3" spans="1:49" ht="15" thickTop="1">
      <c r="B3" s="1" t="s">
        <v>4</v>
      </c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 spans="1:49">
      <c r="B4" s="1"/>
      <c r="F4" s="7" t="s">
        <v>108</v>
      </c>
      <c r="G4" s="19" t="s">
        <v>70</v>
      </c>
      <c r="H4" s="19" t="s">
        <v>70</v>
      </c>
      <c r="I4" s="19" t="s">
        <v>70</v>
      </c>
      <c r="J4" s="19" t="s">
        <v>70</v>
      </c>
      <c r="K4" s="19" t="s">
        <v>70</v>
      </c>
      <c r="L4" s="19" t="s">
        <v>70</v>
      </c>
      <c r="M4" s="19" t="s">
        <v>70</v>
      </c>
      <c r="N4" s="19" t="s">
        <v>70</v>
      </c>
      <c r="O4" s="19" t="s">
        <v>70</v>
      </c>
      <c r="P4" s="19" t="s">
        <v>70</v>
      </c>
      <c r="Q4" s="19" t="s">
        <v>70</v>
      </c>
      <c r="R4" s="19" t="s">
        <v>70</v>
      </c>
      <c r="S4" s="19" t="s">
        <v>70</v>
      </c>
      <c r="T4" s="19" t="s">
        <v>70</v>
      </c>
      <c r="U4" s="19" t="s">
        <v>70</v>
      </c>
      <c r="V4" s="19" t="s">
        <v>70</v>
      </c>
      <c r="W4" s="19" t="s">
        <v>70</v>
      </c>
      <c r="X4" s="19" t="s">
        <v>70</v>
      </c>
      <c r="Y4" s="19" t="s">
        <v>70</v>
      </c>
      <c r="Z4" s="19" t="s">
        <v>70</v>
      </c>
      <c r="AA4" s="19" t="s">
        <v>70</v>
      </c>
      <c r="AB4" s="19" t="s">
        <v>109</v>
      </c>
      <c r="AC4" s="19" t="s">
        <v>109</v>
      </c>
      <c r="AD4" s="19" t="s">
        <v>109</v>
      </c>
      <c r="AE4" s="19" t="s">
        <v>109</v>
      </c>
      <c r="AF4" s="19" t="s">
        <v>109</v>
      </c>
      <c r="AG4" s="19" t="s">
        <v>109</v>
      </c>
      <c r="AH4" s="19" t="s">
        <v>109</v>
      </c>
      <c r="AI4" s="19" t="s">
        <v>109</v>
      </c>
      <c r="AJ4" s="19" t="s">
        <v>109</v>
      </c>
      <c r="AK4" s="19" t="s">
        <v>109</v>
      </c>
      <c r="AL4" s="19" t="s">
        <v>109</v>
      </c>
      <c r="AM4" s="19" t="s">
        <v>109</v>
      </c>
      <c r="AN4" s="19" t="s">
        <v>109</v>
      </c>
      <c r="AO4" s="19" t="s">
        <v>109</v>
      </c>
      <c r="AP4" s="19" t="s">
        <v>109</v>
      </c>
      <c r="AQ4" s="19" t="s">
        <v>109</v>
      </c>
      <c r="AR4" s="19" t="s">
        <v>109</v>
      </c>
      <c r="AS4" s="19" t="s">
        <v>109</v>
      </c>
      <c r="AT4" s="19" t="s">
        <v>109</v>
      </c>
      <c r="AU4" s="19" t="s">
        <v>109</v>
      </c>
      <c r="AV4" s="19" t="s">
        <v>109</v>
      </c>
      <c r="AW4" s="9"/>
    </row>
    <row r="5" spans="1:49">
      <c r="B5" s="1"/>
      <c r="F5" s="7" t="s">
        <v>5</v>
      </c>
      <c r="G5" s="8">
        <v>44105</v>
      </c>
      <c r="H5" s="8">
        <f>G6+1</f>
        <v>44197</v>
      </c>
      <c r="I5" s="8">
        <f>H6+1</f>
        <v>44287</v>
      </c>
      <c r="J5" s="8">
        <f t="shared" ref="J5:AB5" si="0">I6+1</f>
        <v>44378</v>
      </c>
      <c r="K5" s="8">
        <f t="shared" si="0"/>
        <v>44470</v>
      </c>
      <c r="L5" s="8">
        <f t="shared" si="0"/>
        <v>44562</v>
      </c>
      <c r="M5" s="8">
        <f t="shared" si="0"/>
        <v>44652</v>
      </c>
      <c r="N5" s="8">
        <f t="shared" si="0"/>
        <v>44743</v>
      </c>
      <c r="O5" s="8">
        <f t="shared" si="0"/>
        <v>44835</v>
      </c>
      <c r="P5" s="8">
        <f t="shared" si="0"/>
        <v>44927</v>
      </c>
      <c r="Q5" s="8">
        <f t="shared" si="0"/>
        <v>45017</v>
      </c>
      <c r="R5" s="8">
        <f t="shared" si="0"/>
        <v>45108</v>
      </c>
      <c r="S5" s="8">
        <f t="shared" si="0"/>
        <v>45200</v>
      </c>
      <c r="T5" s="8">
        <f t="shared" si="0"/>
        <v>45292</v>
      </c>
      <c r="U5" s="8">
        <f t="shared" si="0"/>
        <v>45383</v>
      </c>
      <c r="V5" s="8">
        <f t="shared" si="0"/>
        <v>45474</v>
      </c>
      <c r="W5" s="8">
        <f t="shared" si="0"/>
        <v>45566</v>
      </c>
      <c r="X5" s="8">
        <f t="shared" si="0"/>
        <v>45658</v>
      </c>
      <c r="Y5" s="8">
        <f t="shared" si="0"/>
        <v>45748</v>
      </c>
      <c r="Z5" s="8">
        <f t="shared" si="0"/>
        <v>45839</v>
      </c>
      <c r="AA5" s="8">
        <f t="shared" si="0"/>
        <v>45931</v>
      </c>
      <c r="AB5" s="8">
        <f t="shared" si="0"/>
        <v>46023</v>
      </c>
      <c r="AC5" s="8">
        <f t="shared" ref="AC5" si="1">AB6+1</f>
        <v>46113</v>
      </c>
      <c r="AD5" s="8">
        <f t="shared" ref="AD5" si="2">AC6+1</f>
        <v>46204</v>
      </c>
      <c r="AE5" s="8">
        <f t="shared" ref="AE5" si="3">AD6+1</f>
        <v>46296</v>
      </c>
      <c r="AF5" s="8">
        <f t="shared" ref="AF5" si="4">AE6+1</f>
        <v>46388</v>
      </c>
      <c r="AG5" s="8">
        <f t="shared" ref="AG5" si="5">AF6+1</f>
        <v>46478</v>
      </c>
      <c r="AH5" s="8">
        <f t="shared" ref="AH5" si="6">AG6+1</f>
        <v>46569</v>
      </c>
      <c r="AI5" s="8">
        <f t="shared" ref="AI5" si="7">AH6+1</f>
        <v>46661</v>
      </c>
      <c r="AJ5" s="8">
        <f t="shared" ref="AJ5" si="8">AI6+1</f>
        <v>46753</v>
      </c>
      <c r="AK5" s="8">
        <f t="shared" ref="AK5" si="9">AJ6+1</f>
        <v>46844</v>
      </c>
      <c r="AL5" s="8">
        <f t="shared" ref="AL5" si="10">AK6+1</f>
        <v>46935</v>
      </c>
      <c r="AM5" s="8">
        <f t="shared" ref="AM5" si="11">AL6+1</f>
        <v>47027</v>
      </c>
      <c r="AN5" s="8">
        <f t="shared" ref="AN5" si="12">AM6+1</f>
        <v>47119</v>
      </c>
      <c r="AO5" s="8">
        <f t="shared" ref="AO5" si="13">AN6+1</f>
        <v>47209</v>
      </c>
      <c r="AP5" s="8">
        <f t="shared" ref="AP5" si="14">AO6+1</f>
        <v>47300</v>
      </c>
      <c r="AQ5" s="8">
        <f t="shared" ref="AQ5" si="15">AP6+1</f>
        <v>47392</v>
      </c>
      <c r="AR5" s="8">
        <f t="shared" ref="AR5" si="16">AQ6+1</f>
        <v>47484</v>
      </c>
      <c r="AS5" s="8">
        <f t="shared" ref="AS5" si="17">AR6+1</f>
        <v>47574</v>
      </c>
      <c r="AT5" s="8">
        <f t="shared" ref="AT5" si="18">AS6+1</f>
        <v>47665</v>
      </c>
      <c r="AU5" s="8">
        <f t="shared" ref="AU5" si="19">AT6+1</f>
        <v>47757</v>
      </c>
      <c r="AV5" s="8">
        <f t="shared" ref="AV5" si="20">AU6+1</f>
        <v>47849</v>
      </c>
      <c r="AW5" s="8"/>
    </row>
    <row r="6" spans="1:49">
      <c r="B6" s="1"/>
      <c r="F6" s="7" t="s">
        <v>6</v>
      </c>
      <c r="G6" s="8">
        <f>EOMONTH(G5,2)</f>
        <v>44196</v>
      </c>
      <c r="H6" s="8">
        <f>EOMONTH(H5,2)</f>
        <v>44286</v>
      </c>
      <c r="I6" s="8">
        <f>EOMONTH(I5,2)</f>
        <v>44377</v>
      </c>
      <c r="J6" s="8">
        <f t="shared" ref="J6:AA6" si="21">EOMONTH(J5,2)</f>
        <v>44469</v>
      </c>
      <c r="K6" s="8">
        <f t="shared" si="21"/>
        <v>44561</v>
      </c>
      <c r="L6" s="8">
        <f t="shared" si="21"/>
        <v>44651</v>
      </c>
      <c r="M6" s="8">
        <f t="shared" si="21"/>
        <v>44742</v>
      </c>
      <c r="N6" s="8">
        <f t="shared" si="21"/>
        <v>44834</v>
      </c>
      <c r="O6" s="8">
        <f t="shared" si="21"/>
        <v>44926</v>
      </c>
      <c r="P6" s="8">
        <f t="shared" si="21"/>
        <v>45016</v>
      </c>
      <c r="Q6" s="8">
        <f t="shared" si="21"/>
        <v>45107</v>
      </c>
      <c r="R6" s="8">
        <f t="shared" si="21"/>
        <v>45199</v>
      </c>
      <c r="S6" s="8">
        <f t="shared" si="21"/>
        <v>45291</v>
      </c>
      <c r="T6" s="8">
        <f t="shared" si="21"/>
        <v>45382</v>
      </c>
      <c r="U6" s="8">
        <f t="shared" si="21"/>
        <v>45473</v>
      </c>
      <c r="V6" s="8">
        <f t="shared" si="21"/>
        <v>45565</v>
      </c>
      <c r="W6" s="8">
        <f t="shared" si="21"/>
        <v>45657</v>
      </c>
      <c r="X6" s="8">
        <f t="shared" si="21"/>
        <v>45747</v>
      </c>
      <c r="Y6" s="8">
        <f t="shared" si="21"/>
        <v>45838</v>
      </c>
      <c r="Z6" s="8">
        <f t="shared" si="21"/>
        <v>45930</v>
      </c>
      <c r="AA6" s="8">
        <f t="shared" si="21"/>
        <v>46022</v>
      </c>
      <c r="AB6" s="8">
        <f t="shared" ref="AB6:AV6" si="22">EOMONTH(AB5,2)</f>
        <v>46112</v>
      </c>
      <c r="AC6" s="8">
        <f t="shared" si="22"/>
        <v>46203</v>
      </c>
      <c r="AD6" s="8">
        <f t="shared" si="22"/>
        <v>46295</v>
      </c>
      <c r="AE6" s="8">
        <f t="shared" si="22"/>
        <v>46387</v>
      </c>
      <c r="AF6" s="8">
        <f t="shared" si="22"/>
        <v>46477</v>
      </c>
      <c r="AG6" s="8">
        <f t="shared" si="22"/>
        <v>46568</v>
      </c>
      <c r="AH6" s="8">
        <f t="shared" si="22"/>
        <v>46660</v>
      </c>
      <c r="AI6" s="8">
        <f t="shared" si="22"/>
        <v>46752</v>
      </c>
      <c r="AJ6" s="8">
        <f t="shared" si="22"/>
        <v>46843</v>
      </c>
      <c r="AK6" s="8">
        <f t="shared" si="22"/>
        <v>46934</v>
      </c>
      <c r="AL6" s="8">
        <f t="shared" si="22"/>
        <v>47026</v>
      </c>
      <c r="AM6" s="8">
        <f t="shared" si="22"/>
        <v>47118</v>
      </c>
      <c r="AN6" s="8">
        <f t="shared" si="22"/>
        <v>47208</v>
      </c>
      <c r="AO6" s="8">
        <f t="shared" si="22"/>
        <v>47299</v>
      </c>
      <c r="AP6" s="8">
        <f t="shared" si="22"/>
        <v>47391</v>
      </c>
      <c r="AQ6" s="8">
        <f t="shared" si="22"/>
        <v>47483</v>
      </c>
      <c r="AR6" s="8">
        <f t="shared" si="22"/>
        <v>47573</v>
      </c>
      <c r="AS6" s="8">
        <f t="shared" si="22"/>
        <v>47664</v>
      </c>
      <c r="AT6" s="8">
        <f t="shared" si="22"/>
        <v>47756</v>
      </c>
      <c r="AU6" s="8">
        <f t="shared" si="22"/>
        <v>47848</v>
      </c>
      <c r="AV6" s="8">
        <f t="shared" si="22"/>
        <v>47938</v>
      </c>
      <c r="AW6" s="8"/>
    </row>
    <row r="7" spans="1:49">
      <c r="B7" s="1"/>
      <c r="F7" s="7" t="s">
        <v>7</v>
      </c>
      <c r="G7" s="9">
        <f>IF(MONTH(G6)&gt;3,YEAR(G6)+1,YEAR(G6))</f>
        <v>2021</v>
      </c>
      <c r="H7">
        <f t="shared" ref="H7:Z7" si="23">IF(MONTH(H6)&gt;3,YEAR(H6)+1,YEAR(H6))</f>
        <v>2021</v>
      </c>
      <c r="I7">
        <f t="shared" si="23"/>
        <v>2022</v>
      </c>
      <c r="J7">
        <f t="shared" si="23"/>
        <v>2022</v>
      </c>
      <c r="K7">
        <f t="shared" si="23"/>
        <v>2022</v>
      </c>
      <c r="L7">
        <f t="shared" si="23"/>
        <v>2022</v>
      </c>
      <c r="M7">
        <f t="shared" si="23"/>
        <v>2023</v>
      </c>
      <c r="N7">
        <f t="shared" si="23"/>
        <v>2023</v>
      </c>
      <c r="O7">
        <f t="shared" si="23"/>
        <v>2023</v>
      </c>
      <c r="P7">
        <f t="shared" si="23"/>
        <v>2023</v>
      </c>
      <c r="Q7">
        <f t="shared" si="23"/>
        <v>2024</v>
      </c>
      <c r="R7">
        <f t="shared" si="23"/>
        <v>2024</v>
      </c>
      <c r="S7">
        <f t="shared" si="23"/>
        <v>2024</v>
      </c>
      <c r="T7">
        <f t="shared" si="23"/>
        <v>2024</v>
      </c>
      <c r="U7">
        <f t="shared" si="23"/>
        <v>2025</v>
      </c>
      <c r="V7">
        <f t="shared" si="23"/>
        <v>2025</v>
      </c>
      <c r="W7">
        <f t="shared" si="23"/>
        <v>2025</v>
      </c>
      <c r="X7">
        <f t="shared" si="23"/>
        <v>2025</v>
      </c>
      <c r="Y7">
        <f t="shared" si="23"/>
        <v>2026</v>
      </c>
      <c r="Z7">
        <f t="shared" si="23"/>
        <v>2026</v>
      </c>
      <c r="AA7">
        <f t="shared" ref="AA7" si="24">IF(MONTH(AA6)&gt;3,YEAR(AA6)+1,YEAR(AA6))</f>
        <v>2026</v>
      </c>
      <c r="AB7">
        <f t="shared" ref="AB7:AV7" si="25">IF(MONTH(AB6)&gt;3,YEAR(AB6)+1,YEAR(AB6))</f>
        <v>2026</v>
      </c>
      <c r="AC7">
        <f t="shared" si="25"/>
        <v>2027</v>
      </c>
      <c r="AD7">
        <f t="shared" si="25"/>
        <v>2027</v>
      </c>
      <c r="AE7">
        <f t="shared" si="25"/>
        <v>2027</v>
      </c>
      <c r="AF7">
        <f t="shared" si="25"/>
        <v>2027</v>
      </c>
      <c r="AG7">
        <f t="shared" si="25"/>
        <v>2028</v>
      </c>
      <c r="AH7">
        <f t="shared" si="25"/>
        <v>2028</v>
      </c>
      <c r="AI7">
        <f t="shared" si="25"/>
        <v>2028</v>
      </c>
      <c r="AJ7">
        <f t="shared" si="25"/>
        <v>2028</v>
      </c>
      <c r="AK7">
        <f t="shared" si="25"/>
        <v>2029</v>
      </c>
      <c r="AL7">
        <f t="shared" si="25"/>
        <v>2029</v>
      </c>
      <c r="AM7">
        <f t="shared" si="25"/>
        <v>2029</v>
      </c>
      <c r="AN7">
        <f t="shared" si="25"/>
        <v>2029</v>
      </c>
      <c r="AO7">
        <f t="shared" si="25"/>
        <v>2030</v>
      </c>
      <c r="AP7">
        <f t="shared" si="25"/>
        <v>2030</v>
      </c>
      <c r="AQ7">
        <f t="shared" si="25"/>
        <v>2030</v>
      </c>
      <c r="AR7">
        <f t="shared" si="25"/>
        <v>2030</v>
      </c>
      <c r="AS7">
        <f t="shared" si="25"/>
        <v>2031</v>
      </c>
      <c r="AT7">
        <f t="shared" si="25"/>
        <v>2031</v>
      </c>
      <c r="AU7">
        <f t="shared" si="25"/>
        <v>2031</v>
      </c>
      <c r="AV7">
        <f t="shared" si="25"/>
        <v>2031</v>
      </c>
    </row>
    <row r="8" spans="1:49">
      <c r="B8" s="1" t="s">
        <v>8</v>
      </c>
      <c r="C8" s="19" t="s">
        <v>110</v>
      </c>
      <c r="F8" s="7" t="s">
        <v>9</v>
      </c>
      <c r="G8" s="9" t="str">
        <f>IF(MONTH(G5)=4,"Q1",IF(MONTH(G5)=7,"Q2",IF(MONTH(G5)=10,"Q3","Q4")))</f>
        <v>Q3</v>
      </c>
      <c r="H8" s="9" t="str">
        <f t="shared" ref="H8:AB8" si="26">IF(MONTH(H5)=4,"Q1",IF(MONTH(H5)=7,"Q2",IF(MONTH(H5)=10,"Q3","Q4")))</f>
        <v>Q4</v>
      </c>
      <c r="I8" s="9" t="str">
        <f t="shared" si="26"/>
        <v>Q1</v>
      </c>
      <c r="J8" s="9" t="str">
        <f t="shared" si="26"/>
        <v>Q2</v>
      </c>
      <c r="K8" s="9" t="str">
        <f t="shared" si="26"/>
        <v>Q3</v>
      </c>
      <c r="L8" s="9" t="str">
        <f t="shared" si="26"/>
        <v>Q4</v>
      </c>
      <c r="M8" s="9" t="str">
        <f t="shared" si="26"/>
        <v>Q1</v>
      </c>
      <c r="N8" s="9" t="str">
        <f t="shared" si="26"/>
        <v>Q2</v>
      </c>
      <c r="O8" s="9" t="str">
        <f t="shared" si="26"/>
        <v>Q3</v>
      </c>
      <c r="P8" s="9" t="str">
        <f t="shared" si="26"/>
        <v>Q4</v>
      </c>
      <c r="Q8" s="9" t="str">
        <f t="shared" si="26"/>
        <v>Q1</v>
      </c>
      <c r="R8" s="9" t="str">
        <f t="shared" si="26"/>
        <v>Q2</v>
      </c>
      <c r="S8" s="9" t="str">
        <f t="shared" si="26"/>
        <v>Q3</v>
      </c>
      <c r="T8" s="9" t="str">
        <f t="shared" si="26"/>
        <v>Q4</v>
      </c>
      <c r="U8" s="9" t="str">
        <f t="shared" si="26"/>
        <v>Q1</v>
      </c>
      <c r="V8" s="9" t="str">
        <f t="shared" si="26"/>
        <v>Q2</v>
      </c>
      <c r="W8" s="9" t="str">
        <f t="shared" si="26"/>
        <v>Q3</v>
      </c>
      <c r="X8" s="9" t="str">
        <f t="shared" si="26"/>
        <v>Q4</v>
      </c>
      <c r="Y8" s="9" t="str">
        <f t="shared" si="26"/>
        <v>Q1</v>
      </c>
      <c r="Z8" s="9" t="str">
        <f t="shared" si="26"/>
        <v>Q2</v>
      </c>
      <c r="AA8" s="9" t="str">
        <f t="shared" si="26"/>
        <v>Q3</v>
      </c>
      <c r="AB8" s="9" t="str">
        <f t="shared" si="26"/>
        <v>Q4</v>
      </c>
      <c r="AC8" s="9" t="str">
        <f t="shared" ref="AC8:AV8" si="27">IF(MONTH(AC5)=4,"Q1",IF(MONTH(AC5)=7,"Q2",IF(MONTH(AC5)=10,"Q3","Q4")))</f>
        <v>Q1</v>
      </c>
      <c r="AD8" s="9" t="str">
        <f t="shared" si="27"/>
        <v>Q2</v>
      </c>
      <c r="AE8" s="9" t="str">
        <f t="shared" si="27"/>
        <v>Q3</v>
      </c>
      <c r="AF8" s="9" t="str">
        <f t="shared" si="27"/>
        <v>Q4</v>
      </c>
      <c r="AG8" s="9" t="str">
        <f t="shared" si="27"/>
        <v>Q1</v>
      </c>
      <c r="AH8" s="9" t="str">
        <f t="shared" si="27"/>
        <v>Q2</v>
      </c>
      <c r="AI8" s="9" t="str">
        <f t="shared" si="27"/>
        <v>Q3</v>
      </c>
      <c r="AJ8" s="9" t="str">
        <f t="shared" si="27"/>
        <v>Q4</v>
      </c>
      <c r="AK8" s="9" t="str">
        <f t="shared" si="27"/>
        <v>Q1</v>
      </c>
      <c r="AL8" s="9" t="str">
        <f t="shared" si="27"/>
        <v>Q2</v>
      </c>
      <c r="AM8" s="9" t="str">
        <f t="shared" si="27"/>
        <v>Q3</v>
      </c>
      <c r="AN8" s="9" t="str">
        <f t="shared" si="27"/>
        <v>Q4</v>
      </c>
      <c r="AO8" s="9" t="str">
        <f t="shared" si="27"/>
        <v>Q1</v>
      </c>
      <c r="AP8" s="9" t="str">
        <f t="shared" si="27"/>
        <v>Q2</v>
      </c>
      <c r="AQ8" s="9" t="str">
        <f t="shared" si="27"/>
        <v>Q3</v>
      </c>
      <c r="AR8" s="9" t="str">
        <f t="shared" si="27"/>
        <v>Q4</v>
      </c>
      <c r="AS8" s="9" t="str">
        <f t="shared" si="27"/>
        <v>Q1</v>
      </c>
      <c r="AT8" s="9" t="str">
        <f t="shared" si="27"/>
        <v>Q2</v>
      </c>
      <c r="AU8" s="9" t="str">
        <f t="shared" si="27"/>
        <v>Q3</v>
      </c>
      <c r="AV8" s="9" t="str">
        <f t="shared" si="27"/>
        <v>Q4</v>
      </c>
      <c r="AW8" s="9"/>
    </row>
    <row r="9" spans="1:49">
      <c r="F9" s="7" t="s">
        <v>10</v>
      </c>
      <c r="G9" s="10">
        <f>_xlfn.DAYS(G6,G5)+1</f>
        <v>92</v>
      </c>
      <c r="H9" s="10">
        <f t="shared" ref="H9:AB9" si="28">_xlfn.DAYS(H6,H5)+1</f>
        <v>90</v>
      </c>
      <c r="I9" s="10">
        <f t="shared" si="28"/>
        <v>91</v>
      </c>
      <c r="J9" s="10">
        <f t="shared" si="28"/>
        <v>92</v>
      </c>
      <c r="K9" s="10">
        <f t="shared" si="28"/>
        <v>92</v>
      </c>
      <c r="L9" s="10">
        <f t="shared" si="28"/>
        <v>90</v>
      </c>
      <c r="M9" s="10">
        <f t="shared" si="28"/>
        <v>91</v>
      </c>
      <c r="N9" s="10">
        <f t="shared" si="28"/>
        <v>92</v>
      </c>
      <c r="O9" s="10">
        <f t="shared" si="28"/>
        <v>92</v>
      </c>
      <c r="P9" s="10">
        <f t="shared" si="28"/>
        <v>90</v>
      </c>
      <c r="Q9" s="10">
        <f t="shared" si="28"/>
        <v>91</v>
      </c>
      <c r="R9" s="10">
        <f t="shared" si="28"/>
        <v>92</v>
      </c>
      <c r="S9" s="10">
        <f t="shared" si="28"/>
        <v>92</v>
      </c>
      <c r="T9" s="10">
        <f t="shared" si="28"/>
        <v>91</v>
      </c>
      <c r="U9" s="10">
        <f t="shared" si="28"/>
        <v>91</v>
      </c>
      <c r="V9" s="10">
        <f t="shared" si="28"/>
        <v>92</v>
      </c>
      <c r="W9" s="10">
        <f t="shared" si="28"/>
        <v>92</v>
      </c>
      <c r="X9" s="10">
        <f t="shared" si="28"/>
        <v>90</v>
      </c>
      <c r="Y9" s="10">
        <f t="shared" si="28"/>
        <v>91</v>
      </c>
      <c r="Z9" s="10">
        <f t="shared" si="28"/>
        <v>92</v>
      </c>
      <c r="AA9" s="10">
        <f t="shared" si="28"/>
        <v>92</v>
      </c>
      <c r="AB9" s="10">
        <f t="shared" si="28"/>
        <v>90</v>
      </c>
      <c r="AC9" s="10">
        <f t="shared" ref="AC9:AV9" si="29">_xlfn.DAYS(AC6,AC5)+1</f>
        <v>91</v>
      </c>
      <c r="AD9" s="10">
        <f t="shared" si="29"/>
        <v>92</v>
      </c>
      <c r="AE9" s="10">
        <f t="shared" si="29"/>
        <v>92</v>
      </c>
      <c r="AF9" s="10">
        <f t="shared" si="29"/>
        <v>90</v>
      </c>
      <c r="AG9" s="10">
        <f t="shared" si="29"/>
        <v>91</v>
      </c>
      <c r="AH9" s="10">
        <f t="shared" si="29"/>
        <v>92</v>
      </c>
      <c r="AI9" s="10">
        <f t="shared" si="29"/>
        <v>92</v>
      </c>
      <c r="AJ9" s="10">
        <f t="shared" si="29"/>
        <v>91</v>
      </c>
      <c r="AK9" s="10">
        <f t="shared" si="29"/>
        <v>91</v>
      </c>
      <c r="AL9" s="10">
        <f t="shared" si="29"/>
        <v>92</v>
      </c>
      <c r="AM9" s="10">
        <f t="shared" si="29"/>
        <v>92</v>
      </c>
      <c r="AN9" s="10">
        <f t="shared" si="29"/>
        <v>90</v>
      </c>
      <c r="AO9" s="10">
        <f t="shared" si="29"/>
        <v>91</v>
      </c>
      <c r="AP9" s="10">
        <f t="shared" si="29"/>
        <v>92</v>
      </c>
      <c r="AQ9" s="10">
        <f t="shared" si="29"/>
        <v>92</v>
      </c>
      <c r="AR9" s="10">
        <f t="shared" si="29"/>
        <v>90</v>
      </c>
      <c r="AS9" s="10">
        <f t="shared" si="29"/>
        <v>91</v>
      </c>
      <c r="AT9" s="10">
        <f t="shared" si="29"/>
        <v>92</v>
      </c>
      <c r="AU9" s="10">
        <f t="shared" si="29"/>
        <v>92</v>
      </c>
      <c r="AV9" s="10">
        <f t="shared" si="29"/>
        <v>90</v>
      </c>
      <c r="AW9" s="10"/>
    </row>
    <row r="10" spans="1:49" s="3" customFormat="1">
      <c r="A10" s="4" t="s">
        <v>11</v>
      </c>
      <c r="B10" s="3" t="s">
        <v>111</v>
      </c>
      <c r="C10" s="21"/>
    </row>
    <row r="11" spans="1:49" s="1" customFormat="1">
      <c r="A11" s="24"/>
      <c r="C11" s="19"/>
    </row>
    <row r="12" spans="1:49">
      <c r="B12" t="s">
        <v>13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Y12"/>
      <c r="Z12"/>
      <c r="AA12"/>
      <c r="AB12"/>
    </row>
    <row r="13" spans="1:49">
      <c r="B13" s="5" t="s">
        <v>15</v>
      </c>
      <c r="G13" s="14">
        <f t="shared" ref="G13" si="30">SUM(G14:G17)</f>
        <v>96613</v>
      </c>
      <c r="H13" s="14">
        <f>SUM(H14:H17)</f>
        <v>90658</v>
      </c>
      <c r="I13" s="14">
        <f>SUM(I14:I17)</f>
        <v>88456</v>
      </c>
      <c r="J13" s="14">
        <f t="shared" ref="J13:AB13" si="31">SUM(J14:J17)</f>
        <v>97060</v>
      </c>
      <c r="K13" s="14">
        <f t="shared" si="31"/>
        <v>104735</v>
      </c>
      <c r="L13" s="14">
        <f t="shared" si="31"/>
        <v>101254</v>
      </c>
      <c r="M13" s="14">
        <f t="shared" si="31"/>
        <v>102667</v>
      </c>
      <c r="N13" s="14">
        <f t="shared" si="31"/>
        <v>118232</v>
      </c>
      <c r="O13" s="14">
        <f t="shared" si="31"/>
        <v>130949</v>
      </c>
      <c r="P13" s="14">
        <f t="shared" si="31"/>
        <v>115877</v>
      </c>
      <c r="Q13" s="14">
        <f t="shared" si="31"/>
        <v>110703</v>
      </c>
      <c r="R13" s="14">
        <f t="shared" si="31"/>
        <v>127095</v>
      </c>
      <c r="S13" s="14">
        <f t="shared" si="31"/>
        <v>139264</v>
      </c>
      <c r="T13" s="14">
        <f t="shared" si="31"/>
        <v>125392</v>
      </c>
      <c r="U13" s="14">
        <f t="shared" si="31"/>
        <v>122553</v>
      </c>
      <c r="V13" s="14">
        <f t="shared" si="31"/>
        <v>130741</v>
      </c>
      <c r="W13" s="14">
        <f t="shared" si="31"/>
        <v>140092</v>
      </c>
      <c r="X13" s="14">
        <f t="shared" si="31"/>
        <v>132805</v>
      </c>
      <c r="Y13" s="14">
        <f t="shared" si="31"/>
        <v>114644</v>
      </c>
      <c r="Z13" s="14">
        <f t="shared" si="31"/>
        <v>131840</v>
      </c>
      <c r="AA13" s="14">
        <f t="shared" si="31"/>
        <v>145992</v>
      </c>
      <c r="AB13" s="14">
        <f t="shared" si="31"/>
        <v>145576.66500000001</v>
      </c>
      <c r="AC13" s="14">
        <f t="shared" ref="AC13:AV13" si="32">SUM(AC14:AC17)</f>
        <v>125494.67199999999</v>
      </c>
      <c r="AD13" s="14">
        <f t="shared" si="32"/>
        <v>144451.06999999998</v>
      </c>
      <c r="AE13" s="14">
        <f t="shared" si="32"/>
        <v>159986.236</v>
      </c>
      <c r="AF13" s="14">
        <f t="shared" si="32"/>
        <v>159668.89824499999</v>
      </c>
      <c r="AG13" s="14">
        <f t="shared" si="32"/>
        <v>137446.898636</v>
      </c>
      <c r="AH13" s="14">
        <f t="shared" si="32"/>
        <v>158357.61536</v>
      </c>
      <c r="AI13" s="14">
        <f t="shared" si="32"/>
        <v>175416.35228799999</v>
      </c>
      <c r="AJ13" s="14">
        <f t="shared" si="32"/>
        <v>175227.71521498502</v>
      </c>
      <c r="AK13" s="14">
        <f t="shared" si="32"/>
        <v>150620.30711096799</v>
      </c>
      <c r="AL13" s="14">
        <f t="shared" si="32"/>
        <v>173701.93771402998</v>
      </c>
      <c r="AM13" s="14">
        <f t="shared" si="32"/>
        <v>192439.57468800401</v>
      </c>
      <c r="AN13" s="14">
        <f t="shared" si="32"/>
        <v>192416.20380714719</v>
      </c>
      <c r="AO13" s="14">
        <f t="shared" si="32"/>
        <v>165148.29677618368</v>
      </c>
      <c r="AP13" s="14">
        <f t="shared" si="32"/>
        <v>190642.88172772541</v>
      </c>
      <c r="AQ13" s="14">
        <f t="shared" si="32"/>
        <v>211231.33727684064</v>
      </c>
      <c r="AR13" s="14">
        <f t="shared" si="32"/>
        <v>211416.60709518159</v>
      </c>
      <c r="AS13" s="14">
        <f t="shared" si="32"/>
        <v>181179.69919282832</v>
      </c>
      <c r="AT13" s="14">
        <f t="shared" si="32"/>
        <v>209357.84424317858</v>
      </c>
      <c r="AU13" s="14">
        <f t="shared" si="32"/>
        <v>231987.48593481447</v>
      </c>
      <c r="AV13" s="14">
        <f t="shared" si="32"/>
        <v>232432.66794204575</v>
      </c>
      <c r="AW13" s="14"/>
    </row>
    <row r="14" spans="1:49">
      <c r="B14" s="6" t="s">
        <v>17</v>
      </c>
      <c r="C14" s="9" t="s">
        <v>112</v>
      </c>
      <c r="G14" s="14">
        <v>57884</v>
      </c>
      <c r="H14" s="14">
        <v>50707</v>
      </c>
      <c r="I14" s="14">
        <v>46577</v>
      </c>
      <c r="J14" s="14">
        <v>51948</v>
      </c>
      <c r="K14" s="14">
        <v>59620</v>
      </c>
      <c r="L14" s="14">
        <v>52637</v>
      </c>
      <c r="M14" s="14">
        <v>47791</v>
      </c>
      <c r="N14" s="14">
        <v>54071</v>
      </c>
      <c r="O14" s="14">
        <v>65104</v>
      </c>
      <c r="P14" s="14">
        <v>53237</v>
      </c>
      <c r="Q14" s="14">
        <v>51448</v>
      </c>
      <c r="R14" s="14">
        <v>56355</v>
      </c>
      <c r="S14" s="14">
        <v>69302</v>
      </c>
      <c r="T14" s="14">
        <v>55116</v>
      </c>
      <c r="U14" s="14">
        <v>53363</v>
      </c>
      <c r="V14" s="14">
        <v>57768</v>
      </c>
      <c r="W14" s="14">
        <v>69008</v>
      </c>
      <c r="X14" s="14">
        <v>58642</v>
      </c>
      <c r="Y14" s="14">
        <v>52940</v>
      </c>
      <c r="Z14" s="14">
        <v>60064</v>
      </c>
      <c r="AA14" s="14">
        <v>70635</v>
      </c>
      <c r="AB14" s="14">
        <f>Drivers!O121</f>
        <v>63509.286</v>
      </c>
      <c r="AC14" s="14">
        <f>Drivers!P121</f>
        <v>57334.02</v>
      </c>
      <c r="AD14" s="14">
        <f>Drivers!Q121</f>
        <v>65049.311999999998</v>
      </c>
      <c r="AE14" s="14">
        <f>Drivers!R121</f>
        <v>76497.705000000002</v>
      </c>
      <c r="AF14" s="14">
        <f>Drivers!S121</f>
        <v>68780.556737999999</v>
      </c>
      <c r="AG14" s="14">
        <f>Drivers!T121</f>
        <v>62092.743659999993</v>
      </c>
      <c r="AH14" s="14">
        <f>Drivers!U121</f>
        <v>70448.404895999993</v>
      </c>
      <c r="AI14" s="14">
        <f>Drivers!V121</f>
        <v>82847.014515000003</v>
      </c>
      <c r="AJ14" s="14">
        <f>Drivers!W121</f>
        <v>74489.342947254001</v>
      </c>
      <c r="AK14" s="14">
        <f>Drivers!X121</f>
        <v>67246.441383779995</v>
      </c>
      <c r="AL14" s="14">
        <f>Drivers!Y121</f>
        <v>76295.622502367987</v>
      </c>
      <c r="AM14" s="14">
        <f>Drivers!Z121</f>
        <v>89723.316719744995</v>
      </c>
      <c r="AN14" s="14">
        <f>Drivers!AA121</f>
        <v>80671.958411876083</v>
      </c>
      <c r="AO14" s="14">
        <f>Drivers!AB121</f>
        <v>72827.896018633735</v>
      </c>
      <c r="AP14" s="14">
        <f>Drivers!AC121</f>
        <v>82628.159170064522</v>
      </c>
      <c r="AQ14" s="14">
        <f>Drivers!AD121</f>
        <v>97170.352007483831</v>
      </c>
      <c r="AR14" s="14">
        <f>Drivers!AE121</f>
        <v>87367.730960061788</v>
      </c>
      <c r="AS14" s="14">
        <f>Drivers!AF121</f>
        <v>78872.611388180332</v>
      </c>
      <c r="AT14" s="14">
        <f>Drivers!AG121</f>
        <v>89486.296381179869</v>
      </c>
      <c r="AU14" s="14">
        <f>Drivers!AH121</f>
        <v>105235.49122410499</v>
      </c>
      <c r="AV14" s="14">
        <f>Drivers!AI121</f>
        <v>94619.252629746916</v>
      </c>
    </row>
    <row r="15" spans="1:49">
      <c r="B15" s="6" t="s">
        <v>18</v>
      </c>
      <c r="C15" s="9" t="s">
        <v>112</v>
      </c>
      <c r="G15" s="14">
        <v>9912</v>
      </c>
      <c r="H15" s="14">
        <v>9516</v>
      </c>
      <c r="I15" s="14">
        <v>9411</v>
      </c>
      <c r="J15" s="14">
        <v>9283</v>
      </c>
      <c r="K15" s="14">
        <v>9562</v>
      </c>
      <c r="L15" s="14">
        <v>9663</v>
      </c>
      <c r="M15" s="14">
        <v>9257</v>
      </c>
      <c r="N15" s="14">
        <v>10014</v>
      </c>
      <c r="O15" s="14">
        <v>10737</v>
      </c>
      <c r="P15" s="14">
        <v>10502</v>
      </c>
      <c r="Q15" s="14">
        <v>9963</v>
      </c>
      <c r="R15" s="14">
        <v>10388</v>
      </c>
      <c r="S15" s="14">
        <v>11582</v>
      </c>
      <c r="T15" s="14">
        <v>11516</v>
      </c>
      <c r="U15" s="14">
        <v>10751</v>
      </c>
      <c r="V15" s="14">
        <v>11498</v>
      </c>
      <c r="W15" s="14">
        <v>11862</v>
      </c>
      <c r="X15" s="14">
        <v>11263</v>
      </c>
      <c r="Y15" s="14">
        <v>11635</v>
      </c>
      <c r="Z15" s="14">
        <v>11543</v>
      </c>
      <c r="AA15" s="14">
        <v>13088</v>
      </c>
      <c r="AB15" s="14">
        <f>Drivers!O122</f>
        <v>12197.829</v>
      </c>
      <c r="AC15" s="14">
        <f>Drivers!P122</f>
        <v>12600.705</v>
      </c>
      <c r="AD15" s="14">
        <f>Drivers!Q122</f>
        <v>12501.069</v>
      </c>
      <c r="AE15" s="14">
        <f>Drivers!R122</f>
        <v>14174.304</v>
      </c>
      <c r="AF15" s="14">
        <f>Drivers!S122</f>
        <v>13210.248807</v>
      </c>
      <c r="AG15" s="14">
        <f>Drivers!T122</f>
        <v>13646.563515</v>
      </c>
      <c r="AH15" s="14">
        <f>Drivers!U122</f>
        <v>13538.657727</v>
      </c>
      <c r="AI15" s="14">
        <f>Drivers!V122</f>
        <v>15350.771231999999</v>
      </c>
      <c r="AJ15" s="14">
        <f>Drivers!W122</f>
        <v>14306.699457981</v>
      </c>
      <c r="AK15" s="14">
        <f>Drivers!X122</f>
        <v>14779.228286744999</v>
      </c>
      <c r="AL15" s="14">
        <f>Drivers!Y122</f>
        <v>14662.366318340999</v>
      </c>
      <c r="AM15" s="14">
        <f>Drivers!Z122</f>
        <v>16624.885244255998</v>
      </c>
      <c r="AN15" s="14">
        <f>Drivers!AA122</f>
        <v>15494.155512993422</v>
      </c>
      <c r="AO15" s="14">
        <f>Drivers!AB122</f>
        <v>16005.904234544834</v>
      </c>
      <c r="AP15" s="14">
        <f>Drivers!AC122</f>
        <v>15879.342722763302</v>
      </c>
      <c r="AQ15" s="14">
        <f>Drivers!AD122</f>
        <v>18004.750719529246</v>
      </c>
      <c r="AR15" s="14">
        <f>Drivers!AE122</f>
        <v>16780.170420571874</v>
      </c>
      <c r="AS15" s="14">
        <f>Drivers!AF122</f>
        <v>17334.394286012055</v>
      </c>
      <c r="AT15" s="14">
        <f>Drivers!AG122</f>
        <v>17197.328168752654</v>
      </c>
      <c r="AU15" s="14">
        <f>Drivers!AH122</f>
        <v>19499.145029250172</v>
      </c>
      <c r="AV15" s="14">
        <f>Drivers!AI122</f>
        <v>18172.924565479338</v>
      </c>
    </row>
    <row r="16" spans="1:49">
      <c r="B16" s="6" t="s">
        <v>19</v>
      </c>
      <c r="C16" s="9" t="s">
        <v>112</v>
      </c>
      <c r="G16" s="14">
        <v>17767</v>
      </c>
      <c r="H16" s="14">
        <v>17590</v>
      </c>
      <c r="I16" s="14">
        <v>20221</v>
      </c>
      <c r="J16" s="14">
        <v>22196</v>
      </c>
      <c r="K16" s="14">
        <v>21412</v>
      </c>
      <c r="L16" s="14">
        <v>23497</v>
      </c>
      <c r="M16" s="14">
        <v>29899</v>
      </c>
      <c r="N16" s="14">
        <v>36119</v>
      </c>
      <c r="O16" s="14">
        <v>38719</v>
      </c>
      <c r="P16" s="14">
        <v>35304</v>
      </c>
      <c r="Q16" s="14">
        <v>34433</v>
      </c>
      <c r="R16" s="14">
        <v>42276</v>
      </c>
      <c r="S16" s="14">
        <v>42470</v>
      </c>
      <c r="T16" s="14">
        <v>41154</v>
      </c>
      <c r="U16" s="14">
        <v>41981</v>
      </c>
      <c r="V16" s="14">
        <v>42476</v>
      </c>
      <c r="W16" s="14">
        <v>41151</v>
      </c>
      <c r="X16" s="14">
        <v>42955</v>
      </c>
      <c r="Y16" s="14">
        <v>33380</v>
      </c>
      <c r="Z16" s="14">
        <v>41043</v>
      </c>
      <c r="AA16" s="14">
        <v>44604</v>
      </c>
      <c r="AB16" s="14">
        <f>Drivers!O123</f>
        <v>48668.014999999999</v>
      </c>
      <c r="AC16" s="14">
        <f>Drivers!P123</f>
        <v>37819.54</v>
      </c>
      <c r="AD16" s="14">
        <f>Drivers!Q123</f>
        <v>46501.718999999997</v>
      </c>
      <c r="AE16" s="14">
        <f>Drivers!R123</f>
        <v>50536.332000000002</v>
      </c>
      <c r="AF16" s="14">
        <f>Drivers!S123</f>
        <v>55140.860995000003</v>
      </c>
      <c r="AG16" s="14">
        <f>Drivers!T123</f>
        <v>42849.538820000002</v>
      </c>
      <c r="AH16" s="14">
        <f>Drivers!U123</f>
        <v>52686.447626999994</v>
      </c>
      <c r="AI16" s="14">
        <f>Drivers!V123</f>
        <v>57257.664156000006</v>
      </c>
      <c r="AJ16" s="14">
        <f>Drivers!W123</f>
        <v>62474.595507335005</v>
      </c>
      <c r="AK16" s="14">
        <f>Drivers!X123</f>
        <v>48548.527483060003</v>
      </c>
      <c r="AL16" s="14">
        <f>Drivers!Y123</f>
        <v>59693.745161390994</v>
      </c>
      <c r="AM16" s="14">
        <f>Drivers!Z123</f>
        <v>64872.933488748007</v>
      </c>
      <c r="AN16" s="14">
        <f>Drivers!AA123</f>
        <v>70783.716709810556</v>
      </c>
      <c r="AO16" s="14">
        <f>Drivers!AB123</f>
        <v>55005.481638306985</v>
      </c>
      <c r="AP16" s="14">
        <f>Drivers!AC123</f>
        <v>67633.013267856004</v>
      </c>
      <c r="AQ16" s="14">
        <f>Drivers!AD123</f>
        <v>73501.033642751499</v>
      </c>
      <c r="AR16" s="14">
        <f>Drivers!AE123</f>
        <v>80197.951032215366</v>
      </c>
      <c r="AS16" s="14">
        <f>Drivers!AF123</f>
        <v>62321.210696201815</v>
      </c>
      <c r="AT16" s="14">
        <f>Drivers!AG123</f>
        <v>76628.204032480848</v>
      </c>
      <c r="AU16" s="14">
        <f>Drivers!AH123</f>
        <v>83276.671117237449</v>
      </c>
      <c r="AV16" s="14">
        <f>Drivers!AI123</f>
        <v>90864.278519500003</v>
      </c>
    </row>
    <row r="17" spans="2:48">
      <c r="B17" s="6" t="s">
        <v>20</v>
      </c>
      <c r="C17" s="9" t="s">
        <v>112</v>
      </c>
      <c r="G17" s="14">
        <v>11050</v>
      </c>
      <c r="H17" s="14">
        <v>12845</v>
      </c>
      <c r="I17" s="14">
        <v>12247</v>
      </c>
      <c r="J17" s="14">
        <v>13633</v>
      </c>
      <c r="K17" s="14">
        <v>14141</v>
      </c>
      <c r="L17" s="14">
        <v>15457</v>
      </c>
      <c r="M17" s="14">
        <v>15720</v>
      </c>
      <c r="N17" s="14">
        <v>18028</v>
      </c>
      <c r="O17" s="14">
        <v>16389</v>
      </c>
      <c r="P17" s="14">
        <v>16834</v>
      </c>
      <c r="Q17" s="14">
        <v>14859</v>
      </c>
      <c r="R17" s="14">
        <v>18076</v>
      </c>
      <c r="S17" s="14">
        <v>15910</v>
      </c>
      <c r="T17" s="14">
        <v>17606</v>
      </c>
      <c r="U17" s="14">
        <v>16458</v>
      </c>
      <c r="V17" s="14">
        <v>18999</v>
      </c>
      <c r="W17" s="14">
        <v>18071</v>
      </c>
      <c r="X17" s="14">
        <v>19945</v>
      </c>
      <c r="Y17" s="14">
        <v>16689</v>
      </c>
      <c r="Z17" s="14">
        <v>19190</v>
      </c>
      <c r="AA17" s="14">
        <v>17665</v>
      </c>
      <c r="AB17" s="14">
        <f>Drivers!O124</f>
        <v>21201.535</v>
      </c>
      <c r="AC17" s="14">
        <f>Drivers!P124</f>
        <v>17740.406999999999</v>
      </c>
      <c r="AD17" s="14">
        <f>Drivers!Q124</f>
        <v>20398.969999999998</v>
      </c>
      <c r="AE17" s="14">
        <f>Drivers!R124</f>
        <v>18777.895</v>
      </c>
      <c r="AF17" s="14">
        <f>Drivers!S124</f>
        <v>22537.231704999998</v>
      </c>
      <c r="AG17" s="14">
        <f>Drivers!T124</f>
        <v>18858.052640999998</v>
      </c>
      <c r="AH17" s="14">
        <f>Drivers!U124</f>
        <v>21684.105109999997</v>
      </c>
      <c r="AI17" s="14">
        <f>Drivers!V124</f>
        <v>19960.902385000001</v>
      </c>
      <c r="AJ17" s="14">
        <f>Drivers!W124</f>
        <v>23957.077302414997</v>
      </c>
      <c r="AK17" s="14">
        <f>Drivers!X124</f>
        <v>20046.109957382996</v>
      </c>
      <c r="AL17" s="14">
        <f>Drivers!Y124</f>
        <v>23050.203731929996</v>
      </c>
      <c r="AM17" s="14">
        <f>Drivers!Z124</f>
        <v>21218.439235254998</v>
      </c>
      <c r="AN17" s="14">
        <f>Drivers!AA124</f>
        <v>25466.373172467142</v>
      </c>
      <c r="AO17" s="14">
        <f>Drivers!AB124</f>
        <v>21309.014884698125</v>
      </c>
      <c r="AP17" s="14">
        <f>Drivers!AC124</f>
        <v>24502.366567041583</v>
      </c>
      <c r="AQ17" s="14">
        <f>Drivers!AD124</f>
        <v>22555.200907076061</v>
      </c>
      <c r="AR17" s="14">
        <f>Drivers!AE124</f>
        <v>27070.754682332568</v>
      </c>
      <c r="AS17" s="14">
        <f>Drivers!AF124</f>
        <v>22651.482822434104</v>
      </c>
      <c r="AT17" s="14">
        <f>Drivers!AG124</f>
        <v>26046.015660765202</v>
      </c>
      <c r="AU17" s="14">
        <f>Drivers!AH124</f>
        <v>23976.178564221853</v>
      </c>
      <c r="AV17" s="14">
        <f>Drivers!AI124</f>
        <v>28776.21222731952</v>
      </c>
    </row>
    <row r="18" spans="2:48">
      <c r="B18" s="5" t="s">
        <v>21</v>
      </c>
      <c r="C18" s="9" t="s">
        <v>88</v>
      </c>
      <c r="G18" s="14">
        <v>19265</v>
      </c>
      <c r="H18" s="14">
        <v>19107</v>
      </c>
      <c r="I18" s="14">
        <v>20216</v>
      </c>
      <c r="J18" s="14">
        <v>20773</v>
      </c>
      <c r="K18" s="14">
        <v>20232</v>
      </c>
      <c r="L18" s="14">
        <v>19645</v>
      </c>
      <c r="M18" s="14">
        <v>20354</v>
      </c>
      <c r="N18" s="14">
        <v>21235</v>
      </c>
      <c r="O18" s="14">
        <v>22939</v>
      </c>
      <c r="P18" s="14">
        <v>22309</v>
      </c>
      <c r="Q18" s="14">
        <v>23213</v>
      </c>
      <c r="R18" s="14">
        <v>23559</v>
      </c>
      <c r="S18" s="14">
        <v>24769</v>
      </c>
      <c r="T18" s="14">
        <v>23679</v>
      </c>
      <c r="U18" s="14">
        <v>25462</v>
      </c>
      <c r="V18" s="14">
        <v>25474</v>
      </c>
      <c r="W18" s="14">
        <v>25828</v>
      </c>
      <c r="X18" s="14">
        <v>24584</v>
      </c>
      <c r="Y18" s="14">
        <v>26154</v>
      </c>
      <c r="Z18" s="14">
        <v>26096</v>
      </c>
      <c r="AA18" s="14">
        <v>26988</v>
      </c>
      <c r="AB18" s="14">
        <f>Drivers!O125</f>
        <v>26298.615461948459</v>
      </c>
      <c r="AC18" s="14">
        <f>Drivers!P125</f>
        <v>27978.115391791409</v>
      </c>
      <c r="AD18" s="14">
        <f>Drivers!Q125</f>
        <v>27916.070171453262</v>
      </c>
      <c r="AE18" s="14">
        <f>Drivers!R125</f>
        <v>28870.282870446834</v>
      </c>
      <c r="AF18" s="14">
        <f>Drivers!S125</f>
        <v>28132.81708491029</v>
      </c>
      <c r="AG18" s="14">
        <f>Drivers!T125</f>
        <v>29929.454036720781</v>
      </c>
      <c r="AH18" s="14">
        <f>Drivers!U125</f>
        <v>29863.081461430967</v>
      </c>
      <c r="AI18" s="14">
        <f>Drivers!V125</f>
        <v>30883.845895198454</v>
      </c>
      <c r="AJ18" s="14">
        <f>Drivers!W125</f>
        <v>30094.945427000875</v>
      </c>
      <c r="AK18" s="14">
        <f>Drivers!X125</f>
        <v>32016.889143254997</v>
      </c>
      <c r="AL18" s="14">
        <f>Drivers!Y125</f>
        <v>31945.887400871088</v>
      </c>
      <c r="AM18" s="14">
        <f>Drivers!Z125</f>
        <v>33037.845232016742</v>
      </c>
      <c r="AN18" s="14">
        <f>Drivers!AA125</f>
        <v>32193.922760048012</v>
      </c>
      <c r="AO18" s="14">
        <f>Drivers!AB125</f>
        <v>34249.91278336705</v>
      </c>
      <c r="AP18" s="14">
        <f>Drivers!AC125</f>
        <v>34173.959011804945</v>
      </c>
      <c r="AQ18" s="14">
        <f>Drivers!AD125</f>
        <v>35342.075636518697</v>
      </c>
      <c r="AR18" s="14">
        <f>Drivers!AE125</f>
        <v>34439.293641318458</v>
      </c>
      <c r="AS18" s="14">
        <f>Drivers!AF125</f>
        <v>36638.679055281602</v>
      </c>
      <c r="AT18" s="14">
        <f>Drivers!AG125</f>
        <v>36557.427874383597</v>
      </c>
      <c r="AU18" s="14">
        <f>Drivers!AH125</f>
        <v>37807.015001297696</v>
      </c>
      <c r="AV18" s="14">
        <f>Drivers!AI125</f>
        <v>36841.268314926812</v>
      </c>
    </row>
    <row r="19" spans="2:48">
      <c r="B19" s="5" t="s">
        <v>22</v>
      </c>
      <c r="C19" s="9" t="s">
        <v>88</v>
      </c>
      <c r="G19" s="14">
        <v>10433</v>
      </c>
      <c r="H19" s="14">
        <v>15931</v>
      </c>
      <c r="I19" s="14">
        <v>17063</v>
      </c>
      <c r="J19" s="14">
        <v>17740</v>
      </c>
      <c r="K19" s="14">
        <v>17222</v>
      </c>
      <c r="L19" s="14">
        <v>17006</v>
      </c>
      <c r="M19" s="14">
        <v>17561</v>
      </c>
      <c r="N19" s="14">
        <v>17647</v>
      </c>
      <c r="O19" s="14">
        <v>19754</v>
      </c>
      <c r="P19" s="14">
        <v>19093</v>
      </c>
      <c r="Q19" s="14">
        <v>20750</v>
      </c>
      <c r="R19" s="14">
        <v>20129</v>
      </c>
      <c r="S19" s="14">
        <v>22377</v>
      </c>
      <c r="T19" s="14">
        <v>21893</v>
      </c>
      <c r="U19" s="14">
        <v>23072</v>
      </c>
      <c r="V19" s="14">
        <v>22388</v>
      </c>
      <c r="W19" s="14">
        <v>24325</v>
      </c>
      <c r="X19" s="14">
        <v>22658</v>
      </c>
      <c r="Y19" s="14">
        <v>23743</v>
      </c>
      <c r="Z19" s="14">
        <v>23460</v>
      </c>
      <c r="AA19" s="14">
        <v>24926</v>
      </c>
      <c r="AB19" s="14">
        <f>Drivers!O126</f>
        <v>26969.335696176819</v>
      </c>
      <c r="AC19" s="14">
        <f>Drivers!P126</f>
        <v>28260.788129328546</v>
      </c>
      <c r="AD19" s="14">
        <f>Drivers!Q126</f>
        <v>27923.939245842888</v>
      </c>
      <c r="AE19" s="14">
        <f>Drivers!R126</f>
        <v>29668.887879023012</v>
      </c>
      <c r="AF19" s="14">
        <f>Drivers!S126</f>
        <v>32101.026917339448</v>
      </c>
      <c r="AG19" s="14">
        <f>Drivers!T126</f>
        <v>33638.215292540845</v>
      </c>
      <c r="AH19" s="14">
        <f>Drivers!U126</f>
        <v>33237.271227856982</v>
      </c>
      <c r="AI19" s="14">
        <f>Drivers!V126</f>
        <v>35314.246488728175</v>
      </c>
      <c r="AJ19" s="14">
        <f>Drivers!W126</f>
        <v>38209.169879324552</v>
      </c>
      <c r="AK19" s="14">
        <f>Drivers!X126</f>
        <v>40038.852522058558</v>
      </c>
      <c r="AL19" s="14">
        <f>Drivers!Y126</f>
        <v>39561.617325843144</v>
      </c>
      <c r="AM19" s="14">
        <f>Drivers!Z126</f>
        <v>42033.796822845958</v>
      </c>
      <c r="AN19" s="14">
        <f>Drivers!AA126</f>
        <v>45479.562589273184</v>
      </c>
      <c r="AO19" s="14">
        <f>Drivers!AB126</f>
        <v>47657.394940290986</v>
      </c>
      <c r="AP19" s="14">
        <f>Drivers!AC126</f>
        <v>47089.352032145325</v>
      </c>
      <c r="AQ19" s="14">
        <f>Drivers!AD126</f>
        <v>50031.934729465233</v>
      </c>
      <c r="AR19" s="14">
        <f>Drivers!AE126</f>
        <v>54133.35646506281</v>
      </c>
      <c r="AS19" s="14">
        <f>Drivers!AF126</f>
        <v>56725.584012268788</v>
      </c>
      <c r="AT19" s="14">
        <f>Drivers!AG126</f>
        <v>56049.454615163442</v>
      </c>
      <c r="AU19" s="14">
        <f>Drivers!AH126</f>
        <v>59551.948241157887</v>
      </c>
      <c r="AV19" s="14">
        <f>Drivers!AI126</f>
        <v>64433.783337765148</v>
      </c>
    </row>
    <row r="20" spans="2:48">
      <c r="B20" s="5" t="s">
        <v>23</v>
      </c>
      <c r="G20" s="14">
        <f t="shared" ref="G20:H20" si="33">SUM(G21:G23)</f>
        <v>6412</v>
      </c>
      <c r="H20" s="14">
        <f t="shared" si="33"/>
        <v>6552</v>
      </c>
      <c r="I20" s="14">
        <f>SUM(I21:I23)</f>
        <v>6719</v>
      </c>
      <c r="J20" s="14">
        <f>SUM(J21:J23)</f>
        <v>7003</v>
      </c>
      <c r="K20" s="14">
        <f t="shared" ref="K20:AB20" si="34">SUM(K21:K23)</f>
        <v>7565</v>
      </c>
      <c r="L20" s="14">
        <f t="shared" si="34"/>
        <v>7023</v>
      </c>
      <c r="M20" s="14">
        <f t="shared" si="34"/>
        <v>8677</v>
      </c>
      <c r="N20" s="14">
        <f t="shared" si="34"/>
        <v>10573</v>
      </c>
      <c r="O20" s="14">
        <f t="shared" si="34"/>
        <v>10867</v>
      </c>
      <c r="P20" s="14">
        <f t="shared" si="34"/>
        <v>10500</v>
      </c>
      <c r="Q20" s="14">
        <f t="shared" si="34"/>
        <v>11799</v>
      </c>
      <c r="R20" s="14">
        <f t="shared" si="34"/>
        <v>13113</v>
      </c>
      <c r="S20" s="14">
        <f t="shared" si="34"/>
        <v>12138</v>
      </c>
      <c r="T20" s="14">
        <f t="shared" si="34"/>
        <v>13047</v>
      </c>
      <c r="U20" s="14">
        <f t="shared" si="34"/>
        <v>13946</v>
      </c>
      <c r="V20" s="14">
        <f t="shared" si="34"/>
        <v>14446</v>
      </c>
      <c r="W20" s="14">
        <f t="shared" si="34"/>
        <v>13938</v>
      </c>
      <c r="X20" s="14">
        <f t="shared" si="34"/>
        <v>14269</v>
      </c>
      <c r="Y20" s="14">
        <f t="shared" si="34"/>
        <v>12486</v>
      </c>
      <c r="Z20" s="14">
        <f t="shared" si="34"/>
        <v>14811</v>
      </c>
      <c r="AA20" s="14">
        <f>SUM(AA21:AA23)</f>
        <v>15412</v>
      </c>
      <c r="AB20" s="14">
        <f t="shared" si="34"/>
        <v>17109.550556349503</v>
      </c>
      <c r="AC20" s="14">
        <f t="shared" ref="AC20:AV20" si="35">SUM(AC21:AC23)</f>
        <v>14956.906243729925</v>
      </c>
      <c r="AD20" s="14">
        <f t="shared" si="35"/>
        <v>17806.087762705494</v>
      </c>
      <c r="AE20" s="14">
        <f t="shared" si="35"/>
        <v>18477.353242258847</v>
      </c>
      <c r="AF20" s="14">
        <f t="shared" si="35"/>
        <v>20755.398463347185</v>
      </c>
      <c r="AG20" s="14">
        <f t="shared" si="35"/>
        <v>18125.066243120316</v>
      </c>
      <c r="AH20" s="14">
        <f t="shared" si="35"/>
        <v>21661.055127556967</v>
      </c>
      <c r="AI20" s="14">
        <f t="shared" si="35"/>
        <v>22404.932171162221</v>
      </c>
      <c r="AJ20" s="14">
        <f t="shared" si="35"/>
        <v>25512.463733984081</v>
      </c>
      <c r="AK20" s="14">
        <f t="shared" si="35"/>
        <v>22254.756953811731</v>
      </c>
      <c r="AL20" s="14">
        <f t="shared" si="35"/>
        <v>26704.641066685588</v>
      </c>
      <c r="AM20" s="14">
        <f t="shared" si="35"/>
        <v>27519.70564074986</v>
      </c>
      <c r="AN20" s="14">
        <f t="shared" si="35"/>
        <v>31822.441618513229</v>
      </c>
      <c r="AO20" s="14">
        <f t="shared" si="35"/>
        <v>27727.455982433545</v>
      </c>
      <c r="AP20" s="14">
        <f t="shared" si="35"/>
        <v>33411.826345598223</v>
      </c>
      <c r="AQ20" s="14">
        <f t="shared" si="35"/>
        <v>34290.23702620696</v>
      </c>
      <c r="AR20" s="14">
        <f t="shared" si="35"/>
        <v>40327.022252738549</v>
      </c>
      <c r="AS20" s="14">
        <f t="shared" si="35"/>
        <v>35097.262414997844</v>
      </c>
      <c r="AT20" s="14">
        <f t="shared" si="35"/>
        <v>42473.055434105983</v>
      </c>
      <c r="AU20" s="14">
        <f t="shared" si="35"/>
        <v>43396.472487706153</v>
      </c>
      <c r="AV20" s="14">
        <f t="shared" si="35"/>
        <v>51963.207930647157</v>
      </c>
    </row>
    <row r="21" spans="2:48">
      <c r="B21" s="6" t="s">
        <v>24</v>
      </c>
      <c r="C21" s="9" t="s">
        <v>88</v>
      </c>
      <c r="G21" s="14">
        <v>6412</v>
      </c>
      <c r="H21" s="14">
        <v>6552</v>
      </c>
      <c r="I21" s="14">
        <v>498</v>
      </c>
      <c r="J21" s="14">
        <v>564</v>
      </c>
      <c r="K21" s="14">
        <v>589</v>
      </c>
      <c r="L21" s="14">
        <v>520</v>
      </c>
      <c r="M21" s="14">
        <v>701</v>
      </c>
      <c r="N21" s="14">
        <v>1526</v>
      </c>
      <c r="O21" s="14">
        <v>1169</v>
      </c>
      <c r="P21" s="14">
        <v>1282</v>
      </c>
      <c r="Q21" s="14">
        <v>1442</v>
      </c>
      <c r="R21" s="14">
        <v>1678</v>
      </c>
      <c r="S21" s="14">
        <v>1393</v>
      </c>
      <c r="T21" s="14">
        <v>1569</v>
      </c>
      <c r="U21" s="14">
        <v>1761</v>
      </c>
      <c r="V21" s="14">
        <v>2100</v>
      </c>
      <c r="W21" s="14">
        <v>1721</v>
      </c>
      <c r="X21" s="14">
        <v>2210</v>
      </c>
      <c r="Y21" s="14">
        <v>1907</v>
      </c>
      <c r="Z21" s="14">
        <v>2383</v>
      </c>
      <c r="AA21" s="14">
        <v>2330</v>
      </c>
      <c r="AB21" s="14">
        <f>Drivers!O127</f>
        <v>3294.5035205304634</v>
      </c>
      <c r="AC21" s="14">
        <f>Drivers!P127</f>
        <v>2842.813671335563</v>
      </c>
      <c r="AD21" s="14">
        <f>Drivers!Q127</f>
        <v>3552.3990449882781</v>
      </c>
      <c r="AE21" s="14">
        <f>Drivers!R127</f>
        <v>3473.390589518543</v>
      </c>
      <c r="AF21" s="14">
        <f>Drivers!S127</f>
        <v>4911.200654655031</v>
      </c>
      <c r="AG21" s="14">
        <f>Drivers!T127</f>
        <v>4237.8550445371693</v>
      </c>
      <c r="AH21" s="14">
        <f>Drivers!U127</f>
        <v>5295.652108616714</v>
      </c>
      <c r="AI21" s="14">
        <f>Drivers!V127</f>
        <v>5177.8721834145799</v>
      </c>
      <c r="AJ21" s="14">
        <f>Drivers!W127</f>
        <v>7321.2524193631298</v>
      </c>
      <c r="AK21" s="14">
        <f>Drivers!X127</f>
        <v>6317.4788976133432</v>
      </c>
      <c r="AL21" s="14">
        <f>Drivers!Y127</f>
        <v>7894.3640340915554</v>
      </c>
      <c r="AM21" s="14">
        <f>Drivers!Z127</f>
        <v>7718.7864873828466</v>
      </c>
      <c r="AN21" s="14">
        <f>Drivers!AA127</f>
        <v>10913.978221847967</v>
      </c>
      <c r="AO21" s="14">
        <f>Drivers!AB127</f>
        <v>9417.6273615674527</v>
      </c>
      <c r="AP21" s="14">
        <f>Drivers!AC127</f>
        <v>11768.330363196244</v>
      </c>
      <c r="AQ21" s="14">
        <f>Drivers!AD127</f>
        <v>11506.592423939257</v>
      </c>
      <c r="AR21" s="14">
        <f>Drivers!AE127</f>
        <v>16269.746459217618</v>
      </c>
      <c r="AS21" s="14">
        <f>Drivers!AF127</f>
        <v>14039.097962772848</v>
      </c>
      <c r="AT21" s="14">
        <f>Drivers!AG127</f>
        <v>17543.351046296641</v>
      </c>
      <c r="AU21" s="14">
        <f>Drivers!AH127</f>
        <v>17153.171606324453</v>
      </c>
      <c r="AV21" s="14">
        <f>Drivers!AI127</f>
        <v>24253.727143905198</v>
      </c>
    </row>
    <row r="22" spans="2:48">
      <c r="B22" s="6" t="s">
        <v>25</v>
      </c>
      <c r="C22" s="9" t="s">
        <v>88</v>
      </c>
      <c r="G22" s="15"/>
      <c r="H22" s="15"/>
      <c r="I22" s="14">
        <v>3391</v>
      </c>
      <c r="J22" s="14">
        <v>3879</v>
      </c>
      <c r="K22" s="14">
        <v>3905</v>
      </c>
      <c r="L22" s="14">
        <v>3602</v>
      </c>
      <c r="M22" s="14">
        <v>4557</v>
      </c>
      <c r="N22" s="14">
        <v>4867</v>
      </c>
      <c r="O22" s="14">
        <v>4966</v>
      </c>
      <c r="P22" s="14">
        <v>4205</v>
      </c>
      <c r="Q22" s="14">
        <v>5201</v>
      </c>
      <c r="R22" s="14">
        <v>5244</v>
      </c>
      <c r="S22" s="14">
        <v>5196</v>
      </c>
      <c r="T22" s="14">
        <v>5081</v>
      </c>
      <c r="U22" s="14">
        <v>6005</v>
      </c>
      <c r="V22" s="14">
        <v>5891</v>
      </c>
      <c r="W22" s="14">
        <v>5682</v>
      </c>
      <c r="X22" s="14">
        <v>5691</v>
      </c>
      <c r="Y22" s="14">
        <v>5064</v>
      </c>
      <c r="Z22" s="14">
        <v>5656</v>
      </c>
      <c r="AA22" s="14">
        <v>5951</v>
      </c>
      <c r="AB22" s="14">
        <f>Drivers!O128</f>
        <v>6291.1503218292355</v>
      </c>
      <c r="AC22" s="14">
        <f>Drivers!P128</f>
        <v>5598.0293849487343</v>
      </c>
      <c r="AD22" s="14">
        <f>Drivers!Q128</f>
        <v>6252.4593604403717</v>
      </c>
      <c r="AE22" s="14">
        <f>Drivers!R128</f>
        <v>6578.568892146508</v>
      </c>
      <c r="AF22" s="14">
        <f>Drivers!S128</f>
        <v>6954.5901198123511</v>
      </c>
      <c r="AG22" s="14">
        <f>Drivers!T128</f>
        <v>6188.3753939078806</v>
      </c>
      <c r="AH22" s="14">
        <f>Drivers!U128</f>
        <v>6911.8189628639357</v>
      </c>
      <c r="AI22" s="14">
        <f>Drivers!V128</f>
        <v>7272.3187142862944</v>
      </c>
      <c r="AJ22" s="14">
        <f>Drivers!W128</f>
        <v>7687.9936514580731</v>
      </c>
      <c r="AK22" s="14">
        <f>Drivers!X128</f>
        <v>6840.9769550138262</v>
      </c>
      <c r="AL22" s="14">
        <f>Drivers!Y128</f>
        <v>7640.7120176852677</v>
      </c>
      <c r="AM22" s="14">
        <f>Drivers!Z128</f>
        <v>8039.2286451989094</v>
      </c>
      <c r="AN22" s="14">
        <f>Drivers!AA128</f>
        <v>8498.7390150398132</v>
      </c>
      <c r="AO22" s="14">
        <f>Drivers!AB128</f>
        <v>7562.3992922441776</v>
      </c>
      <c r="AP22" s="14">
        <f>Drivers!AC128</f>
        <v>8446.4712474196403</v>
      </c>
      <c r="AQ22" s="14">
        <f>Drivers!AD128</f>
        <v>8887.0138602182269</v>
      </c>
      <c r="AR22" s="14">
        <f>Drivers!AE128</f>
        <v>9394.9823738552805</v>
      </c>
      <c r="AS22" s="14">
        <f>Drivers!AF128</f>
        <v>8359.8999720968441</v>
      </c>
      <c r="AT22" s="14">
        <f>Drivers!AG128</f>
        <v>9337.2026544588734</v>
      </c>
      <c r="AU22" s="14">
        <f>Drivers!AH128</f>
        <v>9824.2031465142809</v>
      </c>
      <c r="AV22" s="14">
        <f>Drivers!AI128</f>
        <v>10385.740007882559</v>
      </c>
    </row>
    <row r="23" spans="2:48">
      <c r="B23" s="6" t="s">
        <v>26</v>
      </c>
      <c r="C23" s="9" t="s">
        <v>88</v>
      </c>
      <c r="G23" s="15"/>
      <c r="H23" s="15"/>
      <c r="I23" s="14">
        <v>2830</v>
      </c>
      <c r="J23" s="14">
        <v>2560</v>
      </c>
      <c r="K23" s="14">
        <v>3071</v>
      </c>
      <c r="L23" s="14">
        <v>2901</v>
      </c>
      <c r="M23" s="14">
        <v>3419</v>
      </c>
      <c r="N23" s="14">
        <v>4180</v>
      </c>
      <c r="O23" s="14">
        <v>4732</v>
      </c>
      <c r="P23" s="14">
        <v>5013</v>
      </c>
      <c r="Q23" s="14">
        <v>5156</v>
      </c>
      <c r="R23" s="14">
        <v>6191</v>
      </c>
      <c r="S23" s="14">
        <v>5549</v>
      </c>
      <c r="T23" s="14">
        <v>6397</v>
      </c>
      <c r="U23" s="14">
        <v>6180</v>
      </c>
      <c r="V23" s="14">
        <v>6455</v>
      </c>
      <c r="W23" s="14">
        <v>6535</v>
      </c>
      <c r="X23" s="14">
        <v>6368</v>
      </c>
      <c r="Y23" s="14">
        <v>5515</v>
      </c>
      <c r="Z23" s="14">
        <v>6772</v>
      </c>
      <c r="AA23" s="14">
        <v>7131</v>
      </c>
      <c r="AB23" s="14">
        <f>Drivers!O129</f>
        <v>7523.8967139898032</v>
      </c>
      <c r="AC23" s="14">
        <f>Drivers!P129</f>
        <v>6516.0631874456294</v>
      </c>
      <c r="AD23" s="14">
        <f>Drivers!Q129</f>
        <v>8001.2293572768449</v>
      </c>
      <c r="AE23" s="14">
        <f>Drivers!R129</f>
        <v>8425.3937605937954</v>
      </c>
      <c r="AF23" s="14">
        <f>Drivers!S129</f>
        <v>8889.6076888797998</v>
      </c>
      <c r="AG23" s="14">
        <f>Drivers!T129</f>
        <v>7698.8358046752664</v>
      </c>
      <c r="AH23" s="14">
        <f>Drivers!U129</f>
        <v>9453.584056076319</v>
      </c>
      <c r="AI23" s="14">
        <f>Drivers!V129</f>
        <v>9954.7412734613463</v>
      </c>
      <c r="AJ23" s="14">
        <f>Drivers!W129</f>
        <v>10503.217663162879</v>
      </c>
      <c r="AK23" s="14">
        <f>Drivers!X129</f>
        <v>9096.301101184561</v>
      </c>
      <c r="AL23" s="14">
        <f>Drivers!Y129</f>
        <v>11169.565014908765</v>
      </c>
      <c r="AM23" s="14">
        <f>Drivers!Z129</f>
        <v>11761.690508168105</v>
      </c>
      <c r="AN23" s="14">
        <f>Drivers!AA129</f>
        <v>12409.724381625447</v>
      </c>
      <c r="AO23" s="14">
        <f>Drivers!AB129</f>
        <v>10747.429328621914</v>
      </c>
      <c r="AP23" s="14">
        <f>Drivers!AC129</f>
        <v>13197.024734982338</v>
      </c>
      <c r="AQ23" s="14">
        <f>Drivers!AD129</f>
        <v>13896.630742049476</v>
      </c>
      <c r="AR23" s="14">
        <f>Drivers!AE129</f>
        <v>14662.293419665648</v>
      </c>
      <c r="AS23" s="14">
        <f>Drivers!AF129</f>
        <v>12698.264480128149</v>
      </c>
      <c r="AT23" s="14">
        <f>Drivers!AG129</f>
        <v>15592.501733350467</v>
      </c>
      <c r="AU23" s="14">
        <f>Drivers!AH129</f>
        <v>16419.097734867421</v>
      </c>
      <c r="AV23" s="14">
        <f>Drivers!AI129</f>
        <v>17323.740778859403</v>
      </c>
    </row>
    <row r="24" spans="2:48">
      <c r="B24" s="12" t="s">
        <v>27</v>
      </c>
      <c r="C24" s="22"/>
      <c r="D24" s="12"/>
      <c r="E24" s="12"/>
      <c r="F24" s="12"/>
      <c r="G24" s="13">
        <f t="shared" ref="G24:AB24" si="36">SUM(G13,G18:G20)</f>
        <v>132723</v>
      </c>
      <c r="H24" s="13">
        <f t="shared" si="36"/>
        <v>132248</v>
      </c>
      <c r="I24" s="13">
        <f t="shared" si="36"/>
        <v>132454</v>
      </c>
      <c r="J24" s="13">
        <f t="shared" si="36"/>
        <v>142576</v>
      </c>
      <c r="K24" s="13">
        <f t="shared" si="36"/>
        <v>149754</v>
      </c>
      <c r="L24" s="13">
        <f t="shared" si="36"/>
        <v>144928</v>
      </c>
      <c r="M24" s="13">
        <f t="shared" si="36"/>
        <v>149259</v>
      </c>
      <c r="N24" s="13">
        <f t="shared" si="36"/>
        <v>167687</v>
      </c>
      <c r="O24" s="13">
        <f t="shared" si="36"/>
        <v>184509</v>
      </c>
      <c r="P24" s="13">
        <f t="shared" si="36"/>
        <v>167779</v>
      </c>
      <c r="Q24" s="13">
        <f t="shared" si="36"/>
        <v>166465</v>
      </c>
      <c r="R24" s="13">
        <f t="shared" si="36"/>
        <v>183896</v>
      </c>
      <c r="S24" s="13">
        <f t="shared" si="36"/>
        <v>198548</v>
      </c>
      <c r="T24" s="13">
        <f t="shared" si="36"/>
        <v>184011</v>
      </c>
      <c r="U24" s="13">
        <f t="shared" si="36"/>
        <v>185033</v>
      </c>
      <c r="V24" s="13">
        <f t="shared" si="36"/>
        <v>193049</v>
      </c>
      <c r="W24" s="13">
        <f t="shared" si="36"/>
        <v>204183</v>
      </c>
      <c r="X24" s="13">
        <f t="shared" si="36"/>
        <v>194316</v>
      </c>
      <c r="Y24" s="13">
        <f t="shared" si="36"/>
        <v>177027</v>
      </c>
      <c r="Z24" s="13">
        <f t="shared" si="36"/>
        <v>196207</v>
      </c>
      <c r="AA24" s="13">
        <f t="shared" si="36"/>
        <v>213318</v>
      </c>
      <c r="AB24" s="13">
        <f t="shared" si="36"/>
        <v>215954.16671447482</v>
      </c>
      <c r="AC24" s="13">
        <f t="shared" ref="AC24:AV24" si="37">SUM(AC13,AC18:AC20)</f>
        <v>196690.48176484989</v>
      </c>
      <c r="AD24" s="13">
        <f t="shared" si="37"/>
        <v>218097.16718000162</v>
      </c>
      <c r="AE24" s="13">
        <f t="shared" si="37"/>
        <v>237002.7599917287</v>
      </c>
      <c r="AF24" s="13">
        <f t="shared" si="37"/>
        <v>240658.14071059693</v>
      </c>
      <c r="AG24" s="13">
        <f t="shared" si="37"/>
        <v>219139.63420838196</v>
      </c>
      <c r="AH24" s="13">
        <f t="shared" si="37"/>
        <v>243119.0231768449</v>
      </c>
      <c r="AI24" s="13">
        <f t="shared" si="37"/>
        <v>264019.37684308889</v>
      </c>
      <c r="AJ24" s="13">
        <f t="shared" si="37"/>
        <v>269044.29425529455</v>
      </c>
      <c r="AK24" s="13">
        <f t="shared" si="37"/>
        <v>244930.80573009327</v>
      </c>
      <c r="AL24" s="13">
        <f t="shared" si="37"/>
        <v>271914.08350742981</v>
      </c>
      <c r="AM24" s="13">
        <f t="shared" si="37"/>
        <v>295030.92238361656</v>
      </c>
      <c r="AN24" s="13">
        <f t="shared" si="37"/>
        <v>301912.13077498158</v>
      </c>
      <c r="AO24" s="13">
        <f t="shared" si="37"/>
        <v>274783.06048227526</v>
      </c>
      <c r="AP24" s="13">
        <f t="shared" si="37"/>
        <v>305318.01911727391</v>
      </c>
      <c r="AQ24" s="13">
        <f t="shared" si="37"/>
        <v>330895.58466903155</v>
      </c>
      <c r="AR24" s="13">
        <f t="shared" si="37"/>
        <v>340316.2794543014</v>
      </c>
      <c r="AS24" s="13">
        <f t="shared" si="37"/>
        <v>309641.22467537655</v>
      </c>
      <c r="AT24" s="13">
        <f t="shared" si="37"/>
        <v>344437.7821668316</v>
      </c>
      <c r="AU24" s="13">
        <f t="shared" si="37"/>
        <v>372742.92166497617</v>
      </c>
      <c r="AV24" s="13">
        <f t="shared" si="37"/>
        <v>385670.92752538482</v>
      </c>
    </row>
    <row r="25" spans="2:48">
      <c r="D25" t="s">
        <v>79</v>
      </c>
      <c r="E25" t="s">
        <v>80</v>
      </c>
      <c r="G25"/>
      <c r="H25"/>
      <c r="AD25" s="14"/>
    </row>
    <row r="26" spans="2:48">
      <c r="B26" s="11" t="s">
        <v>113</v>
      </c>
      <c r="C26" s="9" t="s">
        <v>114</v>
      </c>
      <c r="D26" s="142">
        <f>Drivers!D108</f>
        <v>2.3E-2</v>
      </c>
      <c r="E26" s="142">
        <f>Drivers!D109</f>
        <v>0.65527908802647361</v>
      </c>
      <c r="G26" s="14">
        <v>-84730</v>
      </c>
      <c r="H26" s="14">
        <v>-87484</v>
      </c>
      <c r="I26" s="14">
        <v>-85725</v>
      </c>
      <c r="J26" s="14">
        <v>-93381</v>
      </c>
      <c r="K26" s="14">
        <v>-96905</v>
      </c>
      <c r="L26" s="14">
        <v>-99207</v>
      </c>
      <c r="M26" s="14">
        <v>-100150</v>
      </c>
      <c r="N26" s="14">
        <v>-112100</v>
      </c>
      <c r="O26" s="14">
        <v>-121274</v>
      </c>
      <c r="P26" s="14">
        <v>-114646</v>
      </c>
      <c r="Q26" s="14">
        <v>-108485</v>
      </c>
      <c r="R26" s="14">
        <v>-117321</v>
      </c>
      <c r="S26" s="14">
        <v>-125522</v>
      </c>
      <c r="T26" s="14">
        <v>-122975</v>
      </c>
      <c r="U26" s="14">
        <v>-117980</v>
      </c>
      <c r="V26" s="14">
        <v>-124434</v>
      </c>
      <c r="W26" s="14">
        <v>-132337</v>
      </c>
      <c r="X26" s="14">
        <v>-128891</v>
      </c>
      <c r="Y26" s="14">
        <v>-116570</v>
      </c>
      <c r="Z26" s="14">
        <v>-128399</v>
      </c>
      <c r="AA26" s="14">
        <v>-138740</v>
      </c>
      <c r="AB26" s="14">
        <f>Drivers!O132</f>
        <v>-135001.890436324</v>
      </c>
      <c r="AC26" s="14">
        <f>Drivers!P132</f>
        <v>-122739.05889286578</v>
      </c>
      <c r="AD26" s="14">
        <f>Drivers!Q132</f>
        <v>-135256.49596830769</v>
      </c>
      <c r="AE26" s="14">
        <f>Drivers!R132</f>
        <v>-146276.36920448323</v>
      </c>
      <c r="AF26" s="14">
        <f>Drivers!S132</f>
        <v>-144700.04395417316</v>
      </c>
      <c r="AG26" s="14">
        <f>Drivers!T132</f>
        <v>-132285.5075075365</v>
      </c>
      <c r="AH26" s="14">
        <f>Drivers!U132</f>
        <v>-145669.14180626645</v>
      </c>
      <c r="AI26" s="14">
        <f>Drivers!V132</f>
        <v>-157482.07186863307</v>
      </c>
      <c r="AJ26" s="14">
        <f>Drivers!W132</f>
        <v>-157886.31450601417</v>
      </c>
      <c r="AK26" s="14">
        <f>Drivers!X132</f>
        <v>-145019.75648556583</v>
      </c>
      <c r="AL26" s="14">
        <f>Drivers!Y132</f>
        <v>-159551.80774015663</v>
      </c>
      <c r="AM26" s="14">
        <f>Drivers!Z132</f>
        <v>-172309.24107408393</v>
      </c>
      <c r="AN26" s="14">
        <f>Drivers!AA132</f>
        <v>-174689.68860933051</v>
      </c>
      <c r="AO26" s="14">
        <f>Drivers!AB132</f>
        <v>-161004.83515934186</v>
      </c>
      <c r="AP26" s="14">
        <f>Drivers!AC132</f>
        <v>-177060.9588526451</v>
      </c>
      <c r="AQ26" s="14">
        <f>Drivers!AD132</f>
        <v>-190939.14169253997</v>
      </c>
      <c r="AR26" s="14">
        <f>Drivers!AE132</f>
        <v>-195484.76269591553</v>
      </c>
      <c r="AS26" s="14">
        <f>Drivers!AF132</f>
        <v>-180553.3552089025</v>
      </c>
      <c r="AT26" s="14">
        <f>Drivers!AG132</f>
        <v>-198612.41696270177</v>
      </c>
      <c r="AU26" s="14">
        <f>Drivers!AH132</f>
        <v>-213803.90781348932</v>
      </c>
      <c r="AV26" s="14">
        <f>Drivers!AI132</f>
        <v>-220936.51525016426</v>
      </c>
    </row>
    <row r="27" spans="2:48">
      <c r="B27" s="12" t="s">
        <v>29</v>
      </c>
      <c r="C27" s="22"/>
      <c r="D27" s="12"/>
      <c r="E27" s="12"/>
      <c r="F27" s="12"/>
      <c r="G27" s="13">
        <f t="shared" ref="G27:AB27" si="38">SUM(G24:G24,G26)</f>
        <v>47993</v>
      </c>
      <c r="H27" s="13">
        <f t="shared" si="38"/>
        <v>44764</v>
      </c>
      <c r="I27" s="13">
        <f t="shared" si="38"/>
        <v>46729</v>
      </c>
      <c r="J27" s="13">
        <f t="shared" si="38"/>
        <v>49195</v>
      </c>
      <c r="K27" s="13">
        <f t="shared" si="38"/>
        <v>52849</v>
      </c>
      <c r="L27" s="13">
        <f t="shared" si="38"/>
        <v>45721</v>
      </c>
      <c r="M27" s="13">
        <f t="shared" si="38"/>
        <v>49109</v>
      </c>
      <c r="N27" s="13">
        <f t="shared" si="38"/>
        <v>55587</v>
      </c>
      <c r="O27" s="13">
        <f t="shared" si="38"/>
        <v>63235</v>
      </c>
      <c r="P27" s="13">
        <f t="shared" si="38"/>
        <v>53133</v>
      </c>
      <c r="Q27" s="13">
        <f t="shared" si="38"/>
        <v>57980</v>
      </c>
      <c r="R27" s="13">
        <f t="shared" si="38"/>
        <v>66575</v>
      </c>
      <c r="S27" s="13">
        <f t="shared" si="38"/>
        <v>73026</v>
      </c>
      <c r="T27" s="13">
        <f t="shared" si="38"/>
        <v>61036</v>
      </c>
      <c r="U27" s="13">
        <f t="shared" si="38"/>
        <v>67053</v>
      </c>
      <c r="V27" s="13">
        <f t="shared" si="38"/>
        <v>68615</v>
      </c>
      <c r="W27" s="13">
        <f t="shared" si="38"/>
        <v>71846</v>
      </c>
      <c r="X27" s="13">
        <f t="shared" si="38"/>
        <v>65425</v>
      </c>
      <c r="Y27" s="13">
        <f t="shared" si="38"/>
        <v>60457</v>
      </c>
      <c r="Z27" s="13">
        <f t="shared" si="38"/>
        <v>67808</v>
      </c>
      <c r="AA27" s="13">
        <f t="shared" si="38"/>
        <v>74578</v>
      </c>
      <c r="AB27" s="13">
        <f t="shared" si="38"/>
        <v>80952.276278150821</v>
      </c>
      <c r="AC27" s="13">
        <f t="shared" ref="AC27:AV27" si="39">SUM(AC24:AC24,AC26)</f>
        <v>73951.422871984105</v>
      </c>
      <c r="AD27" s="13">
        <f t="shared" si="39"/>
        <v>82840.671211693931</v>
      </c>
      <c r="AE27" s="13">
        <f t="shared" si="39"/>
        <v>90726.390787245473</v>
      </c>
      <c r="AF27" s="13">
        <f t="shared" si="39"/>
        <v>95958.096756423765</v>
      </c>
      <c r="AG27" s="13">
        <f t="shared" si="39"/>
        <v>86854.12670084546</v>
      </c>
      <c r="AH27" s="13">
        <f t="shared" si="39"/>
        <v>97449.881370578456</v>
      </c>
      <c r="AI27" s="13">
        <f t="shared" si="39"/>
        <v>106537.30497445582</v>
      </c>
      <c r="AJ27" s="13">
        <f t="shared" si="39"/>
        <v>111157.97974928038</v>
      </c>
      <c r="AK27" s="13">
        <f t="shared" si="39"/>
        <v>99911.049244527443</v>
      </c>
      <c r="AL27" s="13">
        <f t="shared" si="39"/>
        <v>112362.27576727318</v>
      </c>
      <c r="AM27" s="13">
        <f t="shared" si="39"/>
        <v>122721.68130953264</v>
      </c>
      <c r="AN27" s="13">
        <f t="shared" si="39"/>
        <v>127222.44216565107</v>
      </c>
      <c r="AO27" s="13">
        <f t="shared" si="39"/>
        <v>113778.2253229334</v>
      </c>
      <c r="AP27" s="13">
        <f t="shared" si="39"/>
        <v>128257.06026462882</v>
      </c>
      <c r="AQ27" s="13">
        <f t="shared" si="39"/>
        <v>139956.44297649158</v>
      </c>
      <c r="AR27" s="13">
        <f t="shared" si="39"/>
        <v>144831.51675838587</v>
      </c>
      <c r="AS27" s="13">
        <f t="shared" si="39"/>
        <v>129087.86946647405</v>
      </c>
      <c r="AT27" s="13">
        <f t="shared" si="39"/>
        <v>145825.36520412983</v>
      </c>
      <c r="AU27" s="13">
        <f t="shared" si="39"/>
        <v>158939.01385148684</v>
      </c>
      <c r="AV27" s="13">
        <f t="shared" si="39"/>
        <v>164734.41227522056</v>
      </c>
    </row>
    <row r="28" spans="2:48">
      <c r="B28" s="143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4"/>
      <c r="AM28" s="144"/>
      <c r="AN28" s="144"/>
      <c r="AO28" s="144"/>
      <c r="AP28" s="144"/>
      <c r="AQ28" s="144"/>
      <c r="AR28" s="144"/>
      <c r="AS28" s="144"/>
      <c r="AT28" s="144"/>
      <c r="AU28" s="144"/>
      <c r="AV28" s="144"/>
    </row>
    <row r="29" spans="2:48"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 spans="2:48">
      <c r="B30" t="s">
        <v>115</v>
      </c>
    </row>
    <row r="31" spans="2:48">
      <c r="B31" s="5" t="s">
        <v>116</v>
      </c>
      <c r="C31" s="9" t="s">
        <v>100</v>
      </c>
      <c r="G31" s="14">
        <v>-36072</v>
      </c>
      <c r="H31" s="14">
        <v>-40102</v>
      </c>
      <c r="I31" s="14">
        <v>-34857</v>
      </c>
      <c r="J31" s="14">
        <v>-36324</v>
      </c>
      <c r="K31" s="14">
        <v>-38115</v>
      </c>
      <c r="L31" s="14">
        <v>-42221</v>
      </c>
      <c r="M31" s="14">
        <v>-37081</v>
      </c>
      <c r="N31" s="14">
        <v>-42732</v>
      </c>
      <c r="O31" s="14">
        <v>-44378</v>
      </c>
      <c r="P31" s="14">
        <v>-49632</v>
      </c>
      <c r="Q31" s="14">
        <v>-40223</v>
      </c>
      <c r="R31" s="14">
        <v>-46180</v>
      </c>
      <c r="S31" s="14">
        <v>-51890</v>
      </c>
      <c r="T31" s="14">
        <v>-58959</v>
      </c>
      <c r="U31" s="14">
        <v>-48178</v>
      </c>
      <c r="V31" s="14">
        <v>-51575</v>
      </c>
      <c r="W31" s="14">
        <v>-53561</v>
      </c>
      <c r="X31" s="14">
        <v>-55956</v>
      </c>
      <c r="Y31" s="14">
        <v>-47460</v>
      </c>
      <c r="Z31" s="14">
        <v>-54053</v>
      </c>
      <c r="AA31" s="14">
        <v>-56125</v>
      </c>
      <c r="AB31" s="14">
        <f>Drivers!H195</f>
        <v>-57345.894606488997</v>
      </c>
      <c r="AC31" s="14">
        <f>Drivers!I195</f>
        <v>-52230.488575382493</v>
      </c>
      <c r="AD31" s="14">
        <f>Drivers!J195</f>
        <v>-60146.918294352508</v>
      </c>
      <c r="AE31" s="14">
        <f>Drivers!K195</f>
        <v>-65360.709747291243</v>
      </c>
      <c r="AF31" s="14">
        <f>Drivers!L195</f>
        <v>-66368.792008401331</v>
      </c>
      <c r="AG31" s="14">
        <f>Drivers!M195</f>
        <v>-60434.410241136029</v>
      </c>
      <c r="AH31" s="14">
        <f>Drivers!N195</f>
        <v>-67047.455094874458</v>
      </c>
      <c r="AI31" s="14">
        <f>Drivers!O195</f>
        <v>-72811.362441956735</v>
      </c>
      <c r="AJ31" s="14">
        <f>Drivers!P195</f>
        <v>-74197.136044317915</v>
      </c>
      <c r="AK31" s="14">
        <f>Drivers!Q195</f>
        <v>-67547.109164692898</v>
      </c>
      <c r="AL31" s="14">
        <f>Drivers!R195</f>
        <v>-74988.567597061265</v>
      </c>
      <c r="AM31" s="14">
        <f>Drivers!S195</f>
        <v>-81363.738063911849</v>
      </c>
      <c r="AN31" s="14">
        <f>Drivers!T195</f>
        <v>-80171.739657765735</v>
      </c>
      <c r="AO31" s="14">
        <f>Drivers!U195</f>
        <v>-72967.70729549833</v>
      </c>
      <c r="AP31" s="14">
        <f>Drivers!V195</f>
        <v>-84200.717446659779</v>
      </c>
      <c r="AQ31" s="14">
        <f>Drivers!W195</f>
        <v>-91254.508035972263</v>
      </c>
      <c r="AR31" s="14">
        <f>Drivers!X195</f>
        <v>-93852.550765514039</v>
      </c>
      <c r="AS31" s="14">
        <f>Drivers!Y195</f>
        <v>-85392.972691581279</v>
      </c>
      <c r="AT31" s="14">
        <f>Drivers!Z195</f>
        <v>-94989.180324282715</v>
      </c>
      <c r="AU31" s="14">
        <f>Drivers!AA195</f>
        <v>-102795.18227615612</v>
      </c>
      <c r="AV31" s="14">
        <f>Drivers!AB195</f>
        <v>-106360.47256510862</v>
      </c>
    </row>
    <row r="32" spans="2:48">
      <c r="B32" s="5" t="s">
        <v>117</v>
      </c>
      <c r="C32" s="9" t="s">
        <v>118</v>
      </c>
      <c r="G32" s="14">
        <v>5104</v>
      </c>
      <c r="H32" s="14">
        <v>868</v>
      </c>
      <c r="I32" s="14">
        <f>0.46*(1000)</f>
        <v>460</v>
      </c>
      <c r="J32" s="14">
        <f>0.452*(1000)</f>
        <v>452</v>
      </c>
      <c r="K32" s="14">
        <f>0.283*(1000)</f>
        <v>283</v>
      </c>
      <c r="L32" s="14">
        <f>0.791*(1000)</f>
        <v>791</v>
      </c>
      <c r="M32" s="14">
        <f>0.55*(1000)</f>
        <v>550</v>
      </c>
      <c r="N32" s="14">
        <f>0.307*(1000)</f>
        <v>307</v>
      </c>
      <c r="O32" s="14">
        <f>0.425*(1000)</f>
        <v>425</v>
      </c>
      <c r="P32" s="14">
        <f>0.839*(1000)</f>
        <v>839</v>
      </c>
      <c r="Q32" s="14">
        <f>0.39*(1000)</f>
        <v>390</v>
      </c>
      <c r="R32" s="14">
        <f>0.397*(1000)</f>
        <v>397</v>
      </c>
      <c r="S32" s="14">
        <f>0.342*(1000)</f>
        <v>342</v>
      </c>
      <c r="T32" s="14">
        <f>1.203*(1000)</f>
        <v>1203</v>
      </c>
      <c r="U32" s="14">
        <f>0.252*(1000)</f>
        <v>252</v>
      </c>
      <c r="V32" s="14">
        <f>0.275*(1000)</f>
        <v>275</v>
      </c>
      <c r="W32" s="14">
        <f>0.467*(1000)</f>
        <v>467</v>
      </c>
      <c r="X32" s="14">
        <f>0.836*(1000)</f>
        <v>836</v>
      </c>
      <c r="Y32" s="14">
        <v>254</v>
      </c>
      <c r="Z32" s="14">
        <v>298</v>
      </c>
      <c r="AA32" s="14">
        <v>279</v>
      </c>
      <c r="AB32" s="14">
        <f>AVERAGE(H32,L32,P32,T32,X32)</f>
        <v>907.4</v>
      </c>
      <c r="AC32" s="14">
        <f t="shared" ref="AC32:AV33" si="40">AVERAGE(I32,M32,Q32,U32,Y32)</f>
        <v>381.2</v>
      </c>
      <c r="AD32" s="14">
        <f t="shared" si="40"/>
        <v>345.8</v>
      </c>
      <c r="AE32" s="14">
        <f t="shared" si="40"/>
        <v>359.2</v>
      </c>
      <c r="AF32" s="14">
        <f t="shared" si="40"/>
        <v>915.28</v>
      </c>
      <c r="AG32" s="14">
        <f t="shared" si="40"/>
        <v>365.44</v>
      </c>
      <c r="AH32" s="14">
        <f t="shared" si="40"/>
        <v>324.56</v>
      </c>
      <c r="AI32" s="14">
        <f t="shared" si="40"/>
        <v>374.44</v>
      </c>
      <c r="AJ32" s="14">
        <f t="shared" si="40"/>
        <v>940.13600000000008</v>
      </c>
      <c r="AK32" s="14">
        <f t="shared" si="40"/>
        <v>328.52800000000002</v>
      </c>
      <c r="AL32" s="14">
        <f t="shared" si="40"/>
        <v>328.072</v>
      </c>
      <c r="AM32" s="14">
        <f t="shared" si="40"/>
        <v>364.32800000000003</v>
      </c>
      <c r="AN32" s="14">
        <f t="shared" si="40"/>
        <v>960.36320000000012</v>
      </c>
      <c r="AO32" s="14">
        <f t="shared" si="40"/>
        <v>316.23360000000002</v>
      </c>
      <c r="AP32" s="14">
        <f t="shared" si="40"/>
        <v>314.28639999999996</v>
      </c>
      <c r="AQ32" s="14">
        <f t="shared" si="40"/>
        <v>368.79360000000003</v>
      </c>
      <c r="AR32" s="14">
        <f t="shared" si="40"/>
        <v>911.83584000000008</v>
      </c>
      <c r="AS32" s="14">
        <f t="shared" si="40"/>
        <v>329.08032000000003</v>
      </c>
      <c r="AT32" s="14">
        <f t="shared" si="40"/>
        <v>322.14367999999996</v>
      </c>
      <c r="AU32" s="14">
        <f t="shared" si="40"/>
        <v>349.15232000000003</v>
      </c>
      <c r="AV32" s="14">
        <f t="shared" si="40"/>
        <v>927.00300800000002</v>
      </c>
    </row>
    <row r="33" spans="2:48">
      <c r="B33" s="5" t="s">
        <v>119</v>
      </c>
      <c r="C33" s="9" t="s">
        <v>118</v>
      </c>
      <c r="G33" s="14">
        <v>-436</v>
      </c>
      <c r="H33" s="14">
        <v>-867</v>
      </c>
      <c r="I33" s="14">
        <v>-198</v>
      </c>
      <c r="J33" s="14">
        <v>-318</v>
      </c>
      <c r="K33" s="14">
        <v>-352</v>
      </c>
      <c r="L33" s="14">
        <v>-1145</v>
      </c>
      <c r="M33" s="14">
        <v>-156</v>
      </c>
      <c r="N33" s="14">
        <v>-507</v>
      </c>
      <c r="O33" s="14">
        <v>-492</v>
      </c>
      <c r="P33" s="14">
        <v>-582</v>
      </c>
      <c r="Q33" s="14">
        <v>-409</v>
      </c>
      <c r="R33" s="14">
        <v>-349</v>
      </c>
      <c r="S33" s="14">
        <v>-701</v>
      </c>
      <c r="T33" s="14">
        <v>-1928</v>
      </c>
      <c r="U33" s="14">
        <v>-459</v>
      </c>
      <c r="V33" s="14">
        <v>-231</v>
      </c>
      <c r="W33" s="14">
        <v>-3035</v>
      </c>
      <c r="X33" s="14">
        <v>-635</v>
      </c>
      <c r="Y33" s="14">
        <v>-427</v>
      </c>
      <c r="Z33" s="14">
        <v>-321</v>
      </c>
      <c r="AA33" s="14">
        <v>-584</v>
      </c>
      <c r="AB33" s="14">
        <f>AVERAGE(H33,L33,P33,T33,X33)</f>
        <v>-1031.4000000000001</v>
      </c>
      <c r="AC33" s="14">
        <f t="shared" si="40"/>
        <v>-329.8</v>
      </c>
      <c r="AD33" s="14">
        <f t="shared" si="40"/>
        <v>-345.2</v>
      </c>
      <c r="AE33" s="14">
        <f t="shared" si="40"/>
        <v>-1032.8</v>
      </c>
      <c r="AF33" s="14">
        <f t="shared" si="40"/>
        <v>-1064.28</v>
      </c>
      <c r="AG33" s="14">
        <f t="shared" si="40"/>
        <v>-356.15999999999997</v>
      </c>
      <c r="AH33" s="14">
        <f t="shared" si="40"/>
        <v>-350.64</v>
      </c>
      <c r="AI33" s="14">
        <f t="shared" si="40"/>
        <v>-1168.96</v>
      </c>
      <c r="AJ33" s="14">
        <f t="shared" si="40"/>
        <v>-1048.136</v>
      </c>
      <c r="AK33" s="14">
        <f t="shared" si="40"/>
        <v>-396.19200000000001</v>
      </c>
      <c r="AL33" s="14">
        <f t="shared" si="40"/>
        <v>-319.36800000000005</v>
      </c>
      <c r="AM33" s="14">
        <f t="shared" si="40"/>
        <v>-1304.3520000000001</v>
      </c>
      <c r="AN33" s="14">
        <f t="shared" si="40"/>
        <v>-1141.3632000000002</v>
      </c>
      <c r="AO33" s="14">
        <f t="shared" si="40"/>
        <v>-393.63040000000001</v>
      </c>
      <c r="AP33" s="14">
        <f t="shared" si="40"/>
        <v>-313.44159999999999</v>
      </c>
      <c r="AQ33" s="14">
        <f t="shared" si="40"/>
        <v>-1425.0224000000001</v>
      </c>
      <c r="AR33" s="14">
        <f t="shared" si="40"/>
        <v>-984.03584000000012</v>
      </c>
      <c r="AS33" s="14">
        <f t="shared" si="40"/>
        <v>-380.55648000000002</v>
      </c>
      <c r="AT33" s="14">
        <f t="shared" si="40"/>
        <v>-329.92992000000004</v>
      </c>
      <c r="AU33" s="14">
        <f t="shared" si="40"/>
        <v>-1103.0268799999999</v>
      </c>
      <c r="AV33" s="14">
        <f t="shared" si="40"/>
        <v>-1053.8430080000003</v>
      </c>
    </row>
    <row r="34" spans="2:48">
      <c r="B34" s="11" t="s">
        <v>120</v>
      </c>
      <c r="C34" s="9" t="s">
        <v>88</v>
      </c>
      <c r="D34" s="142">
        <f>AVERAGE(X34/T34-1,Y34/U34-1,Z34/V34-1,AA34/W34-1)</f>
        <v>2.2821813266740376E-2</v>
      </c>
      <c r="G34" s="14">
        <v>1533</v>
      </c>
      <c r="H34" s="14">
        <v>903</v>
      </c>
      <c r="I34" s="14">
        <v>1112</v>
      </c>
      <c r="J34" s="14">
        <v>579</v>
      </c>
      <c r="K34" s="14">
        <v>1083</v>
      </c>
      <c r="L34" s="14">
        <v>880</v>
      </c>
      <c r="M34" s="14">
        <v>832</v>
      </c>
      <c r="N34" s="14">
        <v>1116</v>
      </c>
      <c r="O34" s="14">
        <v>2880</v>
      </c>
      <c r="P34" s="14">
        <v>3170</v>
      </c>
      <c r="Q34" s="14">
        <v>3136</v>
      </c>
      <c r="R34" s="14">
        <v>3576</v>
      </c>
      <c r="S34" s="14">
        <v>2876</v>
      </c>
      <c r="T34" s="14">
        <v>3449</v>
      </c>
      <c r="U34" s="14">
        <v>3186</v>
      </c>
      <c r="V34" s="14">
        <v>2723</v>
      </c>
      <c r="W34" s="14">
        <v>3111</v>
      </c>
      <c r="X34" s="14">
        <v>4197</v>
      </c>
      <c r="Y34" s="14">
        <v>3017</v>
      </c>
      <c r="Z34" s="14">
        <v>2241</v>
      </c>
      <c r="AA34" s="14">
        <v>3436</v>
      </c>
      <c r="AB34" s="14">
        <f>X34*(1+$D$34)</f>
        <v>4292.7831502805093</v>
      </c>
      <c r="AC34" s="14">
        <f t="shared" ref="AC34:AV34" si="41">Y34*(1+$D$34)</f>
        <v>3085.8534106257557</v>
      </c>
      <c r="AD34" s="14">
        <f t="shared" si="41"/>
        <v>2292.143683530765</v>
      </c>
      <c r="AE34" s="14">
        <f t="shared" si="41"/>
        <v>3514.4157503845199</v>
      </c>
      <c r="AF34" s="14">
        <f t="shared" si="41"/>
        <v>4390.7522457308205</v>
      </c>
      <c r="AG34" s="14">
        <f t="shared" si="41"/>
        <v>3156.2781809315907</v>
      </c>
      <c r="AH34" s="14">
        <f t="shared" si="41"/>
        <v>2344.4545586568424</v>
      </c>
      <c r="AI34" s="14">
        <f t="shared" si="41"/>
        <v>3594.6210903814867</v>
      </c>
      <c r="AJ34" s="14">
        <f t="shared" si="41"/>
        <v>4490.9571735834106</v>
      </c>
      <c r="AK34" s="14">
        <f t="shared" si="41"/>
        <v>3228.3101721946982</v>
      </c>
      <c r="AL34" s="14">
        <f t="shared" si="41"/>
        <v>2397.9592628068672</v>
      </c>
      <c r="AM34" s="14">
        <f t="shared" si="41"/>
        <v>3676.6568616708596</v>
      </c>
      <c r="AN34" s="14">
        <f t="shared" si="41"/>
        <v>4593.4489595878595</v>
      </c>
      <c r="AO34" s="14">
        <f t="shared" si="41"/>
        <v>3301.9860641116443</v>
      </c>
      <c r="AP34" s="14">
        <f t="shared" si="41"/>
        <v>2452.6850413238958</v>
      </c>
      <c r="AQ34" s="14">
        <f t="shared" si="41"/>
        <v>3760.5648380137918</v>
      </c>
      <c r="AR34" s="14">
        <f t="shared" si="41"/>
        <v>4698.2797939938764</v>
      </c>
      <c r="AS34" s="14">
        <f t="shared" si="41"/>
        <v>3377.3433734761793</v>
      </c>
      <c r="AT34" s="14">
        <f t="shared" si="41"/>
        <v>2508.6597613391173</v>
      </c>
      <c r="AU34" s="14">
        <f t="shared" si="41"/>
        <v>3846.3877465244123</v>
      </c>
      <c r="AV34" s="14">
        <f t="shared" si="41"/>
        <v>4805.503058127304</v>
      </c>
    </row>
    <row r="35" spans="2:48">
      <c r="B35" s="12" t="s">
        <v>121</v>
      </c>
      <c r="C35" s="22"/>
      <c r="D35" s="12"/>
      <c r="E35" s="12"/>
      <c r="F35" s="12"/>
      <c r="G35" s="13">
        <f t="shared" ref="G35:X35" si="42">SUM(G27,G31:G34)</f>
        <v>18122</v>
      </c>
      <c r="H35" s="13">
        <f t="shared" si="42"/>
        <v>5566</v>
      </c>
      <c r="I35" s="13">
        <f t="shared" si="42"/>
        <v>13246</v>
      </c>
      <c r="J35" s="13">
        <f t="shared" si="42"/>
        <v>13584</v>
      </c>
      <c r="K35" s="13">
        <f t="shared" si="42"/>
        <v>15748</v>
      </c>
      <c r="L35" s="13">
        <f t="shared" si="42"/>
        <v>4026</v>
      </c>
      <c r="M35" s="13">
        <f t="shared" si="42"/>
        <v>13254</v>
      </c>
      <c r="N35" s="13">
        <f t="shared" si="42"/>
        <v>13771</v>
      </c>
      <c r="O35" s="13">
        <f t="shared" si="42"/>
        <v>21670</v>
      </c>
      <c r="P35" s="13">
        <f t="shared" si="42"/>
        <v>6928</v>
      </c>
      <c r="Q35" s="13">
        <f t="shared" si="42"/>
        <v>20874</v>
      </c>
      <c r="R35" s="13">
        <f t="shared" si="42"/>
        <v>24019</v>
      </c>
      <c r="S35" s="13">
        <f t="shared" si="42"/>
        <v>23653</v>
      </c>
      <c r="T35" s="13">
        <f t="shared" si="42"/>
        <v>4801</v>
      </c>
      <c r="U35" s="13">
        <f t="shared" si="42"/>
        <v>21854</v>
      </c>
      <c r="V35" s="13">
        <f t="shared" si="42"/>
        <v>19807</v>
      </c>
      <c r="W35" s="13">
        <f t="shared" si="42"/>
        <v>18828</v>
      </c>
      <c r="X35" s="13">
        <f t="shared" si="42"/>
        <v>13867</v>
      </c>
      <c r="Y35" s="13">
        <f>SUM(Y27,Y31:Y34)</f>
        <v>15841</v>
      </c>
      <c r="Z35" s="13">
        <f t="shared" ref="Z35:AB35" si="43">SUM(Z27,Z31:Z34)</f>
        <v>15973</v>
      </c>
      <c r="AA35" s="13">
        <f t="shared" si="43"/>
        <v>21584</v>
      </c>
      <c r="AB35" s="13">
        <f t="shared" si="43"/>
        <v>27775.164821942333</v>
      </c>
      <c r="AC35" s="13">
        <f t="shared" ref="AC35:AV35" si="44">SUM(AC27,AC31:AC34)</f>
        <v>24858.187707227371</v>
      </c>
      <c r="AD35" s="13">
        <f t="shared" si="44"/>
        <v>24986.496600872186</v>
      </c>
      <c r="AE35" s="13">
        <f t="shared" si="44"/>
        <v>28206.496790338751</v>
      </c>
      <c r="AF35" s="13">
        <f t="shared" si="44"/>
        <v>33831.056993753256</v>
      </c>
      <c r="AG35" s="13">
        <f t="shared" si="44"/>
        <v>29585.274640641019</v>
      </c>
      <c r="AH35" s="13">
        <f t="shared" si="44"/>
        <v>32720.800834360842</v>
      </c>
      <c r="AI35" s="13">
        <f t="shared" si="44"/>
        <v>36526.043622880577</v>
      </c>
      <c r="AJ35" s="13">
        <f t="shared" si="44"/>
        <v>41343.800878545873</v>
      </c>
      <c r="AK35" s="13">
        <f t="shared" si="44"/>
        <v>35524.586252029243</v>
      </c>
      <c r="AL35" s="13">
        <f t="shared" si="44"/>
        <v>39780.371433018779</v>
      </c>
      <c r="AM35" s="13">
        <f t="shared" si="44"/>
        <v>44094.57610729165</v>
      </c>
      <c r="AN35" s="13">
        <f t="shared" si="44"/>
        <v>51463.151467473195</v>
      </c>
      <c r="AO35" s="13">
        <f t="shared" si="44"/>
        <v>44035.107291546716</v>
      </c>
      <c r="AP35" s="13">
        <f t="shared" si="44"/>
        <v>46509.872659292931</v>
      </c>
      <c r="AQ35" s="13">
        <f t="shared" si="44"/>
        <v>51406.27097853311</v>
      </c>
      <c r="AR35" s="13">
        <f t="shared" si="44"/>
        <v>55605.04578686571</v>
      </c>
      <c r="AS35" s="13">
        <f t="shared" si="44"/>
        <v>47020.763988368948</v>
      </c>
      <c r="AT35" s="13">
        <f t="shared" si="44"/>
        <v>53337.058401186237</v>
      </c>
      <c r="AU35" s="13">
        <f t="shared" si="44"/>
        <v>59236.344761855144</v>
      </c>
      <c r="AV35" s="13">
        <f t="shared" si="44"/>
        <v>63052.602768239238</v>
      </c>
    </row>
    <row r="36" spans="2:48">
      <c r="AE36" s="14"/>
      <c r="AF36" s="14"/>
    </row>
    <row r="37" spans="2:48">
      <c r="B37" s="5" t="s">
        <v>122</v>
      </c>
      <c r="C37" s="9" t="s">
        <v>118</v>
      </c>
      <c r="G37" s="14">
        <v>607</v>
      </c>
      <c r="H37" s="14">
        <v>262</v>
      </c>
      <c r="I37" s="14">
        <f>-0.895*(-1000)</f>
        <v>895</v>
      </c>
      <c r="J37" s="14">
        <f>-0.403*(-1000)</f>
        <v>403</v>
      </c>
      <c r="K37" s="14">
        <f>-1.131*(-1000)</f>
        <v>1131</v>
      </c>
      <c r="L37" s="14">
        <f>-0.641*(-1000)</f>
        <v>641</v>
      </c>
      <c r="M37" s="14">
        <f>-1.035*(-1000)</f>
        <v>1035</v>
      </c>
      <c r="N37" s="14">
        <f>-0.616*(-1000)</f>
        <v>616</v>
      </c>
      <c r="O37" s="14">
        <f>-1.023*(-1000)</f>
        <v>1022.9999999999999</v>
      </c>
      <c r="P37" s="14">
        <f>-0.582*(-1000)</f>
        <v>582</v>
      </c>
      <c r="Q37" s="14">
        <f>-1.213*(-1000)</f>
        <v>1213</v>
      </c>
      <c r="R37" s="14">
        <f>-0.756*(-1000)</f>
        <v>756</v>
      </c>
      <c r="S37" s="14">
        <f>-1.155*(-1000)</f>
        <v>1155</v>
      </c>
      <c r="T37" s="14">
        <f>-1.212*(-1000)</f>
        <v>1212</v>
      </c>
      <c r="U37" s="14">
        <f>1.383*(1000)</f>
        <v>1383</v>
      </c>
      <c r="V37" s="14">
        <f>-0.518*(-1000)</f>
        <v>518</v>
      </c>
      <c r="W37" s="14">
        <f>-1.477*(-1000)</f>
        <v>1477</v>
      </c>
      <c r="X37" s="14">
        <v>873</v>
      </c>
      <c r="Y37" s="14">
        <v>1512</v>
      </c>
      <c r="Z37" s="14">
        <v>969</v>
      </c>
      <c r="AA37" s="14">
        <v>1763</v>
      </c>
      <c r="AB37" s="14">
        <f>AVERAGE(H37,L37,P37,T37,X37)</f>
        <v>714</v>
      </c>
      <c r="AC37" s="14">
        <f t="shared" ref="AC37:AV38" si="45">AVERAGE(I37,M37,Q37,U37,Y37)</f>
        <v>1207.5999999999999</v>
      </c>
      <c r="AD37" s="14">
        <f t="shared" si="45"/>
        <v>652.4</v>
      </c>
      <c r="AE37" s="14">
        <f t="shared" si="45"/>
        <v>1309.8</v>
      </c>
      <c r="AF37" s="14">
        <f t="shared" si="45"/>
        <v>804.4</v>
      </c>
      <c r="AG37" s="14">
        <f t="shared" si="45"/>
        <v>1270.1200000000001</v>
      </c>
      <c r="AH37" s="14">
        <f t="shared" si="45"/>
        <v>702.28</v>
      </c>
      <c r="AI37" s="14">
        <f t="shared" si="45"/>
        <v>1345.56</v>
      </c>
      <c r="AJ37" s="14">
        <f t="shared" si="45"/>
        <v>837.07999999999993</v>
      </c>
      <c r="AK37" s="14">
        <f t="shared" si="45"/>
        <v>1317.144</v>
      </c>
      <c r="AL37" s="14">
        <f t="shared" si="45"/>
        <v>719.53600000000006</v>
      </c>
      <c r="AM37" s="14">
        <f t="shared" si="45"/>
        <v>1410.0720000000001</v>
      </c>
      <c r="AN37" s="14">
        <f t="shared" si="45"/>
        <v>888.09599999999989</v>
      </c>
      <c r="AO37" s="14">
        <f t="shared" si="45"/>
        <v>1337.9728</v>
      </c>
      <c r="AP37" s="14">
        <f t="shared" si="45"/>
        <v>712.24320000000012</v>
      </c>
      <c r="AQ37" s="14">
        <f t="shared" si="45"/>
        <v>1461.0864000000001</v>
      </c>
      <c r="AR37" s="14">
        <f t="shared" si="45"/>
        <v>823.3152</v>
      </c>
      <c r="AS37" s="14">
        <f t="shared" si="45"/>
        <v>1328.9673600000001</v>
      </c>
      <c r="AT37" s="14">
        <f t="shared" si="45"/>
        <v>751.09184000000005</v>
      </c>
      <c r="AU37" s="14">
        <f t="shared" si="45"/>
        <v>1457.9036800000001</v>
      </c>
      <c r="AV37" s="14">
        <f t="shared" si="45"/>
        <v>813.37824000000001</v>
      </c>
    </row>
    <row r="38" spans="2:48">
      <c r="B38" s="5" t="s">
        <v>123</v>
      </c>
      <c r="C38" s="9" t="s">
        <v>118</v>
      </c>
      <c r="G38" s="14">
        <v>-201</v>
      </c>
      <c r="H38" s="14">
        <v>-273</v>
      </c>
      <c r="I38" s="14">
        <f>0.141*(-1000)</f>
        <v>-141</v>
      </c>
      <c r="J38" s="14">
        <f>0.125*(-1000)</f>
        <v>-125</v>
      </c>
      <c r="K38" s="14">
        <f>0.129*(-1000)</f>
        <v>-129</v>
      </c>
      <c r="L38" s="14">
        <f>0.107*(-1000)</f>
        <v>-107</v>
      </c>
      <c r="M38" s="14">
        <f>0.301*(-1000)</f>
        <v>-301</v>
      </c>
      <c r="N38" s="14">
        <f>0.322*(-1000)</f>
        <v>-322</v>
      </c>
      <c r="O38" s="14">
        <f>0.175*(-1000)</f>
        <v>-175</v>
      </c>
      <c r="P38" s="14">
        <f>0.145*(-1000)</f>
        <v>-145</v>
      </c>
      <c r="Q38" s="14">
        <f>0.132*(-1000)</f>
        <v>-132</v>
      </c>
      <c r="R38" s="14">
        <f>0.264*(-1000)</f>
        <v>-264</v>
      </c>
      <c r="S38" s="14">
        <f>0.386*(-1000)</f>
        <v>-386</v>
      </c>
      <c r="T38" s="14">
        <v>0</v>
      </c>
      <c r="U38" s="14">
        <v>-315</v>
      </c>
      <c r="V38" s="14">
        <v>-1091</v>
      </c>
      <c r="W38" s="14">
        <v>-415</v>
      </c>
      <c r="X38" s="14">
        <v>0</v>
      </c>
      <c r="Y38" s="14">
        <v>-747</v>
      </c>
      <c r="Z38" s="14">
        <v>-252</v>
      </c>
      <c r="AA38" s="14">
        <v>-648</v>
      </c>
      <c r="AB38" s="14">
        <f>AVERAGE(H38,L38,P38,T38,X38)</f>
        <v>-105</v>
      </c>
      <c r="AC38" s="14">
        <f t="shared" si="45"/>
        <v>-327.2</v>
      </c>
      <c r="AD38" s="14">
        <f t="shared" si="45"/>
        <v>-410.8</v>
      </c>
      <c r="AE38" s="14">
        <f t="shared" si="45"/>
        <v>-350.6</v>
      </c>
      <c r="AF38" s="14">
        <f t="shared" si="45"/>
        <v>-71.400000000000006</v>
      </c>
      <c r="AG38" s="14">
        <f t="shared" si="45"/>
        <v>-364.44</v>
      </c>
      <c r="AH38" s="14">
        <f t="shared" si="45"/>
        <v>-467.96000000000004</v>
      </c>
      <c r="AI38" s="14">
        <f t="shared" si="45"/>
        <v>-394.91999999999996</v>
      </c>
      <c r="AJ38" s="14">
        <f t="shared" si="45"/>
        <v>-64.28</v>
      </c>
      <c r="AK38" s="14">
        <f t="shared" si="45"/>
        <v>-377.12800000000004</v>
      </c>
      <c r="AL38" s="14">
        <f t="shared" si="45"/>
        <v>-497.15200000000004</v>
      </c>
      <c r="AM38" s="14">
        <f t="shared" si="45"/>
        <v>-438.904</v>
      </c>
      <c r="AN38" s="14">
        <f t="shared" si="45"/>
        <v>-48.136000000000003</v>
      </c>
      <c r="AO38" s="14">
        <f t="shared" si="45"/>
        <v>-426.15359999999998</v>
      </c>
      <c r="AP38" s="14">
        <f t="shared" si="45"/>
        <v>-543.78240000000005</v>
      </c>
      <c r="AQ38" s="14">
        <f t="shared" si="45"/>
        <v>-449.48480000000001</v>
      </c>
      <c r="AR38" s="14">
        <f t="shared" si="45"/>
        <v>-57.763200000000005</v>
      </c>
      <c r="AS38" s="14">
        <f t="shared" si="45"/>
        <v>-448.38432</v>
      </c>
      <c r="AT38" s="14">
        <f t="shared" si="45"/>
        <v>-434.33888000000007</v>
      </c>
      <c r="AU38" s="14">
        <f t="shared" si="45"/>
        <v>-456.38176000000004</v>
      </c>
      <c r="AV38" s="14">
        <f t="shared" si="45"/>
        <v>-69.315840000000009</v>
      </c>
    </row>
    <row r="39" spans="2:48">
      <c r="B39" s="16" t="s">
        <v>124</v>
      </c>
      <c r="C39" s="22"/>
      <c r="D39" s="12"/>
      <c r="E39" s="12"/>
      <c r="F39" s="12"/>
      <c r="G39" s="13">
        <f t="shared" ref="G39:T39" si="46">SUM(G35,G37:G38)</f>
        <v>18528</v>
      </c>
      <c r="H39" s="13">
        <f t="shared" si="46"/>
        <v>5555</v>
      </c>
      <c r="I39" s="13">
        <f t="shared" si="46"/>
        <v>14000</v>
      </c>
      <c r="J39" s="13">
        <f t="shared" si="46"/>
        <v>13862</v>
      </c>
      <c r="K39" s="13">
        <f t="shared" si="46"/>
        <v>16750</v>
      </c>
      <c r="L39" s="13">
        <f t="shared" si="46"/>
        <v>4560</v>
      </c>
      <c r="M39" s="13">
        <f t="shared" si="46"/>
        <v>13988</v>
      </c>
      <c r="N39" s="13">
        <f t="shared" si="46"/>
        <v>14065</v>
      </c>
      <c r="O39" s="13">
        <f t="shared" si="46"/>
        <v>22518</v>
      </c>
      <c r="P39" s="13">
        <f t="shared" si="46"/>
        <v>7365</v>
      </c>
      <c r="Q39" s="13">
        <f t="shared" si="46"/>
        <v>21955</v>
      </c>
      <c r="R39" s="13">
        <f t="shared" si="46"/>
        <v>24511</v>
      </c>
      <c r="S39" s="13">
        <f t="shared" si="46"/>
        <v>24422</v>
      </c>
      <c r="T39" s="13">
        <f t="shared" si="46"/>
        <v>6013</v>
      </c>
      <c r="U39" s="13">
        <f>SUM(U35,U37:U38)</f>
        <v>22922</v>
      </c>
      <c r="V39" s="13">
        <f t="shared" ref="V39:AB39" si="47">SUM(V35,V37:V38)</f>
        <v>19234</v>
      </c>
      <c r="W39" s="13">
        <f t="shared" si="47"/>
        <v>19890</v>
      </c>
      <c r="X39" s="13">
        <f t="shared" si="47"/>
        <v>14740</v>
      </c>
      <c r="Y39" s="13">
        <f t="shared" si="47"/>
        <v>16606</v>
      </c>
      <c r="Z39" s="13">
        <f t="shared" si="47"/>
        <v>16690</v>
      </c>
      <c r="AA39" s="13">
        <f t="shared" si="47"/>
        <v>22699</v>
      </c>
      <c r="AB39" s="13">
        <f t="shared" si="47"/>
        <v>28384.164821942333</v>
      </c>
      <c r="AC39" s="13">
        <f t="shared" ref="AC39:AV39" si="48">SUM(AC35,AC37:AC38)</f>
        <v>25738.587707227369</v>
      </c>
      <c r="AD39" s="13">
        <f t="shared" si="48"/>
        <v>25228.096600872188</v>
      </c>
      <c r="AE39" s="13">
        <f t="shared" si="48"/>
        <v>29165.696790338752</v>
      </c>
      <c r="AF39" s="13">
        <f t="shared" si="48"/>
        <v>34564.056993753256</v>
      </c>
      <c r="AG39" s="13">
        <f t="shared" si="48"/>
        <v>30490.954640641019</v>
      </c>
      <c r="AH39" s="13">
        <f t="shared" si="48"/>
        <v>32955.120834360845</v>
      </c>
      <c r="AI39" s="13">
        <f t="shared" si="48"/>
        <v>37476.683622880577</v>
      </c>
      <c r="AJ39" s="13">
        <f t="shared" si="48"/>
        <v>42116.600878545876</v>
      </c>
      <c r="AK39" s="13">
        <f t="shared" si="48"/>
        <v>36464.602252029246</v>
      </c>
      <c r="AL39" s="13">
        <f t="shared" si="48"/>
        <v>40002.755433018778</v>
      </c>
      <c r="AM39" s="13">
        <f t="shared" si="48"/>
        <v>45065.744107291648</v>
      </c>
      <c r="AN39" s="13">
        <f t="shared" si="48"/>
        <v>52303.111467473194</v>
      </c>
      <c r="AO39" s="13">
        <f t="shared" si="48"/>
        <v>44946.926491546721</v>
      </c>
      <c r="AP39" s="13">
        <f t="shared" si="48"/>
        <v>46678.333459292931</v>
      </c>
      <c r="AQ39" s="13">
        <f t="shared" si="48"/>
        <v>52417.872578533112</v>
      </c>
      <c r="AR39" s="13">
        <f t="shared" si="48"/>
        <v>56370.597786865706</v>
      </c>
      <c r="AS39" s="13">
        <f t="shared" si="48"/>
        <v>47901.347028368953</v>
      </c>
      <c r="AT39" s="13">
        <f t="shared" si="48"/>
        <v>53653.811361186235</v>
      </c>
      <c r="AU39" s="13">
        <f t="shared" si="48"/>
        <v>60237.86668185515</v>
      </c>
      <c r="AV39" s="13">
        <f t="shared" si="48"/>
        <v>63796.665168239233</v>
      </c>
    </row>
    <row r="40" spans="2:48"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</row>
    <row r="41" spans="2:48">
      <c r="B41" t="s">
        <v>125</v>
      </c>
      <c r="C41" s="9" t="s">
        <v>126</v>
      </c>
      <c r="D41" s="142">
        <f>SUM(G41:AA41)/SUM(G39:AA39)</f>
        <v>-0.22016410804023787</v>
      </c>
      <c r="G41" s="14">
        <v>-3719</v>
      </c>
      <c r="H41" s="14">
        <v>-429</v>
      </c>
      <c r="I41" s="14">
        <v>-5438</v>
      </c>
      <c r="J41" s="14">
        <v>-3890</v>
      </c>
      <c r="K41" s="14">
        <v>-2269</v>
      </c>
      <c r="L41" s="14">
        <v>669</v>
      </c>
      <c r="M41" s="14">
        <v>-5770</v>
      </c>
      <c r="N41" s="14">
        <v>-3472</v>
      </c>
      <c r="O41" s="14">
        <v>-3849</v>
      </c>
      <c r="P41" s="14">
        <v>3521</v>
      </c>
      <c r="Q41" s="14">
        <v>-6819</v>
      </c>
      <c r="R41" s="14">
        <v>-5392</v>
      </c>
      <c r="S41" s="14">
        <v>-6101</v>
      </c>
      <c r="T41" s="14">
        <v>115</v>
      </c>
      <c r="U41" s="14">
        <v>-5958</v>
      </c>
      <c r="V41" s="14">
        <v>-4981</v>
      </c>
      <c r="W41" s="14">
        <v>-4771</v>
      </c>
      <c r="X41" s="14">
        <v>-2195</v>
      </c>
      <c r="Y41" s="14">
        <v>-4792</v>
      </c>
      <c r="Z41" s="14">
        <v>-4420</v>
      </c>
      <c r="AA41" s="14">
        <v>-5088</v>
      </c>
      <c r="AB41" s="14">
        <f>AB39*$D$41</f>
        <v>-6249.174330490031</v>
      </c>
      <c r="AC41" s="14">
        <f t="shared" ref="AC41:AV41" si="49">AC39*$D$41</f>
        <v>-5666.7132047771447</v>
      </c>
      <c r="AD41" s="14">
        <f t="shared" si="49"/>
        <v>-5554.321385683982</v>
      </c>
      <c r="AE41" s="14">
        <f t="shared" si="49"/>
        <v>-6421.2396192169599</v>
      </c>
      <c r="AF41" s="14">
        <f t="shared" si="49"/>
        <v>-7609.7647782816312</v>
      </c>
      <c r="AG41" s="14">
        <f t="shared" si="49"/>
        <v>-6713.0138317520814</v>
      </c>
      <c r="AH41" s="14">
        <f t="shared" si="49"/>
        <v>-7255.5347838553153</v>
      </c>
      <c r="AI41" s="14">
        <f t="shared" si="49"/>
        <v>-8251.020622137692</v>
      </c>
      <c r="AJ41" s="14">
        <f t="shared" si="49"/>
        <v>-9272.5638661117518</v>
      </c>
      <c r="AK41" s="14">
        <f t="shared" si="49"/>
        <v>-8028.1966298600682</v>
      </c>
      <c r="AL41" s="14">
        <f t="shared" si="49"/>
        <v>-8807.1709690623593</v>
      </c>
      <c r="AM41" s="14">
        <f t="shared" si="49"/>
        <v>-9921.8593545514705</v>
      </c>
      <c r="AN41" s="14">
        <f t="shared" si="49"/>
        <v>-11515.267883965373</v>
      </c>
      <c r="AO41" s="14">
        <f t="shared" si="49"/>
        <v>-9895.699980161522</v>
      </c>
      <c r="AP41" s="14">
        <f t="shared" si="49"/>
        <v>-10276.893650870019</v>
      </c>
      <c r="AQ41" s="14">
        <f t="shared" si="49"/>
        <v>-11540.534161619586</v>
      </c>
      <c r="AR41" s="14">
        <f t="shared" si="49"/>
        <v>-12410.782381440295</v>
      </c>
      <c r="AS41" s="14">
        <f t="shared" si="49"/>
        <v>-10546.15734242675</v>
      </c>
      <c r="AT41" s="14">
        <f t="shared" si="49"/>
        <v>-11812.643521294749</v>
      </c>
      <c r="AU41" s="14">
        <f t="shared" si="49"/>
        <v>-13262.216188257402</v>
      </c>
      <c r="AV41" s="14">
        <f t="shared" si="49"/>
        <v>-14045.735882707102</v>
      </c>
    </row>
    <row r="42" spans="2:48">
      <c r="B42" s="12" t="s">
        <v>127</v>
      </c>
      <c r="C42" s="22"/>
      <c r="D42" s="12"/>
      <c r="E42" s="12"/>
      <c r="F42" s="12"/>
      <c r="G42" s="13">
        <f t="shared" ref="G42:T42" si="50">SUM(G39,G41)</f>
        <v>14809</v>
      </c>
      <c r="H42" s="13">
        <f t="shared" si="50"/>
        <v>5126</v>
      </c>
      <c r="I42" s="13">
        <f t="shared" si="50"/>
        <v>8562</v>
      </c>
      <c r="J42" s="13">
        <f t="shared" si="50"/>
        <v>9972</v>
      </c>
      <c r="K42" s="13">
        <f t="shared" si="50"/>
        <v>14481</v>
      </c>
      <c r="L42" s="13">
        <f t="shared" si="50"/>
        <v>5229</v>
      </c>
      <c r="M42" s="13">
        <f t="shared" si="50"/>
        <v>8218</v>
      </c>
      <c r="N42" s="13">
        <f t="shared" si="50"/>
        <v>10593</v>
      </c>
      <c r="O42" s="13">
        <f t="shared" si="50"/>
        <v>18669</v>
      </c>
      <c r="P42" s="13">
        <f t="shared" si="50"/>
        <v>10886</v>
      </c>
      <c r="Q42" s="13">
        <f t="shared" si="50"/>
        <v>15136</v>
      </c>
      <c r="R42" s="13">
        <f t="shared" si="50"/>
        <v>19119</v>
      </c>
      <c r="S42" s="13">
        <f t="shared" si="50"/>
        <v>18321</v>
      </c>
      <c r="T42" s="13">
        <f t="shared" si="50"/>
        <v>6128</v>
      </c>
      <c r="U42" s="13">
        <f>SUM(U39,U41)</f>
        <v>16964</v>
      </c>
      <c r="V42" s="13">
        <f t="shared" ref="V42:AV42" si="51">SUM(V39,V41)</f>
        <v>14253</v>
      </c>
      <c r="W42" s="13">
        <f t="shared" si="51"/>
        <v>15119</v>
      </c>
      <c r="X42" s="13">
        <f t="shared" si="51"/>
        <v>12545</v>
      </c>
      <c r="Y42" s="13">
        <f t="shared" si="51"/>
        <v>11814</v>
      </c>
      <c r="Z42" s="13">
        <f t="shared" si="51"/>
        <v>12270</v>
      </c>
      <c r="AA42" s="13">
        <f t="shared" si="51"/>
        <v>17611</v>
      </c>
      <c r="AB42" s="13">
        <f t="shared" si="51"/>
        <v>22134.990491452303</v>
      </c>
      <c r="AC42" s="13">
        <f t="shared" si="51"/>
        <v>20071.874502450224</v>
      </c>
      <c r="AD42" s="13">
        <f t="shared" si="51"/>
        <v>19673.775215188205</v>
      </c>
      <c r="AE42" s="13">
        <f t="shared" si="51"/>
        <v>22744.457171121794</v>
      </c>
      <c r="AF42" s="13">
        <f t="shared" si="51"/>
        <v>26954.292215471625</v>
      </c>
      <c r="AG42" s="13">
        <f t="shared" si="51"/>
        <v>23777.94080888894</v>
      </c>
      <c r="AH42" s="13">
        <f t="shared" si="51"/>
        <v>25699.586050505532</v>
      </c>
      <c r="AI42" s="13">
        <f t="shared" si="51"/>
        <v>29225.663000742883</v>
      </c>
      <c r="AJ42" s="13">
        <f t="shared" si="51"/>
        <v>32844.037012434128</v>
      </c>
      <c r="AK42" s="13">
        <f t="shared" si="51"/>
        <v>28436.405622169179</v>
      </c>
      <c r="AL42" s="13">
        <f t="shared" si="51"/>
        <v>31195.584463956417</v>
      </c>
      <c r="AM42" s="13">
        <f t="shared" si="51"/>
        <v>35143.884752740181</v>
      </c>
      <c r="AN42" s="13">
        <f t="shared" si="51"/>
        <v>40787.84358350782</v>
      </c>
      <c r="AO42" s="13">
        <f t="shared" si="51"/>
        <v>35051.226511385197</v>
      </c>
      <c r="AP42" s="13">
        <f t="shared" si="51"/>
        <v>36401.439808422911</v>
      </c>
      <c r="AQ42" s="13">
        <f t="shared" si="51"/>
        <v>40877.338416913524</v>
      </c>
      <c r="AR42" s="13">
        <f t="shared" si="51"/>
        <v>43959.815405425412</v>
      </c>
      <c r="AS42" s="13">
        <f t="shared" si="51"/>
        <v>37355.189685942205</v>
      </c>
      <c r="AT42" s="13">
        <f t="shared" si="51"/>
        <v>41841.167839891488</v>
      </c>
      <c r="AU42" s="13">
        <f t="shared" si="51"/>
        <v>46975.65049359775</v>
      </c>
      <c r="AV42" s="13">
        <f t="shared" si="51"/>
        <v>49750.929285532133</v>
      </c>
    </row>
    <row r="43" spans="2:48"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</row>
    <row r="44" spans="2:48">
      <c r="B44" t="s">
        <v>128</v>
      </c>
      <c r="C44" s="9" t="s">
        <v>129</v>
      </c>
      <c r="D44" s="142">
        <f>SUM(G44:AA44)/SUM(G42:AA42)</f>
        <v>7.0072416063199472E-2</v>
      </c>
      <c r="G44" s="14">
        <v>505</v>
      </c>
      <c r="H44" s="14">
        <f>2511-1934</f>
        <v>577</v>
      </c>
      <c r="I44" s="14">
        <v>671</v>
      </c>
      <c r="J44" s="14">
        <v>746</v>
      </c>
      <c r="K44" s="14">
        <v>860</v>
      </c>
      <c r="L44" s="14">
        <v>564</v>
      </c>
      <c r="M44" s="14">
        <v>691</v>
      </c>
      <c r="N44" s="14">
        <v>744</v>
      </c>
      <c r="O44" s="14">
        <v>1134</v>
      </c>
      <c r="P44" s="14">
        <v>1051</v>
      </c>
      <c r="Q44" s="14">
        <v>1110</v>
      </c>
      <c r="R44" s="14">
        <v>1144</v>
      </c>
      <c r="S44" s="14">
        <v>1284</v>
      </c>
      <c r="T44" s="14">
        <v>1008.9999999999999</v>
      </c>
      <c r="U44" s="14">
        <v>1093</v>
      </c>
      <c r="V44" s="14">
        <v>1083</v>
      </c>
      <c r="W44" s="14">
        <v>593</v>
      </c>
      <c r="X44" s="14">
        <v>1105</v>
      </c>
      <c r="Y44" s="14">
        <v>598</v>
      </c>
      <c r="Z44" s="14">
        <v>893</v>
      </c>
      <c r="AA44" s="14">
        <v>1172</v>
      </c>
      <c r="AB44" s="14">
        <f t="shared" ref="AB44:AV44" si="52">$D$44*AB42</f>
        <v>1551.0522632720099</v>
      </c>
      <c r="AC44" s="14">
        <f t="shared" si="52"/>
        <v>1406.484741304017</v>
      </c>
      <c r="AD44" s="14">
        <f t="shared" si="52"/>
        <v>1378.5889624125296</v>
      </c>
      <c r="AE44" s="14">
        <f t="shared" si="52"/>
        <v>1593.7590660264673</v>
      </c>
      <c r="AF44" s="14">
        <f t="shared" si="52"/>
        <v>1888.7523788115864</v>
      </c>
      <c r="AG44" s="14">
        <f t="shared" si="52"/>
        <v>1666.1777614865955</v>
      </c>
      <c r="AH44" s="14">
        <f t="shared" si="52"/>
        <v>1800.8320863830209</v>
      </c>
      <c r="AI44" s="14">
        <f t="shared" si="52"/>
        <v>2047.9128175109101</v>
      </c>
      <c r="AJ44" s="14">
        <f t="shared" si="52"/>
        <v>2301.461026730407</v>
      </c>
      <c r="AK44" s="14">
        <f t="shared" si="52"/>
        <v>1992.6076460985435</v>
      </c>
      <c r="AL44" s="14">
        <f t="shared" si="52"/>
        <v>2185.9499738930353</v>
      </c>
      <c r="AM44" s="14">
        <f t="shared" si="52"/>
        <v>2462.6169144711421</v>
      </c>
      <c r="AN44" s="14">
        <f t="shared" si="52"/>
        <v>2858.1027459042607</v>
      </c>
      <c r="AO44" s="14">
        <f t="shared" si="52"/>
        <v>2456.1241276312312</v>
      </c>
      <c r="AP44" s="14">
        <f t="shared" si="52"/>
        <v>2550.7368355553222</v>
      </c>
      <c r="AQ44" s="14">
        <f t="shared" si="52"/>
        <v>2864.3738651061722</v>
      </c>
      <c r="AR44" s="14">
        <f t="shared" si="52"/>
        <v>3080.3704751504151</v>
      </c>
      <c r="AS44" s="14">
        <f t="shared" si="52"/>
        <v>2617.5683937930798</v>
      </c>
      <c r="AT44" s="14">
        <f t="shared" si="52"/>
        <v>2931.9117214470375</v>
      </c>
      <c r="AU44" s="14">
        <f t="shared" si="52"/>
        <v>3291.6973262268234</v>
      </c>
      <c r="AV44" s="14">
        <f t="shared" si="52"/>
        <v>3486.1678164266227</v>
      </c>
    </row>
    <row r="45" spans="2:48">
      <c r="B45" s="12" t="s">
        <v>130</v>
      </c>
      <c r="C45" s="22"/>
      <c r="D45" s="12"/>
      <c r="E45" s="12"/>
      <c r="F45" s="12"/>
      <c r="G45" s="13">
        <f t="shared" ref="G45:AB45" si="53">G42-G44</f>
        <v>14304</v>
      </c>
      <c r="H45" s="13">
        <f t="shared" si="53"/>
        <v>4549</v>
      </c>
      <c r="I45" s="13">
        <f t="shared" si="53"/>
        <v>7891</v>
      </c>
      <c r="J45" s="13">
        <f t="shared" si="53"/>
        <v>9226</v>
      </c>
      <c r="K45" s="13">
        <f t="shared" si="53"/>
        <v>13621</v>
      </c>
      <c r="L45" s="13">
        <f t="shared" si="53"/>
        <v>4665</v>
      </c>
      <c r="M45" s="13">
        <f t="shared" si="53"/>
        <v>7527</v>
      </c>
      <c r="N45" s="13">
        <f t="shared" si="53"/>
        <v>9849</v>
      </c>
      <c r="O45" s="13">
        <f t="shared" si="53"/>
        <v>17535</v>
      </c>
      <c r="P45" s="13">
        <f t="shared" si="53"/>
        <v>9835</v>
      </c>
      <c r="Q45" s="13">
        <f t="shared" si="53"/>
        <v>14026</v>
      </c>
      <c r="R45" s="13">
        <f t="shared" si="53"/>
        <v>17975</v>
      </c>
      <c r="S45" s="13">
        <f t="shared" si="53"/>
        <v>17037</v>
      </c>
      <c r="T45" s="13">
        <f t="shared" si="53"/>
        <v>5119</v>
      </c>
      <c r="U45" s="13">
        <f t="shared" si="53"/>
        <v>15871</v>
      </c>
      <c r="V45" s="13">
        <f t="shared" si="53"/>
        <v>13170</v>
      </c>
      <c r="W45" s="13">
        <f t="shared" si="53"/>
        <v>14526</v>
      </c>
      <c r="X45" s="13">
        <f t="shared" si="53"/>
        <v>11440</v>
      </c>
      <c r="Y45" s="13">
        <f t="shared" si="53"/>
        <v>11216</v>
      </c>
      <c r="Z45" s="13">
        <f t="shared" si="53"/>
        <v>11377</v>
      </c>
      <c r="AA45" s="13">
        <f t="shared" si="53"/>
        <v>16439</v>
      </c>
      <c r="AB45" s="13">
        <f t="shared" si="53"/>
        <v>20583.938228180294</v>
      </c>
      <c r="AC45" s="13">
        <f t="shared" ref="AC45:AV45" si="54">AC42-AC44</f>
        <v>18665.389761146209</v>
      </c>
      <c r="AD45" s="13">
        <f t="shared" si="54"/>
        <v>18295.186252775675</v>
      </c>
      <c r="AE45" s="13">
        <f t="shared" si="54"/>
        <v>21150.698105095325</v>
      </c>
      <c r="AF45" s="13">
        <f t="shared" si="54"/>
        <v>25065.539836660038</v>
      </c>
      <c r="AG45" s="13">
        <f t="shared" si="54"/>
        <v>22111.763047402343</v>
      </c>
      <c r="AH45" s="13">
        <f t="shared" si="54"/>
        <v>23898.753964122512</v>
      </c>
      <c r="AI45" s="13">
        <f t="shared" si="54"/>
        <v>27177.750183231972</v>
      </c>
      <c r="AJ45" s="13">
        <f t="shared" si="54"/>
        <v>30542.575985703719</v>
      </c>
      <c r="AK45" s="13">
        <f t="shared" si="54"/>
        <v>26443.797976070637</v>
      </c>
      <c r="AL45" s="13">
        <f t="shared" si="54"/>
        <v>29009.634490063381</v>
      </c>
      <c r="AM45" s="13">
        <f t="shared" si="54"/>
        <v>32681.267838269039</v>
      </c>
      <c r="AN45" s="13">
        <f t="shared" si="54"/>
        <v>37929.74083760356</v>
      </c>
      <c r="AO45" s="13">
        <f t="shared" si="54"/>
        <v>32595.102383753965</v>
      </c>
      <c r="AP45" s="13">
        <f t="shared" si="54"/>
        <v>33850.702972867592</v>
      </c>
      <c r="AQ45" s="13">
        <f t="shared" si="54"/>
        <v>38012.964551807352</v>
      </c>
      <c r="AR45" s="13">
        <f t="shared" si="54"/>
        <v>40879.444930275</v>
      </c>
      <c r="AS45" s="13">
        <f t="shared" si="54"/>
        <v>34737.621292149124</v>
      </c>
      <c r="AT45" s="13">
        <f t="shared" si="54"/>
        <v>38909.256118444449</v>
      </c>
      <c r="AU45" s="13">
        <f t="shared" si="54"/>
        <v>43683.953167370928</v>
      </c>
      <c r="AV45" s="13">
        <f t="shared" si="54"/>
        <v>46264.761469105513</v>
      </c>
    </row>
    <row r="46" spans="2:48"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</row>
    <row r="47" spans="2:48">
      <c r="B47" t="s">
        <v>131</v>
      </c>
      <c r="C47" s="9" t="s">
        <v>118</v>
      </c>
      <c r="G47" s="14">
        <v>270</v>
      </c>
      <c r="H47" s="14">
        <f>27347-16346</f>
        <v>11001</v>
      </c>
      <c r="I47" s="14">
        <v>1987</v>
      </c>
      <c r="J47" s="14">
        <v>1078</v>
      </c>
      <c r="K47" s="14">
        <v>565</v>
      </c>
      <c r="L47" s="14">
        <v>16426</v>
      </c>
      <c r="M47" s="14">
        <v>13858</v>
      </c>
      <c r="N47" s="14">
        <v>11983</v>
      </c>
      <c r="O47" s="14">
        <v>-10314</v>
      </c>
      <c r="P47" s="14">
        <v>-7599</v>
      </c>
      <c r="Q47" s="14">
        <v>18841</v>
      </c>
      <c r="R47" s="14">
        <v>10866</v>
      </c>
      <c r="S47" s="14">
        <v>-12421</v>
      </c>
      <c r="T47" s="14">
        <v>8680</v>
      </c>
      <c r="U47" s="14">
        <v>8489</v>
      </c>
      <c r="V47" s="14">
        <v>-13232</v>
      </c>
      <c r="W47" s="14">
        <v>6704</v>
      </c>
      <c r="X47" s="14">
        <v>-7402</v>
      </c>
      <c r="Y47" s="14">
        <v>-292</v>
      </c>
      <c r="Z47" s="14">
        <v>14852</v>
      </c>
      <c r="AA47" s="14">
        <v>9633</v>
      </c>
      <c r="AB47" s="14">
        <f t="shared" ref="AB47:AV47" si="55">AVERAGE(H47,L47,P47,T47,X47)</f>
        <v>4221.2</v>
      </c>
      <c r="AC47" s="14">
        <f t="shared" si="55"/>
        <v>8576.6</v>
      </c>
      <c r="AD47" s="14">
        <f t="shared" si="55"/>
        <v>5109.3999999999996</v>
      </c>
      <c r="AE47" s="14">
        <f t="shared" si="55"/>
        <v>-1166.5999999999999</v>
      </c>
      <c r="AF47" s="14">
        <f t="shared" si="55"/>
        <v>2865.2400000000002</v>
      </c>
      <c r="AG47" s="14">
        <f t="shared" si="55"/>
        <v>9894.52</v>
      </c>
      <c r="AH47" s="14">
        <f t="shared" si="55"/>
        <v>5915.68</v>
      </c>
      <c r="AI47" s="14">
        <f t="shared" si="55"/>
        <v>-1512.92</v>
      </c>
      <c r="AJ47" s="14">
        <f t="shared" si="55"/>
        <v>153.08800000000002</v>
      </c>
      <c r="AK47" s="14">
        <f t="shared" si="55"/>
        <v>9101.8239999999987</v>
      </c>
      <c r="AL47" s="14">
        <f t="shared" si="55"/>
        <v>4702.2160000000003</v>
      </c>
      <c r="AM47" s="14">
        <f t="shared" si="55"/>
        <v>247.29599999999999</v>
      </c>
      <c r="AN47" s="14">
        <f t="shared" si="55"/>
        <v>1703.5056</v>
      </c>
      <c r="AO47" s="14">
        <f t="shared" si="55"/>
        <v>7153.9887999999992</v>
      </c>
      <c r="AP47" s="14">
        <f t="shared" si="55"/>
        <v>3469.4592000000002</v>
      </c>
      <c r="AQ47" s="14">
        <f t="shared" si="55"/>
        <v>2780.9551999999999</v>
      </c>
      <c r="AR47" s="14">
        <f t="shared" si="55"/>
        <v>308.20672000000002</v>
      </c>
      <c r="AS47" s="14">
        <f t="shared" si="55"/>
        <v>6886.9865600000003</v>
      </c>
      <c r="AT47" s="14">
        <f t="shared" si="55"/>
        <v>6809.7510400000001</v>
      </c>
      <c r="AU47" s="14">
        <f t="shared" si="55"/>
        <v>1996.3462400000001</v>
      </c>
      <c r="AV47" s="14">
        <f t="shared" si="55"/>
        <v>1850.2480640000001</v>
      </c>
    </row>
    <row r="48" spans="2:48">
      <c r="B48" s="12" t="s">
        <v>132</v>
      </c>
      <c r="C48" s="22"/>
      <c r="D48" s="12"/>
      <c r="E48" s="12"/>
      <c r="F48" s="12"/>
      <c r="G48" s="13">
        <f t="shared" ref="G48:AA48" si="56">SUM(G42,G47)</f>
        <v>15079</v>
      </c>
      <c r="H48" s="13">
        <f t="shared" si="56"/>
        <v>16127</v>
      </c>
      <c r="I48" s="13">
        <f t="shared" si="56"/>
        <v>10549</v>
      </c>
      <c r="J48" s="13">
        <f t="shared" si="56"/>
        <v>11050</v>
      </c>
      <c r="K48" s="13">
        <f t="shared" si="56"/>
        <v>15046</v>
      </c>
      <c r="L48" s="13">
        <f t="shared" si="56"/>
        <v>21655</v>
      </c>
      <c r="M48" s="13">
        <f t="shared" si="56"/>
        <v>22076</v>
      </c>
      <c r="N48" s="13">
        <f t="shared" si="56"/>
        <v>22576</v>
      </c>
      <c r="O48" s="13">
        <f t="shared" si="56"/>
        <v>8355</v>
      </c>
      <c r="P48" s="13">
        <f t="shared" si="56"/>
        <v>3287</v>
      </c>
      <c r="Q48" s="13">
        <f t="shared" si="56"/>
        <v>33977</v>
      </c>
      <c r="R48" s="13">
        <f t="shared" si="56"/>
        <v>29985</v>
      </c>
      <c r="S48" s="13">
        <f t="shared" si="56"/>
        <v>5900</v>
      </c>
      <c r="T48" s="13">
        <f t="shared" si="56"/>
        <v>14808</v>
      </c>
      <c r="U48" s="13">
        <f t="shared" si="56"/>
        <v>25453</v>
      </c>
      <c r="V48" s="13">
        <f t="shared" si="56"/>
        <v>1021</v>
      </c>
      <c r="W48" s="13">
        <f t="shared" si="56"/>
        <v>21823</v>
      </c>
      <c r="X48" s="13">
        <f t="shared" si="56"/>
        <v>5143</v>
      </c>
      <c r="Y48" s="13">
        <f t="shared" si="56"/>
        <v>11522</v>
      </c>
      <c r="Z48" s="13">
        <f t="shared" si="56"/>
        <v>27122</v>
      </c>
      <c r="AA48" s="13">
        <f t="shared" si="56"/>
        <v>27244</v>
      </c>
      <c r="AB48" s="13">
        <f>SUM(AB45,AB47)</f>
        <v>24805.138228180294</v>
      </c>
      <c r="AC48" s="13">
        <f t="shared" ref="AC48:AV48" si="57">SUM(AC45,AC47)</f>
        <v>27241.989761146207</v>
      </c>
      <c r="AD48" s="13">
        <f t="shared" si="57"/>
        <v>23404.586252775676</v>
      </c>
      <c r="AE48" s="13">
        <f t="shared" si="57"/>
        <v>19984.098105095327</v>
      </c>
      <c r="AF48" s="13">
        <f t="shared" si="57"/>
        <v>27930.77983666004</v>
      </c>
      <c r="AG48" s="13">
        <f t="shared" si="57"/>
        <v>32006.283047402343</v>
      </c>
      <c r="AH48" s="13">
        <f t="shared" si="57"/>
        <v>29814.433964122512</v>
      </c>
      <c r="AI48" s="13">
        <f t="shared" si="57"/>
        <v>25664.83018323197</v>
      </c>
      <c r="AJ48" s="13">
        <f t="shared" si="57"/>
        <v>30695.663985703719</v>
      </c>
      <c r="AK48" s="13">
        <f t="shared" si="57"/>
        <v>35545.621976070637</v>
      </c>
      <c r="AL48" s="13">
        <f t="shared" si="57"/>
        <v>33711.850490063385</v>
      </c>
      <c r="AM48" s="13">
        <f t="shared" si="57"/>
        <v>32928.563838269038</v>
      </c>
      <c r="AN48" s="13">
        <f t="shared" si="57"/>
        <v>39633.246437603557</v>
      </c>
      <c r="AO48" s="13">
        <f t="shared" si="57"/>
        <v>39749.091183753961</v>
      </c>
      <c r="AP48" s="13">
        <f t="shared" si="57"/>
        <v>37320.162172867589</v>
      </c>
      <c r="AQ48" s="13">
        <f t="shared" si="57"/>
        <v>40793.919751807349</v>
      </c>
      <c r="AR48" s="13">
        <f t="shared" si="57"/>
        <v>41187.651650275002</v>
      </c>
      <c r="AS48" s="13">
        <f t="shared" si="57"/>
        <v>41624.607852149122</v>
      </c>
      <c r="AT48" s="13">
        <f t="shared" si="57"/>
        <v>45719.007158444452</v>
      </c>
      <c r="AU48" s="13">
        <f t="shared" si="57"/>
        <v>45680.299407370927</v>
      </c>
      <c r="AV48" s="13">
        <f t="shared" si="57"/>
        <v>48115.009533105513</v>
      </c>
    </row>
    <row r="49" spans="1:48"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</row>
    <row r="50" spans="1:48">
      <c r="B50" t="s">
        <v>133</v>
      </c>
      <c r="C50" s="9" t="s">
        <v>129</v>
      </c>
      <c r="D50" s="142">
        <f>SUM(G50:AA50)/SUM(G48:AA48)</f>
        <v>7.7756305067496104E-2</v>
      </c>
      <c r="G50" s="14">
        <v>576</v>
      </c>
      <c r="H50" s="14">
        <v>1866</v>
      </c>
      <c r="I50" s="14">
        <v>592</v>
      </c>
      <c r="J50" s="14">
        <v>1003</v>
      </c>
      <c r="K50" s="14">
        <v>1577</v>
      </c>
      <c r="L50" s="14">
        <v>2298</v>
      </c>
      <c r="M50" s="14">
        <v>2604</v>
      </c>
      <c r="N50" s="14">
        <v>1166</v>
      </c>
      <c r="O50" s="14">
        <v>-477</v>
      </c>
      <c r="P50" s="14">
        <v>1478</v>
      </c>
      <c r="Q50" s="14">
        <v>2451</v>
      </c>
      <c r="R50" s="14">
        <v>1809</v>
      </c>
      <c r="S50" s="14">
        <v>442</v>
      </c>
      <c r="T50" s="14">
        <v>2042</v>
      </c>
      <c r="U50" s="14">
        <v>2701</v>
      </c>
      <c r="V50" s="14">
        <v>-1515</v>
      </c>
      <c r="W50" s="14">
        <v>2907</v>
      </c>
      <c r="X50" s="14">
        <v>-350</v>
      </c>
      <c r="Y50" s="14">
        <v>137</v>
      </c>
      <c r="Z50" s="14">
        <v>1685</v>
      </c>
      <c r="AA50" s="14">
        <v>2207</v>
      </c>
      <c r="AB50" s="14">
        <f t="shared" ref="AB50:AV50" si="58">$D$50*AB48</f>
        <v>1928.7558953117968</v>
      </c>
      <c r="AC50" s="14">
        <f t="shared" si="58"/>
        <v>2118.23646651329</v>
      </c>
      <c r="AD50" s="14">
        <f t="shared" si="58"/>
        <v>1819.8541486493509</v>
      </c>
      <c r="AE50" s="14">
        <f t="shared" si="58"/>
        <v>1553.889628758563</v>
      </c>
      <c r="AF50" s="14">
        <f t="shared" si="58"/>
        <v>2171.7942377524068</v>
      </c>
      <c r="AG50" s="14">
        <f t="shared" si="58"/>
        <v>2488.6903087104456</v>
      </c>
      <c r="AH50" s="14">
        <f t="shared" si="58"/>
        <v>2318.2602227290272</v>
      </c>
      <c r="AI50" s="14">
        <f t="shared" si="58"/>
        <v>1995.602365232867</v>
      </c>
      <c r="AJ50" s="14">
        <f t="shared" si="58"/>
        <v>2386.7814131217319</v>
      </c>
      <c r="AK50" s="14">
        <f t="shared" si="58"/>
        <v>2763.8962261852421</v>
      </c>
      <c r="AL50" s="14">
        <f t="shared" si="58"/>
        <v>2621.3089310951864</v>
      </c>
      <c r="AM50" s="14">
        <f t="shared" si="58"/>
        <v>2560.4034552429675</v>
      </c>
      <c r="AN50" s="14">
        <f t="shared" si="58"/>
        <v>3081.7348008175554</v>
      </c>
      <c r="AO50" s="14">
        <f t="shared" si="58"/>
        <v>3090.7424602396927</v>
      </c>
      <c r="AP50" s="14">
        <f t="shared" si="58"/>
        <v>2901.8779150819205</v>
      </c>
      <c r="AQ50" s="14">
        <f t="shared" si="58"/>
        <v>3171.9844691204871</v>
      </c>
      <c r="AR50" s="14">
        <f t="shared" si="58"/>
        <v>3202.5996067325423</v>
      </c>
      <c r="AS50" s="14">
        <f t="shared" si="58"/>
        <v>3236.5757064666009</v>
      </c>
      <c r="AT50" s="14">
        <f t="shared" si="58"/>
        <v>3554.9410679950452</v>
      </c>
      <c r="AU50" s="14">
        <f t="shared" si="58"/>
        <v>3551.9312962940953</v>
      </c>
      <c r="AV50" s="14">
        <f t="shared" si="58"/>
        <v>3741.2453595816355</v>
      </c>
    </row>
    <row r="51" spans="1:48">
      <c r="B51" s="12" t="s">
        <v>134</v>
      </c>
      <c r="C51" s="22"/>
      <c r="D51" s="12"/>
      <c r="E51" s="12"/>
      <c r="F51" s="12"/>
      <c r="G51" s="13">
        <f t="shared" ref="G51:X51" si="59">G48-G50</f>
        <v>14503</v>
      </c>
      <c r="H51" s="13">
        <f t="shared" si="59"/>
        <v>14261</v>
      </c>
      <c r="I51" s="13">
        <f t="shared" si="59"/>
        <v>9957</v>
      </c>
      <c r="J51" s="13">
        <f t="shared" si="59"/>
        <v>10047</v>
      </c>
      <c r="K51" s="13">
        <f t="shared" si="59"/>
        <v>13469</v>
      </c>
      <c r="L51" s="13">
        <f t="shared" si="59"/>
        <v>19357</v>
      </c>
      <c r="M51" s="13">
        <f t="shared" si="59"/>
        <v>19472</v>
      </c>
      <c r="N51" s="13">
        <f t="shared" si="59"/>
        <v>21410</v>
      </c>
      <c r="O51" s="13">
        <f t="shared" si="59"/>
        <v>8832</v>
      </c>
      <c r="P51" s="13">
        <f t="shared" si="59"/>
        <v>1809</v>
      </c>
      <c r="Q51" s="13">
        <f t="shared" si="59"/>
        <v>31526</v>
      </c>
      <c r="R51" s="13">
        <f t="shared" si="59"/>
        <v>28176</v>
      </c>
      <c r="S51" s="13">
        <f t="shared" si="59"/>
        <v>5458</v>
      </c>
      <c r="T51" s="13">
        <f t="shared" si="59"/>
        <v>12766</v>
      </c>
      <c r="U51" s="13">
        <f t="shared" si="59"/>
        <v>22752</v>
      </c>
      <c r="V51" s="13">
        <f t="shared" si="59"/>
        <v>2536</v>
      </c>
      <c r="W51" s="13">
        <f t="shared" si="59"/>
        <v>18916</v>
      </c>
      <c r="X51" s="13">
        <f t="shared" si="59"/>
        <v>5493</v>
      </c>
      <c r="Y51" s="13">
        <f>Y48-Y50</f>
        <v>11385</v>
      </c>
      <c r="Z51" s="13">
        <f t="shared" ref="Z51:AB51" si="60">Z48-Z50</f>
        <v>25437</v>
      </c>
      <c r="AA51" s="13">
        <f t="shared" si="60"/>
        <v>25037</v>
      </c>
      <c r="AB51" s="13">
        <f t="shared" si="60"/>
        <v>22876.382332868496</v>
      </c>
      <c r="AC51" s="13">
        <f t="shared" ref="AC51:AV51" si="61">AC48-AC50</f>
        <v>25123.753294632916</v>
      </c>
      <c r="AD51" s="13">
        <f t="shared" si="61"/>
        <v>21584.732104126324</v>
      </c>
      <c r="AE51" s="13">
        <f t="shared" si="61"/>
        <v>18430.208476336764</v>
      </c>
      <c r="AF51" s="13">
        <f t="shared" si="61"/>
        <v>25758.985598907631</v>
      </c>
      <c r="AG51" s="13">
        <f t="shared" si="61"/>
        <v>29517.592738691899</v>
      </c>
      <c r="AH51" s="13">
        <f t="shared" si="61"/>
        <v>27496.173741393486</v>
      </c>
      <c r="AI51" s="13">
        <f t="shared" si="61"/>
        <v>23669.227817999104</v>
      </c>
      <c r="AJ51" s="13">
        <f t="shared" si="61"/>
        <v>28308.882572581988</v>
      </c>
      <c r="AK51" s="13">
        <f t="shared" si="61"/>
        <v>32781.725749885394</v>
      </c>
      <c r="AL51" s="13">
        <f t="shared" si="61"/>
        <v>31090.541558968198</v>
      </c>
      <c r="AM51" s="13">
        <f t="shared" si="61"/>
        <v>30368.160383026072</v>
      </c>
      <c r="AN51" s="13">
        <f t="shared" si="61"/>
        <v>36551.511636786003</v>
      </c>
      <c r="AO51" s="13">
        <f t="shared" si="61"/>
        <v>36658.348723514267</v>
      </c>
      <c r="AP51" s="13">
        <f t="shared" si="61"/>
        <v>34418.284257785672</v>
      </c>
      <c r="AQ51" s="13">
        <f t="shared" si="61"/>
        <v>37621.935282686864</v>
      </c>
      <c r="AR51" s="13">
        <f t="shared" si="61"/>
        <v>37985.052043542462</v>
      </c>
      <c r="AS51" s="13">
        <f t="shared" si="61"/>
        <v>38388.032145682519</v>
      </c>
      <c r="AT51" s="13">
        <f t="shared" si="61"/>
        <v>42164.066090449407</v>
      </c>
      <c r="AU51" s="13">
        <f t="shared" si="61"/>
        <v>42128.36811107683</v>
      </c>
      <c r="AV51" s="13">
        <f t="shared" si="61"/>
        <v>44373.764173523879</v>
      </c>
    </row>
    <row r="55" spans="1:48" s="3" customFormat="1">
      <c r="A55" s="4" t="s">
        <v>11</v>
      </c>
      <c r="B55" s="3" t="s">
        <v>135</v>
      </c>
      <c r="C55" s="21"/>
    </row>
    <row r="56" spans="1:48"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</row>
    <row r="57" spans="1:48">
      <c r="B57" s="1" t="s">
        <v>136</v>
      </c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</row>
    <row r="58" spans="1:48">
      <c r="B58" s="5" t="s">
        <v>137</v>
      </c>
      <c r="C58" s="9" t="s">
        <v>138</v>
      </c>
      <c r="G58" s="14">
        <f t="shared" ref="G58:T58" si="62">G39</f>
        <v>18528</v>
      </c>
      <c r="H58" s="14">
        <f t="shared" si="62"/>
        <v>5555</v>
      </c>
      <c r="I58" s="14">
        <f t="shared" si="62"/>
        <v>14000</v>
      </c>
      <c r="J58" s="14">
        <f t="shared" si="62"/>
        <v>13862</v>
      </c>
      <c r="K58" s="14">
        <f t="shared" si="62"/>
        <v>16750</v>
      </c>
      <c r="L58" s="14">
        <f t="shared" si="62"/>
        <v>4560</v>
      </c>
      <c r="M58" s="14">
        <f t="shared" si="62"/>
        <v>13988</v>
      </c>
      <c r="N58" s="14">
        <f t="shared" si="62"/>
        <v>14065</v>
      </c>
      <c r="O58" s="14">
        <f t="shared" si="62"/>
        <v>22518</v>
      </c>
      <c r="P58" s="14">
        <f t="shared" si="62"/>
        <v>7365</v>
      </c>
      <c r="Q58" s="14">
        <f t="shared" si="62"/>
        <v>21955</v>
      </c>
      <c r="R58" s="14">
        <f t="shared" si="62"/>
        <v>24511</v>
      </c>
      <c r="S58" s="14">
        <f t="shared" si="62"/>
        <v>24422</v>
      </c>
      <c r="T58" s="14">
        <f t="shared" si="62"/>
        <v>6013</v>
      </c>
      <c r="U58" s="14">
        <f>U39</f>
        <v>22922</v>
      </c>
      <c r="V58" s="14">
        <f t="shared" ref="V58:AB58" si="63">V39</f>
        <v>19234</v>
      </c>
      <c r="W58" s="14">
        <f t="shared" si="63"/>
        <v>19890</v>
      </c>
      <c r="X58" s="14">
        <f t="shared" si="63"/>
        <v>14740</v>
      </c>
      <c r="Y58" s="14">
        <f t="shared" si="63"/>
        <v>16606</v>
      </c>
      <c r="Z58" s="14">
        <f t="shared" si="63"/>
        <v>16690</v>
      </c>
      <c r="AA58" s="14">
        <f t="shared" si="63"/>
        <v>22699</v>
      </c>
      <c r="AB58" s="14">
        <f t="shared" si="63"/>
        <v>28384.164821942333</v>
      </c>
      <c r="AC58" s="14">
        <f t="shared" ref="AC58:AV58" si="64">AC39</f>
        <v>25738.587707227369</v>
      </c>
      <c r="AD58" s="14">
        <f t="shared" si="64"/>
        <v>25228.096600872188</v>
      </c>
      <c r="AE58" s="14">
        <f t="shared" si="64"/>
        <v>29165.696790338752</v>
      </c>
      <c r="AF58" s="14">
        <f t="shared" si="64"/>
        <v>34564.056993753256</v>
      </c>
      <c r="AG58" s="14">
        <f t="shared" si="64"/>
        <v>30490.954640641019</v>
      </c>
      <c r="AH58" s="14">
        <f t="shared" si="64"/>
        <v>32955.120834360845</v>
      </c>
      <c r="AI58" s="14">
        <f t="shared" si="64"/>
        <v>37476.683622880577</v>
      </c>
      <c r="AJ58" s="14">
        <f t="shared" si="64"/>
        <v>42116.600878545876</v>
      </c>
      <c r="AK58" s="14">
        <f t="shared" si="64"/>
        <v>36464.602252029246</v>
      </c>
      <c r="AL58" s="14">
        <f t="shared" si="64"/>
        <v>40002.755433018778</v>
      </c>
      <c r="AM58" s="14">
        <f t="shared" si="64"/>
        <v>45065.744107291648</v>
      </c>
      <c r="AN58" s="14">
        <f t="shared" si="64"/>
        <v>52303.111467473194</v>
      </c>
      <c r="AO58" s="14">
        <f t="shared" si="64"/>
        <v>44946.926491546721</v>
      </c>
      <c r="AP58" s="14">
        <f t="shared" si="64"/>
        <v>46678.333459292931</v>
      </c>
      <c r="AQ58" s="14">
        <f t="shared" si="64"/>
        <v>52417.872578533112</v>
      </c>
      <c r="AR58" s="14">
        <f t="shared" si="64"/>
        <v>56370.597786865706</v>
      </c>
      <c r="AS58" s="14">
        <f t="shared" si="64"/>
        <v>47901.347028368953</v>
      </c>
      <c r="AT58" s="14">
        <f t="shared" si="64"/>
        <v>53653.811361186235</v>
      </c>
      <c r="AU58" s="14">
        <f t="shared" si="64"/>
        <v>60237.86668185515</v>
      </c>
      <c r="AV58" s="14">
        <f t="shared" si="64"/>
        <v>63796.665168239233</v>
      </c>
    </row>
    <row r="59" spans="1:48">
      <c r="B59" s="5" t="s">
        <v>139</v>
      </c>
      <c r="C59" s="9" t="s">
        <v>87</v>
      </c>
      <c r="G59" s="14">
        <v>6486</v>
      </c>
      <c r="H59" s="14">
        <v>6483</v>
      </c>
      <c r="I59" s="14">
        <v>6892</v>
      </c>
      <c r="J59" s="14">
        <v>7122</v>
      </c>
      <c r="K59" s="14">
        <v>6983</v>
      </c>
      <c r="L59" s="14">
        <v>7243</v>
      </c>
      <c r="M59" s="14">
        <v>7189</v>
      </c>
      <c r="N59" s="14">
        <v>7314</v>
      </c>
      <c r="O59" s="14">
        <v>7320</v>
      </c>
      <c r="P59" s="14">
        <v>7375</v>
      </c>
      <c r="Q59" s="14">
        <v>7438</v>
      </c>
      <c r="R59" s="14">
        <v>7851</v>
      </c>
      <c r="S59" s="14">
        <v>7971</v>
      </c>
      <c r="T59" s="14">
        <v>8002.0000000000009</v>
      </c>
      <c r="U59" s="14">
        <v>8101</v>
      </c>
      <c r="V59" s="14">
        <v>8372</v>
      </c>
      <c r="W59" s="14">
        <v>8395</v>
      </c>
      <c r="X59" s="14">
        <v>8369</v>
      </c>
      <c r="Y59" s="14">
        <v>8220</v>
      </c>
      <c r="Z59" s="14">
        <f>16921-Y59</f>
        <v>8701</v>
      </c>
      <c r="AA59" s="14">
        <v>9176</v>
      </c>
      <c r="AB59" s="14">
        <f>Drivers!H170</f>
        <v>9531.8664030898708</v>
      </c>
      <c r="AC59" s="14">
        <f>Drivers!I170</f>
        <v>8681.5986163431971</v>
      </c>
      <c r="AD59" s="14">
        <f>Drivers!J170</f>
        <v>11858.412166968379</v>
      </c>
      <c r="AE59" s="14">
        <f>Drivers!K170</f>
        <v>12886.349919306555</v>
      </c>
      <c r="AF59" s="14">
        <f>Drivers!L170</f>
        <v>13085.100832727421</v>
      </c>
      <c r="AG59" s="14">
        <f>Drivers!M170</f>
        <v>11915.093341936627</v>
      </c>
      <c r="AH59" s="14">
        <f>Drivers!N170</f>
        <v>13218.904306456861</v>
      </c>
      <c r="AI59" s="14">
        <f>Drivers!O170</f>
        <v>14355.301497738013</v>
      </c>
      <c r="AJ59" s="14">
        <f>Drivers!P170</f>
        <v>14628.517067428247</v>
      </c>
      <c r="AK59" s="14">
        <f>Drivers!Q170</f>
        <v>13317.414821522878</v>
      </c>
      <c r="AL59" s="14">
        <f>Drivers!R170</f>
        <v>14784.553682778091</v>
      </c>
      <c r="AM59" s="14">
        <f>Drivers!S170</f>
        <v>16041.465943197203</v>
      </c>
      <c r="AN59" s="14">
        <f>Drivers!T170</f>
        <v>13325.911418158488</v>
      </c>
      <c r="AO59" s="14">
        <f>Drivers!U170</f>
        <v>12128.478288692606</v>
      </c>
      <c r="AP59" s="14">
        <f>Drivers!V170</f>
        <v>16600.797522999441</v>
      </c>
      <c r="AQ59" s="14">
        <f>Drivers!W170</f>
        <v>17991.504786473724</v>
      </c>
      <c r="AR59" s="14">
        <f>Drivers!X170</f>
        <v>18503.728228471664</v>
      </c>
      <c r="AS59" s="14">
        <f>Drivers!Y170</f>
        <v>16835.859509605605</v>
      </c>
      <c r="AT59" s="14">
        <f>Drivers!Z170</f>
        <v>18727.823197445392</v>
      </c>
      <c r="AU59" s="14">
        <f>Drivers!AA170</f>
        <v>20266.834524151483</v>
      </c>
      <c r="AV59" s="14">
        <f>Drivers!AB170</f>
        <v>20969.75801450192</v>
      </c>
    </row>
    <row r="60" spans="1:48">
      <c r="B60" s="5" t="s">
        <v>140</v>
      </c>
      <c r="C60" s="9" t="s">
        <v>118</v>
      </c>
      <c r="G60" s="14">
        <v>9</v>
      </c>
      <c r="H60" s="14">
        <v>-2608</v>
      </c>
      <c r="I60" s="14">
        <v>20</v>
      </c>
      <c r="J60" s="14">
        <v>4</v>
      </c>
      <c r="K60" s="14">
        <v>192</v>
      </c>
      <c r="L60" s="14">
        <v>-942</v>
      </c>
      <c r="M60" s="14">
        <v>125</v>
      </c>
      <c r="N60" s="14">
        <v>70</v>
      </c>
      <c r="O60" s="14">
        <v>44</v>
      </c>
      <c r="P60" s="14">
        <v>-2849</v>
      </c>
      <c r="Q60" s="14">
        <v>-17</v>
      </c>
      <c r="R60" s="14">
        <v>-35</v>
      </c>
      <c r="S60" s="14">
        <v>-184</v>
      </c>
      <c r="T60" s="14">
        <v>4741</v>
      </c>
      <c r="U60" s="14">
        <v>-217</v>
      </c>
      <c r="V60" s="14">
        <v>-17</v>
      </c>
      <c r="W60" s="14">
        <v>9</v>
      </c>
      <c r="X60" s="14">
        <v>513</v>
      </c>
      <c r="Y60" s="14">
        <v>-111</v>
      </c>
      <c r="Z60" s="14">
        <f>-165-Y60</f>
        <v>-54</v>
      </c>
      <c r="AA60" s="14">
        <v>112</v>
      </c>
      <c r="AB60" s="14">
        <f t="shared" ref="AB60:AV60" si="65">AVERAGE(H60,L60,P60,T60,X60)</f>
        <v>-229</v>
      </c>
      <c r="AC60" s="14">
        <f t="shared" si="65"/>
        <v>-40</v>
      </c>
      <c r="AD60" s="14">
        <f t="shared" si="65"/>
        <v>-6.4</v>
      </c>
      <c r="AE60" s="14">
        <f t="shared" si="65"/>
        <v>34.6</v>
      </c>
      <c r="AF60" s="14">
        <f t="shared" si="65"/>
        <v>246.8</v>
      </c>
      <c r="AG60" s="14">
        <f t="shared" si="65"/>
        <v>-52</v>
      </c>
      <c r="AH60" s="14">
        <f t="shared" si="65"/>
        <v>-8.48</v>
      </c>
      <c r="AI60" s="14">
        <f t="shared" si="65"/>
        <v>3.12</v>
      </c>
      <c r="AJ60" s="14">
        <f t="shared" si="65"/>
        <v>484.56000000000006</v>
      </c>
      <c r="AK60" s="14">
        <f t="shared" si="65"/>
        <v>-87.4</v>
      </c>
      <c r="AL60" s="14">
        <f t="shared" si="65"/>
        <v>-24.176000000000002</v>
      </c>
      <c r="AM60" s="14">
        <f t="shared" si="65"/>
        <v>-5.0559999999999992</v>
      </c>
      <c r="AN60" s="14">
        <f t="shared" si="65"/>
        <v>1151.2720000000002</v>
      </c>
      <c r="AO60" s="14">
        <f t="shared" si="65"/>
        <v>-101.47999999999999</v>
      </c>
      <c r="AP60" s="14">
        <f t="shared" si="65"/>
        <v>-22.011200000000002</v>
      </c>
      <c r="AQ60" s="14">
        <f t="shared" si="65"/>
        <v>30.732799999999997</v>
      </c>
      <c r="AR60" s="14">
        <f t="shared" si="65"/>
        <v>433.32640000000004</v>
      </c>
      <c r="AS60" s="14">
        <f t="shared" si="65"/>
        <v>-78.376000000000005</v>
      </c>
      <c r="AT60" s="14">
        <f t="shared" si="65"/>
        <v>-23.013439999999999</v>
      </c>
      <c r="AU60" s="14">
        <f t="shared" si="65"/>
        <v>35.079359999999994</v>
      </c>
      <c r="AV60" s="14">
        <f t="shared" si="65"/>
        <v>417.39168000000006</v>
      </c>
    </row>
    <row r="61" spans="1:48">
      <c r="B61" s="5" t="s">
        <v>141</v>
      </c>
      <c r="C61" s="9" t="s">
        <v>142</v>
      </c>
      <c r="G61" s="14">
        <v>-484</v>
      </c>
      <c r="H61" s="14">
        <v>-138</v>
      </c>
      <c r="I61" s="14">
        <v>-802</v>
      </c>
      <c r="J61" s="14">
        <v>-246</v>
      </c>
      <c r="K61" s="14">
        <v>-882</v>
      </c>
      <c r="L61" s="14">
        <v>-333</v>
      </c>
      <c r="M61" s="14">
        <v>-674</v>
      </c>
      <c r="N61" s="14">
        <v>-244</v>
      </c>
      <c r="O61" s="14">
        <v>-936</v>
      </c>
      <c r="P61" s="14">
        <v>-557</v>
      </c>
      <c r="Q61" s="14">
        <v>-1166</v>
      </c>
      <c r="R61" s="14">
        <v>-257</v>
      </c>
      <c r="S61" s="14">
        <v>-1016.9999999999999</v>
      </c>
      <c r="T61" s="14">
        <v>-680</v>
      </c>
      <c r="U61" s="14">
        <v>-994</v>
      </c>
      <c r="V61" s="14">
        <v>-44</v>
      </c>
      <c r="W61" s="14">
        <v>-292</v>
      </c>
      <c r="X61" s="14">
        <v>-1148</v>
      </c>
      <c r="Y61" s="14">
        <v>-1164</v>
      </c>
      <c r="Z61" s="14">
        <f>-1758-Y61</f>
        <v>-594</v>
      </c>
      <c r="AA61" s="14">
        <v>-1123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</row>
    <row r="62" spans="1:48">
      <c r="B62" s="5" t="s">
        <v>143</v>
      </c>
      <c r="C62" s="9" t="s">
        <v>138</v>
      </c>
      <c r="G62" s="14">
        <f t="shared" ref="G62:X62" si="66">-G34</f>
        <v>-1533</v>
      </c>
      <c r="H62" s="14">
        <v>-5492</v>
      </c>
      <c r="I62" s="14">
        <f t="shared" si="66"/>
        <v>-1112</v>
      </c>
      <c r="J62" s="14">
        <f t="shared" si="66"/>
        <v>-579</v>
      </c>
      <c r="K62" s="14">
        <f t="shared" si="66"/>
        <v>-1083</v>
      </c>
      <c r="L62" s="14">
        <f t="shared" si="66"/>
        <v>-880</v>
      </c>
      <c r="M62" s="14">
        <f t="shared" si="66"/>
        <v>-832</v>
      </c>
      <c r="N62" s="14">
        <f t="shared" si="66"/>
        <v>-1116</v>
      </c>
      <c r="O62" s="14">
        <f t="shared" si="66"/>
        <v>-2880</v>
      </c>
      <c r="P62" s="14">
        <f t="shared" si="66"/>
        <v>-3170</v>
      </c>
      <c r="Q62" s="14">
        <f t="shared" si="66"/>
        <v>-3136</v>
      </c>
      <c r="R62" s="14">
        <f t="shared" si="66"/>
        <v>-3576</v>
      </c>
      <c r="S62" s="14">
        <f t="shared" si="66"/>
        <v>-2876</v>
      </c>
      <c r="T62" s="14">
        <f t="shared" si="66"/>
        <v>-3449</v>
      </c>
      <c r="U62" s="14">
        <f t="shared" si="66"/>
        <v>-3186</v>
      </c>
      <c r="V62" s="14">
        <f t="shared" si="66"/>
        <v>-2723</v>
      </c>
      <c r="W62" s="14">
        <f t="shared" si="66"/>
        <v>-3111</v>
      </c>
      <c r="X62" s="14">
        <f t="shared" si="66"/>
        <v>-4197</v>
      </c>
      <c r="Y62" s="14">
        <f>-Y34</f>
        <v>-3017</v>
      </c>
      <c r="Z62" s="14">
        <f t="shared" ref="Z62:AB62" si="67">-Z34</f>
        <v>-2241</v>
      </c>
      <c r="AA62" s="14">
        <f t="shared" si="67"/>
        <v>-3436</v>
      </c>
      <c r="AB62" s="14">
        <f t="shared" si="67"/>
        <v>-4292.7831502805093</v>
      </c>
      <c r="AC62" s="14">
        <f t="shared" ref="AC62:AV62" si="68">-AC34</f>
        <v>-3085.8534106257557</v>
      </c>
      <c r="AD62" s="14">
        <f t="shared" si="68"/>
        <v>-2292.143683530765</v>
      </c>
      <c r="AE62" s="14">
        <f t="shared" si="68"/>
        <v>-3514.4157503845199</v>
      </c>
      <c r="AF62" s="14">
        <f t="shared" si="68"/>
        <v>-4390.7522457308205</v>
      </c>
      <c r="AG62" s="14">
        <f t="shared" si="68"/>
        <v>-3156.2781809315907</v>
      </c>
      <c r="AH62" s="14">
        <f t="shared" si="68"/>
        <v>-2344.4545586568424</v>
      </c>
      <c r="AI62" s="14">
        <f t="shared" si="68"/>
        <v>-3594.6210903814867</v>
      </c>
      <c r="AJ62" s="14">
        <f t="shared" si="68"/>
        <v>-4490.9571735834106</v>
      </c>
      <c r="AK62" s="14">
        <f t="shared" si="68"/>
        <v>-3228.3101721946982</v>
      </c>
      <c r="AL62" s="14">
        <f t="shared" si="68"/>
        <v>-2397.9592628068672</v>
      </c>
      <c r="AM62" s="14">
        <f t="shared" si="68"/>
        <v>-3676.6568616708596</v>
      </c>
      <c r="AN62" s="14">
        <f t="shared" si="68"/>
        <v>-4593.4489595878595</v>
      </c>
      <c r="AO62" s="14">
        <f t="shared" si="68"/>
        <v>-3301.9860641116443</v>
      </c>
      <c r="AP62" s="14">
        <f t="shared" si="68"/>
        <v>-2452.6850413238958</v>
      </c>
      <c r="AQ62" s="14">
        <f t="shared" si="68"/>
        <v>-3760.5648380137918</v>
      </c>
      <c r="AR62" s="14">
        <f t="shared" si="68"/>
        <v>-4698.2797939938764</v>
      </c>
      <c r="AS62" s="14">
        <f t="shared" si="68"/>
        <v>-3377.3433734761793</v>
      </c>
      <c r="AT62" s="14">
        <f t="shared" si="68"/>
        <v>-2508.6597613391173</v>
      </c>
      <c r="AU62" s="14">
        <f t="shared" si="68"/>
        <v>-3846.3877465244123</v>
      </c>
      <c r="AV62" s="14">
        <f t="shared" si="68"/>
        <v>-4805.503058127304</v>
      </c>
    </row>
    <row r="63" spans="1:48">
      <c r="B63" s="5" t="s">
        <v>144</v>
      </c>
      <c r="C63" s="9" t="s">
        <v>118</v>
      </c>
      <c r="G63" s="14">
        <v>37</v>
      </c>
      <c r="H63" s="14">
        <v>220</v>
      </c>
      <c r="I63" s="14">
        <v>-12</v>
      </c>
      <c r="J63" s="14">
        <v>6</v>
      </c>
      <c r="K63" s="14">
        <v>108</v>
      </c>
      <c r="L63" s="14">
        <v>287</v>
      </c>
      <c r="M63" s="14">
        <v>1</v>
      </c>
      <c r="N63" s="14">
        <v>53</v>
      </c>
      <c r="O63" s="14">
        <v>61</v>
      </c>
      <c r="P63" s="14">
        <v>163</v>
      </c>
      <c r="Q63" s="14">
        <v>58</v>
      </c>
      <c r="R63" s="14">
        <v>40</v>
      </c>
      <c r="S63" s="14">
        <v>115</v>
      </c>
      <c r="T63" s="14">
        <v>166</v>
      </c>
      <c r="U63" s="14">
        <v>82</v>
      </c>
      <c r="V63" s="14">
        <v>43</v>
      </c>
      <c r="W63" s="14">
        <v>22</v>
      </c>
      <c r="X63" s="14">
        <v>234</v>
      </c>
      <c r="Y63" s="14">
        <v>27</v>
      </c>
      <c r="Z63" s="14">
        <f>97-Y63</f>
        <v>70</v>
      </c>
      <c r="AA63" s="14">
        <v>66</v>
      </c>
      <c r="AB63" s="14">
        <f t="shared" ref="AB63:AV63" si="69">AVERAGE(H63,L63,P63,T63,X63)</f>
        <v>214</v>
      </c>
      <c r="AC63" s="14">
        <f t="shared" si="69"/>
        <v>31.2</v>
      </c>
      <c r="AD63" s="14">
        <f t="shared" si="69"/>
        <v>42.4</v>
      </c>
      <c r="AE63" s="14">
        <f t="shared" si="69"/>
        <v>74.400000000000006</v>
      </c>
      <c r="AF63" s="14">
        <f t="shared" si="69"/>
        <v>212.8</v>
      </c>
      <c r="AG63" s="14">
        <f t="shared" si="69"/>
        <v>39.839999999999996</v>
      </c>
      <c r="AH63" s="14">
        <f t="shared" si="69"/>
        <v>49.68</v>
      </c>
      <c r="AI63" s="14">
        <f t="shared" si="69"/>
        <v>67.679999999999993</v>
      </c>
      <c r="AJ63" s="14">
        <f t="shared" si="69"/>
        <v>197.95999999999998</v>
      </c>
      <c r="AK63" s="14">
        <f t="shared" si="69"/>
        <v>47.607999999999997</v>
      </c>
      <c r="AL63" s="14">
        <f t="shared" si="69"/>
        <v>49.016000000000005</v>
      </c>
      <c r="AM63" s="14">
        <f t="shared" si="69"/>
        <v>69.015999999999991</v>
      </c>
      <c r="AN63" s="14">
        <f t="shared" si="69"/>
        <v>204.952</v>
      </c>
      <c r="AO63" s="14">
        <f t="shared" si="69"/>
        <v>45.529600000000002</v>
      </c>
      <c r="AP63" s="14">
        <f t="shared" si="69"/>
        <v>50.819200000000002</v>
      </c>
      <c r="AQ63" s="14">
        <f t="shared" si="69"/>
        <v>59.819200000000002</v>
      </c>
      <c r="AR63" s="14">
        <f t="shared" si="69"/>
        <v>212.7424</v>
      </c>
      <c r="AS63" s="14">
        <f t="shared" si="69"/>
        <v>38.235519999999994</v>
      </c>
      <c r="AT63" s="14">
        <f t="shared" si="69"/>
        <v>52.383040000000008</v>
      </c>
      <c r="AU63" s="14">
        <f t="shared" si="69"/>
        <v>67.383040000000008</v>
      </c>
      <c r="AV63" s="14">
        <f t="shared" si="69"/>
        <v>208.49088</v>
      </c>
    </row>
    <row r="64" spans="1:48">
      <c r="B64" s="5" t="s">
        <v>84</v>
      </c>
      <c r="C64" s="9" t="s">
        <v>145</v>
      </c>
      <c r="G64" s="14">
        <v>3172</v>
      </c>
      <c r="H64" s="14">
        <v>-1981</v>
      </c>
      <c r="I64" s="14">
        <v>-2854</v>
      </c>
      <c r="J64" s="14">
        <v>283</v>
      </c>
      <c r="K64" s="14">
        <v>-1852</v>
      </c>
      <c r="L64" s="14">
        <v>289</v>
      </c>
      <c r="M64" s="14">
        <v>-8240</v>
      </c>
      <c r="N64" s="14">
        <v>-851</v>
      </c>
      <c r="O64" s="14">
        <v>570</v>
      </c>
      <c r="P64" s="14">
        <v>653</v>
      </c>
      <c r="Q64" s="14">
        <v>-6094</v>
      </c>
      <c r="R64" s="14">
        <v>-3169</v>
      </c>
      <c r="S64" s="14">
        <v>986</v>
      </c>
      <c r="T64" s="14">
        <v>4907</v>
      </c>
      <c r="U64" s="14">
        <v>-6460</v>
      </c>
      <c r="V64" s="14">
        <v>-3167</v>
      </c>
      <c r="W64" s="14">
        <v>-2163</v>
      </c>
      <c r="X64" s="14">
        <v>4399</v>
      </c>
      <c r="Y64" s="14">
        <v>-3646</v>
      </c>
      <c r="Z64" s="14">
        <f>-2237-Y64</f>
        <v>1409</v>
      </c>
      <c r="AA64" s="14">
        <v>-743</v>
      </c>
      <c r="AB64" s="14">
        <f>Drivers!M145</f>
        <v>7848.2725190320925</v>
      </c>
      <c r="AC64" s="14">
        <f>Drivers!N145</f>
        <v>-27.101717250901856</v>
      </c>
      <c r="AD64" s="14">
        <f>Drivers!O145</f>
        <v>-5222.5610021957837</v>
      </c>
      <c r="AE64" s="14">
        <f>Drivers!P145</f>
        <v>-2035.9443665464496</v>
      </c>
      <c r="AF64" s="14">
        <f>Drivers!Q145</f>
        <v>2375.0533526667859</v>
      </c>
      <c r="AG64" s="14">
        <f>Drivers!R145</f>
        <v>-435.33336002098804</v>
      </c>
      <c r="AH64" s="14">
        <f>Drivers!S145</f>
        <v>-5570.3224864224321</v>
      </c>
      <c r="AI64" s="14">
        <f>Drivers!T145</f>
        <v>-2164.0826941951382</v>
      </c>
      <c r="AJ64" s="14">
        <f>Drivers!U145</f>
        <v>2371.5205270098231</v>
      </c>
      <c r="AK64" s="14">
        <f>Drivers!V145</f>
        <v>-1731.9775274788262</v>
      </c>
      <c r="AL64" s="14">
        <f>Drivers!W145</f>
        <v>-6030.3871015420591</v>
      </c>
      <c r="AM64" s="14">
        <f>Drivers!X145</f>
        <v>-2276.5713514843519</v>
      </c>
      <c r="AN64" s="14">
        <f>Drivers!Y145</f>
        <v>652.22613632318098</v>
      </c>
      <c r="AO64" s="14">
        <f>Drivers!Z145</f>
        <v>-1251.3233399702731</v>
      </c>
      <c r="AP64" s="14">
        <f>Drivers!AA145</f>
        <v>-6652.7862494779256</v>
      </c>
      <c r="AQ64" s="14">
        <f>Drivers!AB145</f>
        <v>-2381.9978306011326</v>
      </c>
      <c r="AR64" s="14">
        <f>Drivers!AC145</f>
        <v>-243.25041108191363</v>
      </c>
      <c r="AS64" s="14">
        <f>Drivers!AD145</f>
        <v>-1613.3856338210462</v>
      </c>
      <c r="AT64" s="14">
        <f>Drivers!AE145</f>
        <v>-7489.6385721897823</v>
      </c>
      <c r="AU64" s="14">
        <f>Drivers!AF145</f>
        <v>-2477.5373774365726</v>
      </c>
      <c r="AV64" s="14">
        <f>Drivers!AG145</f>
        <v>-1306.6543484244321</v>
      </c>
    </row>
    <row r="65" spans="2:48">
      <c r="B65" s="5" t="s">
        <v>85</v>
      </c>
      <c r="C65" s="9" t="s">
        <v>145</v>
      </c>
      <c r="G65" s="14">
        <v>-10793</v>
      </c>
      <c r="H65" s="14">
        <v>11003</v>
      </c>
      <c r="I65" s="14">
        <v>5648</v>
      </c>
      <c r="J65" s="14">
        <v>-7520</v>
      </c>
      <c r="K65" s="14">
        <v>-9523</v>
      </c>
      <c r="L65" s="14">
        <v>5814</v>
      </c>
      <c r="M65" s="14">
        <v>9044</v>
      </c>
      <c r="N65" s="14">
        <v>-16265</v>
      </c>
      <c r="O65" s="14">
        <v>-15192</v>
      </c>
      <c r="P65" s="14">
        <v>12181</v>
      </c>
      <c r="Q65" s="14">
        <v>9710</v>
      </c>
      <c r="R65" s="14">
        <v>-13637</v>
      </c>
      <c r="S65" s="14">
        <v>-12799</v>
      </c>
      <c r="T65" s="14">
        <v>6158</v>
      </c>
      <c r="U65" s="14">
        <v>10586</v>
      </c>
      <c r="V65" s="14">
        <v>-2047.0000000000002</v>
      </c>
      <c r="W65" s="14">
        <v>-16983</v>
      </c>
      <c r="X65" s="14">
        <v>8602</v>
      </c>
      <c r="Y65" s="14">
        <v>10165</v>
      </c>
      <c r="Z65" s="14">
        <f>-1923-Y65</f>
        <v>-12088</v>
      </c>
      <c r="AA65" s="14">
        <v>-14375</v>
      </c>
      <c r="AB65" s="14">
        <f>Drivers!M146</f>
        <v>-3203.3954490593751</v>
      </c>
      <c r="AC65" s="14">
        <f>Drivers!N146</f>
        <v>20644.262485338841</v>
      </c>
      <c r="AD65" s="14">
        <f>Drivers!O146</f>
        <v>-3220.177755014025</v>
      </c>
      <c r="AE65" s="14">
        <f>Drivers!P146</f>
        <v>-16680.965421998102</v>
      </c>
      <c r="AF65" s="14">
        <f>Drivers!Q146</f>
        <v>-16586.119681205746</v>
      </c>
      <c r="AG65" s="14">
        <f>Drivers!R146</f>
        <v>23036.507251466974</v>
      </c>
      <c r="AH65" s="14">
        <f>Drivers!S146</f>
        <v>-3659.5790882521833</v>
      </c>
      <c r="AI65" s="14">
        <f>Drivers!T146</f>
        <v>-18493.467170076532</v>
      </c>
      <c r="AJ65" s="14">
        <f>Drivers!U146</f>
        <v>-17191.830010094156</v>
      </c>
      <c r="AK65" s="14">
        <f>Drivers!V146</f>
        <v>23891.69843362752</v>
      </c>
      <c r="AL65" s="14">
        <f>Drivers!W146</f>
        <v>-4191.1430383482366</v>
      </c>
      <c r="AM65" s="14">
        <f>Drivers!X146</f>
        <v>-20533.325493020238</v>
      </c>
      <c r="AN65" s="14">
        <f>Drivers!Y146</f>
        <v>-22141.892335332726</v>
      </c>
      <c r="AO65" s="14">
        <f>Drivers!Z146</f>
        <v>28979.922436917346</v>
      </c>
      <c r="AP65" s="14">
        <f>Drivers!AA146</f>
        <v>-4847.9297031600436</v>
      </c>
      <c r="AQ65" s="14">
        <f>Drivers!AB146</f>
        <v>-22835.439914068789</v>
      </c>
      <c r="AR65" s="14">
        <f>Drivers!AC146</f>
        <v>-25925.664797464939</v>
      </c>
      <c r="AS65" s="14">
        <f>Drivers!AD146</f>
        <v>32723.228207052889</v>
      </c>
      <c r="AT65" s="14">
        <f>Drivers!AE146</f>
        <v>-5678.3242554504541</v>
      </c>
      <c r="AU65" s="14">
        <f>Drivers!AF146</f>
        <v>-25441.842293796479</v>
      </c>
      <c r="AV65" s="14">
        <f>Drivers!AG146</f>
        <v>-30689.625075285585</v>
      </c>
    </row>
    <row r="66" spans="2:48">
      <c r="B66" s="5" t="s">
        <v>86</v>
      </c>
      <c r="C66" s="9" t="s">
        <v>145</v>
      </c>
      <c r="G66" s="14">
        <v>12549</v>
      </c>
      <c r="H66" s="14">
        <v>-3599</v>
      </c>
      <c r="I66" s="14">
        <v>-4935</v>
      </c>
      <c r="J66" s="14">
        <v>-2201</v>
      </c>
      <c r="K66" s="14">
        <v>13127</v>
      </c>
      <c r="L66" s="14">
        <v>-5005</v>
      </c>
      <c r="M66" s="14">
        <v>-2952</v>
      </c>
      <c r="N66" s="14">
        <v>2083</v>
      </c>
      <c r="O66" s="14">
        <v>16286.000000000002</v>
      </c>
      <c r="P66" s="14">
        <v>-4961</v>
      </c>
      <c r="Q66" s="14">
        <v>-10948</v>
      </c>
      <c r="R66" s="14">
        <v>15052</v>
      </c>
      <c r="S66" s="14">
        <v>7261</v>
      </c>
      <c r="T66" s="14">
        <v>2990</v>
      </c>
      <c r="U66" s="14">
        <v>-16892</v>
      </c>
      <c r="V66" s="14">
        <v>-7917</v>
      </c>
      <c r="W66" s="14">
        <v>21142</v>
      </c>
      <c r="X66" s="14">
        <v>-15241</v>
      </c>
      <c r="Y66" s="14">
        <v>-7294</v>
      </c>
      <c r="Z66" s="14">
        <v>8918</v>
      </c>
      <c r="AA66" s="14">
        <v>9839</v>
      </c>
      <c r="AB66" s="14">
        <f>Drivers!M147</f>
        <v>14335.48769450339</v>
      </c>
      <c r="AC66" s="14">
        <f>Drivers!N147</f>
        <v>-15153.848791457014</v>
      </c>
      <c r="AD66" s="14">
        <f>Drivers!O147</f>
        <v>-1355.3085752311163</v>
      </c>
      <c r="AE66" s="14">
        <f>Drivers!P147</f>
        <v>12482.475368872692</v>
      </c>
      <c r="AF66" s="14">
        <f>Drivers!Q147</f>
        <v>16224.740039063327</v>
      </c>
      <c r="AG66" s="14">
        <f>Drivers!R147</f>
        <v>-15323.659659515135</v>
      </c>
      <c r="AH66" s="14">
        <f>Drivers!S147</f>
        <v>-1582.4312704296026</v>
      </c>
      <c r="AI66" s="14">
        <f>Drivers!T147</f>
        <v>13380.758129021735</v>
      </c>
      <c r="AJ66" s="14">
        <f>Drivers!U147</f>
        <v>17928.392762582924</v>
      </c>
      <c r="AK66" s="14">
        <f>Drivers!V147</f>
        <v>-13681.936848523124</v>
      </c>
      <c r="AL66" s="14">
        <f>Drivers!W147</f>
        <v>-1893.3581795727951</v>
      </c>
      <c r="AM66" s="14">
        <f>Drivers!X147</f>
        <v>14450.512496154377</v>
      </c>
      <c r="AN66" s="14">
        <f>Drivers!Y147</f>
        <v>24441.83346218869</v>
      </c>
      <c r="AO66" s="14">
        <f>Drivers!Z147</f>
        <v>-16858.254283846967</v>
      </c>
      <c r="AP66" s="14">
        <f>Drivers!AA147</f>
        <v>-2190.1754405274405</v>
      </c>
      <c r="AQ66" s="14">
        <f>Drivers!AB147</f>
        <v>15719.836712226243</v>
      </c>
      <c r="AR66" s="14">
        <f>Drivers!AC147</f>
        <v>29484.037985602277</v>
      </c>
      <c r="AS66" s="14">
        <f>Drivers!AD147</f>
        <v>-18383.133429415844</v>
      </c>
      <c r="AT66" s="14">
        <f>Drivers!AE147</f>
        <v>-2395.494909620611</v>
      </c>
      <c r="AU66" s="14">
        <f>Drivers!AF147</f>
        <v>17207.197985237639</v>
      </c>
      <c r="AV66" s="14">
        <f>Drivers!AG147</f>
        <v>35583.911321109714</v>
      </c>
    </row>
    <row r="67" spans="2:48">
      <c r="B67" s="5" t="s">
        <v>146</v>
      </c>
      <c r="C67" s="9" t="s">
        <v>147</v>
      </c>
      <c r="G67" s="14">
        <v>1</v>
      </c>
      <c r="H67" s="14">
        <v>68</v>
      </c>
      <c r="I67" s="14">
        <v>0</v>
      </c>
      <c r="J67" s="14">
        <v>0</v>
      </c>
      <c r="K67" s="14">
        <v>0</v>
      </c>
      <c r="L67" s="14">
        <v>431</v>
      </c>
      <c r="M67" s="14">
        <v>0</v>
      </c>
      <c r="N67" s="14">
        <v>0</v>
      </c>
      <c r="O67" s="14">
        <v>179</v>
      </c>
      <c r="P67" s="14">
        <v>-2</v>
      </c>
      <c r="Q67" s="14">
        <v>0</v>
      </c>
      <c r="R67" s="14">
        <v>0</v>
      </c>
      <c r="S67" s="14">
        <v>160</v>
      </c>
      <c r="T67" s="14">
        <v>318</v>
      </c>
      <c r="U67" s="14">
        <v>0</v>
      </c>
      <c r="V67" s="14">
        <v>0</v>
      </c>
      <c r="W67" s="14">
        <v>2659</v>
      </c>
      <c r="X67" s="14">
        <v>182</v>
      </c>
      <c r="Y67" s="14">
        <v>0</v>
      </c>
      <c r="Z67" s="14">
        <v>0</v>
      </c>
      <c r="AA67" s="14">
        <v>39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0</v>
      </c>
      <c r="AH67" s="14">
        <v>0</v>
      </c>
      <c r="AI67" s="14">
        <v>0</v>
      </c>
      <c r="AJ67" s="14">
        <v>0</v>
      </c>
      <c r="AK67" s="14">
        <v>0</v>
      </c>
      <c r="AL67" s="14">
        <v>0</v>
      </c>
      <c r="AM67" s="14">
        <v>0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  <c r="AS67" s="14">
        <v>0</v>
      </c>
      <c r="AT67" s="14">
        <v>0</v>
      </c>
      <c r="AU67" s="14">
        <v>0</v>
      </c>
      <c r="AV67" s="14">
        <v>0</v>
      </c>
    </row>
    <row r="68" spans="2:48">
      <c r="B68" s="5" t="s">
        <v>148</v>
      </c>
      <c r="C68" s="9" t="s">
        <v>138</v>
      </c>
      <c r="G68" s="14">
        <v>-5025</v>
      </c>
      <c r="H68" s="14">
        <v>10312.000000000002</v>
      </c>
      <c r="I68" s="14">
        <v>-5596</v>
      </c>
      <c r="J68" s="14">
        <v>1329</v>
      </c>
      <c r="K68" s="14">
        <v>2102</v>
      </c>
      <c r="L68" s="14">
        <v>710</v>
      </c>
      <c r="M68" s="14">
        <v>-1972</v>
      </c>
      <c r="N68" s="14">
        <v>5047</v>
      </c>
      <c r="O68" s="14">
        <v>-602</v>
      </c>
      <c r="P68" s="14">
        <v>3716</v>
      </c>
      <c r="Q68" s="14">
        <v>-1253</v>
      </c>
      <c r="R68" s="14">
        <v>-730</v>
      </c>
      <c r="S68" s="14">
        <v>711</v>
      </c>
      <c r="T68" s="14">
        <v>4189</v>
      </c>
      <c r="U68" s="14">
        <v>-5789</v>
      </c>
      <c r="V68" s="14">
        <v>1345</v>
      </c>
      <c r="W68" s="14">
        <v>-131</v>
      </c>
      <c r="X68" s="14">
        <v>1627</v>
      </c>
      <c r="Y68" s="14">
        <v>-3507</v>
      </c>
      <c r="Z68" s="14">
        <v>735</v>
      </c>
      <c r="AA68" s="14">
        <v>681</v>
      </c>
      <c r="AB68" s="14">
        <f>SUM(AA32:AA33)</f>
        <v>-305</v>
      </c>
      <c r="AC68" s="14">
        <f t="shared" ref="AC68:AV68" si="70">SUM(AB32:AB33)</f>
        <v>-124.00000000000011</v>
      </c>
      <c r="AD68" s="14">
        <f t="shared" si="70"/>
        <v>51.399999999999977</v>
      </c>
      <c r="AE68" s="14">
        <f t="shared" si="70"/>
        <v>0.60000000000002274</v>
      </c>
      <c r="AF68" s="14">
        <f t="shared" si="70"/>
        <v>-673.59999999999991</v>
      </c>
      <c r="AG68" s="14">
        <f t="shared" si="70"/>
        <v>-149</v>
      </c>
      <c r="AH68" s="14">
        <f t="shared" si="70"/>
        <v>9.2800000000000296</v>
      </c>
      <c r="AI68" s="14">
        <f t="shared" si="70"/>
        <v>-26.079999999999984</v>
      </c>
      <c r="AJ68" s="14">
        <f t="shared" si="70"/>
        <v>-794.52</v>
      </c>
      <c r="AK68" s="14">
        <f t="shared" si="70"/>
        <v>-107.99999999999989</v>
      </c>
      <c r="AL68" s="14">
        <f t="shared" si="70"/>
        <v>-67.663999999999987</v>
      </c>
      <c r="AM68" s="14">
        <f t="shared" si="70"/>
        <v>8.7039999999999509</v>
      </c>
      <c r="AN68" s="14">
        <f t="shared" si="70"/>
        <v>-940.02400000000011</v>
      </c>
      <c r="AO68" s="14">
        <f t="shared" si="70"/>
        <v>-181.00000000000011</v>
      </c>
      <c r="AP68" s="14">
        <f t="shared" si="70"/>
        <v>-77.396799999999985</v>
      </c>
      <c r="AQ68" s="14">
        <f t="shared" si="70"/>
        <v>0.8447999999999638</v>
      </c>
      <c r="AR68" s="14">
        <f t="shared" si="70"/>
        <v>-1056.2288000000001</v>
      </c>
      <c r="AS68" s="14">
        <f t="shared" si="70"/>
        <v>-72.200000000000045</v>
      </c>
      <c r="AT68" s="14">
        <f t="shared" si="70"/>
        <v>-51.476159999999993</v>
      </c>
      <c r="AU68" s="14">
        <f t="shared" si="70"/>
        <v>-7.7862400000000775</v>
      </c>
      <c r="AV68" s="14">
        <f t="shared" si="70"/>
        <v>-753.87455999999986</v>
      </c>
    </row>
    <row r="69" spans="2:48">
      <c r="B69" s="16" t="s">
        <v>149</v>
      </c>
      <c r="C69" s="22"/>
      <c r="D69" s="12"/>
      <c r="E69" s="12"/>
      <c r="F69" s="12"/>
      <c r="G69" s="13">
        <f t="shared" ref="G69" si="71">SUM(G58:G68)</f>
        <v>22947</v>
      </c>
      <c r="H69" s="13">
        <f t="shared" ref="H69" si="72">SUM(H58:H68)</f>
        <v>19823</v>
      </c>
      <c r="I69" s="13">
        <f t="shared" ref="I69" si="73">SUM(I58:I68)</f>
        <v>11249</v>
      </c>
      <c r="J69" s="13">
        <f t="shared" ref="J69" si="74">SUM(J58:J68)</f>
        <v>12060</v>
      </c>
      <c r="K69" s="13">
        <f t="shared" ref="K69" si="75">SUM(K58:K68)</f>
        <v>25922</v>
      </c>
      <c r="L69" s="13">
        <f t="shared" ref="L69" si="76">SUM(L58:L68)</f>
        <v>12174</v>
      </c>
      <c r="M69" s="13">
        <f t="shared" ref="M69" si="77">SUM(M58:M68)</f>
        <v>15677</v>
      </c>
      <c r="N69" s="13">
        <f t="shared" ref="N69" si="78">SUM(N58:N68)</f>
        <v>10156</v>
      </c>
      <c r="O69" s="13">
        <f t="shared" ref="O69" si="79">SUM(O58:O68)</f>
        <v>27368</v>
      </c>
      <c r="P69" s="13">
        <f t="shared" ref="P69" si="80">SUM(P58:P68)</f>
        <v>19914</v>
      </c>
      <c r="Q69" s="13">
        <f t="shared" ref="Q69" si="81">SUM(Q58:Q68)</f>
        <v>16547</v>
      </c>
      <c r="R69" s="13">
        <f t="shared" ref="R69" si="82">SUM(R58:R68)</f>
        <v>26050</v>
      </c>
      <c r="S69" s="13">
        <f t="shared" ref="S69" si="83">SUM(S58:S68)</f>
        <v>24750</v>
      </c>
      <c r="T69" s="13">
        <f t="shared" ref="T69" si="84">SUM(T58:T68)</f>
        <v>33355</v>
      </c>
      <c r="U69" s="13">
        <f t="shared" ref="U69" si="85">SUM(U58:U68)</f>
        <v>8153</v>
      </c>
      <c r="V69" s="13">
        <f t="shared" ref="V69" si="86">SUM(V58:V68)</f>
        <v>13079</v>
      </c>
      <c r="W69" s="13">
        <f t="shared" ref="W69" si="87">SUM(W58:W68)</f>
        <v>29437</v>
      </c>
      <c r="X69" s="13">
        <f t="shared" ref="X69" si="88">SUM(X58:X68)</f>
        <v>18080</v>
      </c>
      <c r="Y69" s="13">
        <f t="shared" ref="Y69" si="89">SUM(Y58:Y68)</f>
        <v>16279</v>
      </c>
      <c r="Z69" s="13">
        <f t="shared" ref="Z69" si="90">SUM(Z58:Z68)</f>
        <v>21546</v>
      </c>
      <c r="AA69" s="13">
        <f t="shared" ref="AA69" si="91">SUM(AA58:AA68)</f>
        <v>22935</v>
      </c>
      <c r="AB69" s="13">
        <f t="shared" ref="AB69:AV69" si="92">SUM(AB58:AB68)</f>
        <v>52283.612839227804</v>
      </c>
      <c r="AC69" s="13">
        <f t="shared" si="92"/>
        <v>36664.844889575732</v>
      </c>
      <c r="AD69" s="13">
        <f t="shared" si="92"/>
        <v>25083.717751868884</v>
      </c>
      <c r="AE69" s="13">
        <f t="shared" si="92"/>
        <v>32412.796539588926</v>
      </c>
      <c r="AF69" s="13">
        <f t="shared" si="92"/>
        <v>45058.079291274225</v>
      </c>
      <c r="AG69" s="13">
        <f t="shared" si="92"/>
        <v>46366.124033576896</v>
      </c>
      <c r="AH69" s="13">
        <f t="shared" si="92"/>
        <v>33067.717737056642</v>
      </c>
      <c r="AI69" s="13">
        <f t="shared" si="92"/>
        <v>41005.292294987172</v>
      </c>
      <c r="AJ69" s="13">
        <f t="shared" si="92"/>
        <v>55250.244051889305</v>
      </c>
      <c r="AK69" s="13">
        <f t="shared" si="92"/>
        <v>54883.698958983005</v>
      </c>
      <c r="AL69" s="13">
        <f t="shared" si="92"/>
        <v>40231.637533526919</v>
      </c>
      <c r="AM69" s="13">
        <f t="shared" si="92"/>
        <v>49143.832840467781</v>
      </c>
      <c r="AN69" s="13">
        <f t="shared" si="92"/>
        <v>64403.941189222962</v>
      </c>
      <c r="AO69" s="13">
        <f t="shared" si="92"/>
        <v>64406.813129227783</v>
      </c>
      <c r="AP69" s="13">
        <f t="shared" si="92"/>
        <v>47086.965747803064</v>
      </c>
      <c r="AQ69" s="13">
        <f t="shared" si="92"/>
        <v>57242.608294549362</v>
      </c>
      <c r="AR69" s="13">
        <f t="shared" si="92"/>
        <v>73081.008998398931</v>
      </c>
      <c r="AS69" s="13">
        <f t="shared" si="92"/>
        <v>73974.231828314383</v>
      </c>
      <c r="AT69" s="13">
        <f t="shared" si="92"/>
        <v>54287.41050003167</v>
      </c>
      <c r="AU69" s="13">
        <f t="shared" si="92"/>
        <v>66040.807933486809</v>
      </c>
      <c r="AV69" s="13">
        <f t="shared" si="92"/>
        <v>83420.560022013553</v>
      </c>
    </row>
    <row r="70" spans="2:48">
      <c r="B70" s="5" t="s">
        <v>150</v>
      </c>
      <c r="C70" s="9" t="s">
        <v>151</v>
      </c>
      <c r="G70" s="14">
        <v>610</v>
      </c>
      <c r="H70" s="14">
        <v>267</v>
      </c>
      <c r="I70" s="14">
        <v>1274</v>
      </c>
      <c r="J70" s="14">
        <v>923</v>
      </c>
      <c r="K70" s="14">
        <v>3459</v>
      </c>
      <c r="L70" s="14">
        <v>326</v>
      </c>
      <c r="M70" s="14">
        <v>1479</v>
      </c>
      <c r="N70" s="14">
        <v>2061</v>
      </c>
      <c r="O70" s="14">
        <v>1067</v>
      </c>
      <c r="P70" s="14">
        <v>549</v>
      </c>
      <c r="Q70" s="14">
        <v>1943</v>
      </c>
      <c r="R70" s="14">
        <v>2176</v>
      </c>
      <c r="S70" s="14">
        <v>3152</v>
      </c>
      <c r="T70" s="14">
        <v>793</v>
      </c>
      <c r="U70" s="14">
        <v>1807</v>
      </c>
      <c r="V70" s="14">
        <v>2495</v>
      </c>
      <c r="W70" s="14">
        <v>3077</v>
      </c>
      <c r="X70" s="14">
        <v>805</v>
      </c>
      <c r="Y70" s="14">
        <v>2840</v>
      </c>
      <c r="Z70" s="14">
        <v>2171</v>
      </c>
      <c r="AA70" s="14">
        <v>4335</v>
      </c>
      <c r="AB70" s="14">
        <f t="shared" ref="AB70:AV70" si="93">AB37</f>
        <v>714</v>
      </c>
      <c r="AC70" s="14">
        <f t="shared" si="93"/>
        <v>1207.5999999999999</v>
      </c>
      <c r="AD70" s="14">
        <f t="shared" si="93"/>
        <v>652.4</v>
      </c>
      <c r="AE70" s="14">
        <f t="shared" si="93"/>
        <v>1309.8</v>
      </c>
      <c r="AF70" s="14">
        <f t="shared" si="93"/>
        <v>804.4</v>
      </c>
      <c r="AG70" s="14">
        <f t="shared" si="93"/>
        <v>1270.1200000000001</v>
      </c>
      <c r="AH70" s="14">
        <f t="shared" si="93"/>
        <v>702.28</v>
      </c>
      <c r="AI70" s="14">
        <f t="shared" si="93"/>
        <v>1345.56</v>
      </c>
      <c r="AJ70" s="14">
        <f t="shared" si="93"/>
        <v>837.07999999999993</v>
      </c>
      <c r="AK70" s="14">
        <f t="shared" si="93"/>
        <v>1317.144</v>
      </c>
      <c r="AL70" s="14">
        <f t="shared" si="93"/>
        <v>719.53600000000006</v>
      </c>
      <c r="AM70" s="14">
        <f t="shared" si="93"/>
        <v>1410.0720000000001</v>
      </c>
      <c r="AN70" s="14">
        <f t="shared" si="93"/>
        <v>888.09599999999989</v>
      </c>
      <c r="AO70" s="14">
        <f t="shared" si="93"/>
        <v>1337.9728</v>
      </c>
      <c r="AP70" s="14">
        <f t="shared" si="93"/>
        <v>712.24320000000012</v>
      </c>
      <c r="AQ70" s="14">
        <f t="shared" si="93"/>
        <v>1461.0864000000001</v>
      </c>
      <c r="AR70" s="14">
        <f t="shared" si="93"/>
        <v>823.3152</v>
      </c>
      <c r="AS70" s="14">
        <f t="shared" si="93"/>
        <v>1328.9673600000001</v>
      </c>
      <c r="AT70" s="14">
        <f t="shared" si="93"/>
        <v>751.09184000000005</v>
      </c>
      <c r="AU70" s="14">
        <f t="shared" si="93"/>
        <v>1457.9036800000001</v>
      </c>
      <c r="AV70" s="14">
        <f t="shared" si="93"/>
        <v>813.37824000000001</v>
      </c>
    </row>
    <row r="71" spans="2:48">
      <c r="B71" s="5" t="s">
        <v>152</v>
      </c>
      <c r="C71" s="9" t="s">
        <v>153</v>
      </c>
      <c r="G71" s="14">
        <v>-105</v>
      </c>
      <c r="H71" s="14">
        <v>-136</v>
      </c>
      <c r="I71" s="14">
        <v>-125</v>
      </c>
      <c r="J71" s="14">
        <v>-122</v>
      </c>
      <c r="K71" s="14">
        <v>-134</v>
      </c>
      <c r="L71" s="14">
        <v>-106</v>
      </c>
      <c r="M71" s="14">
        <v>-196</v>
      </c>
      <c r="N71" s="14">
        <v>-173</v>
      </c>
      <c r="O71" s="14">
        <v>-175</v>
      </c>
      <c r="P71" s="14">
        <v>-161</v>
      </c>
      <c r="Q71" s="14">
        <v>-118</v>
      </c>
      <c r="R71" s="14">
        <v>-265</v>
      </c>
      <c r="S71" s="14">
        <v>-247</v>
      </c>
      <c r="T71" s="14">
        <v>-632</v>
      </c>
      <c r="U71" s="14">
        <f>U38</f>
        <v>-315</v>
      </c>
      <c r="V71" s="14">
        <v>-337</v>
      </c>
      <c r="W71" s="14">
        <v>-1148</v>
      </c>
      <c r="X71" s="14">
        <v>446</v>
      </c>
      <c r="Y71" s="14">
        <v>-592</v>
      </c>
      <c r="Z71" s="14">
        <v>-729</v>
      </c>
      <c r="AA71" s="14">
        <v>-830</v>
      </c>
      <c r="AB71" s="14">
        <f t="shared" ref="AB71:AV71" si="94">AB38</f>
        <v>-105</v>
      </c>
      <c r="AC71" s="14">
        <f t="shared" si="94"/>
        <v>-327.2</v>
      </c>
      <c r="AD71" s="14">
        <f t="shared" si="94"/>
        <v>-410.8</v>
      </c>
      <c r="AE71" s="14">
        <f t="shared" si="94"/>
        <v>-350.6</v>
      </c>
      <c r="AF71" s="14">
        <f t="shared" si="94"/>
        <v>-71.400000000000006</v>
      </c>
      <c r="AG71" s="14">
        <f t="shared" si="94"/>
        <v>-364.44</v>
      </c>
      <c r="AH71" s="14">
        <f t="shared" si="94"/>
        <v>-467.96000000000004</v>
      </c>
      <c r="AI71" s="14">
        <f t="shared" si="94"/>
        <v>-394.91999999999996</v>
      </c>
      <c r="AJ71" s="14">
        <f t="shared" si="94"/>
        <v>-64.28</v>
      </c>
      <c r="AK71" s="14">
        <f t="shared" si="94"/>
        <v>-377.12800000000004</v>
      </c>
      <c r="AL71" s="14">
        <f t="shared" si="94"/>
        <v>-497.15200000000004</v>
      </c>
      <c r="AM71" s="14">
        <f t="shared" si="94"/>
        <v>-438.904</v>
      </c>
      <c r="AN71" s="14">
        <f t="shared" si="94"/>
        <v>-48.136000000000003</v>
      </c>
      <c r="AO71" s="14">
        <f t="shared" si="94"/>
        <v>-426.15359999999998</v>
      </c>
      <c r="AP71" s="14">
        <f t="shared" si="94"/>
        <v>-543.78240000000005</v>
      </c>
      <c r="AQ71" s="14">
        <f t="shared" si="94"/>
        <v>-449.48480000000001</v>
      </c>
      <c r="AR71" s="14">
        <f t="shared" si="94"/>
        <v>-57.763200000000005</v>
      </c>
      <c r="AS71" s="14">
        <f t="shared" si="94"/>
        <v>-448.38432</v>
      </c>
      <c r="AT71" s="14">
        <f t="shared" si="94"/>
        <v>-434.33888000000007</v>
      </c>
      <c r="AU71" s="14">
        <f t="shared" si="94"/>
        <v>-456.38176000000004</v>
      </c>
      <c r="AV71" s="14">
        <f t="shared" si="94"/>
        <v>-69.315840000000009</v>
      </c>
    </row>
    <row r="72" spans="2:48">
      <c r="B72" s="5" t="s">
        <v>154</v>
      </c>
      <c r="C72" s="9" t="s">
        <v>155</v>
      </c>
      <c r="G72" s="14">
        <v>-5196</v>
      </c>
      <c r="H72" s="14">
        <v>190</v>
      </c>
      <c r="I72" s="14">
        <v>-8675</v>
      </c>
      <c r="J72" s="14">
        <v>437</v>
      </c>
      <c r="K72" s="14">
        <v>-5072</v>
      </c>
      <c r="L72" s="14">
        <v>-662</v>
      </c>
      <c r="M72" s="14">
        <v>-7636</v>
      </c>
      <c r="N72" s="14">
        <v>-404</v>
      </c>
      <c r="O72" s="14">
        <v>-4434</v>
      </c>
      <c r="P72" s="14">
        <v>-296</v>
      </c>
      <c r="Q72" s="14">
        <v>-4129</v>
      </c>
      <c r="R72" s="14">
        <v>790</v>
      </c>
      <c r="S72" s="14">
        <v>-4767</v>
      </c>
      <c r="T72" s="14">
        <v>-5289</v>
      </c>
      <c r="U72" s="14">
        <v>-7965</v>
      </c>
      <c r="V72" s="14">
        <v>-2940</v>
      </c>
      <c r="W72" s="14">
        <v>-6203</v>
      </c>
      <c r="X72" s="14">
        <v>-1417</v>
      </c>
      <c r="Y72" s="14">
        <v>-5285</v>
      </c>
      <c r="Z72" s="14">
        <v>-1577</v>
      </c>
      <c r="AA72" s="14">
        <v>-5528</v>
      </c>
      <c r="AB72" s="14">
        <f t="shared" ref="AB72:AV72" si="95">AB41</f>
        <v>-6249.174330490031</v>
      </c>
      <c r="AC72" s="14">
        <f t="shared" si="95"/>
        <v>-5666.7132047771447</v>
      </c>
      <c r="AD72" s="14">
        <f t="shared" si="95"/>
        <v>-5554.321385683982</v>
      </c>
      <c r="AE72" s="14">
        <f t="shared" si="95"/>
        <v>-6421.2396192169599</v>
      </c>
      <c r="AF72" s="14">
        <f t="shared" si="95"/>
        <v>-7609.7647782816312</v>
      </c>
      <c r="AG72" s="14">
        <f t="shared" si="95"/>
        <v>-6713.0138317520814</v>
      </c>
      <c r="AH72" s="14">
        <f t="shared" si="95"/>
        <v>-7255.5347838553153</v>
      </c>
      <c r="AI72" s="14">
        <f t="shared" si="95"/>
        <v>-8251.020622137692</v>
      </c>
      <c r="AJ72" s="14">
        <f t="shared" si="95"/>
        <v>-9272.5638661117518</v>
      </c>
      <c r="AK72" s="14">
        <f t="shared" si="95"/>
        <v>-8028.1966298600682</v>
      </c>
      <c r="AL72" s="14">
        <f t="shared" si="95"/>
        <v>-8807.1709690623593</v>
      </c>
      <c r="AM72" s="14">
        <f t="shared" si="95"/>
        <v>-9921.8593545514705</v>
      </c>
      <c r="AN72" s="14">
        <f t="shared" si="95"/>
        <v>-11515.267883965373</v>
      </c>
      <c r="AO72" s="14">
        <f t="shared" si="95"/>
        <v>-9895.699980161522</v>
      </c>
      <c r="AP72" s="14">
        <f t="shared" si="95"/>
        <v>-10276.893650870019</v>
      </c>
      <c r="AQ72" s="14">
        <f t="shared" si="95"/>
        <v>-11540.534161619586</v>
      </c>
      <c r="AR72" s="14">
        <f t="shared" si="95"/>
        <v>-12410.782381440295</v>
      </c>
      <c r="AS72" s="14">
        <f t="shared" si="95"/>
        <v>-10546.15734242675</v>
      </c>
      <c r="AT72" s="14">
        <f t="shared" si="95"/>
        <v>-11812.643521294749</v>
      </c>
      <c r="AU72" s="14">
        <f t="shared" si="95"/>
        <v>-13262.216188257402</v>
      </c>
      <c r="AV72" s="14">
        <f t="shared" si="95"/>
        <v>-14045.735882707102</v>
      </c>
    </row>
    <row r="73" spans="2:48">
      <c r="B73" s="12" t="s">
        <v>156</v>
      </c>
      <c r="C73" s="22"/>
      <c r="D73" s="12"/>
      <c r="E73" s="12"/>
      <c r="F73" s="12"/>
      <c r="G73" s="13">
        <f t="shared" ref="G73" si="96">SUM(G69:G72)</f>
        <v>18256</v>
      </c>
      <c r="H73" s="13">
        <f t="shared" ref="H73" si="97">SUM(H69:H72)</f>
        <v>20144</v>
      </c>
      <c r="I73" s="13">
        <f t="shared" ref="I73" si="98">SUM(I69:I72)</f>
        <v>3723</v>
      </c>
      <c r="J73" s="13">
        <f t="shared" ref="J73" si="99">SUM(J69:J72)</f>
        <v>13298</v>
      </c>
      <c r="K73" s="13">
        <f t="shared" ref="K73" si="100">SUM(K69:K72)</f>
        <v>24175</v>
      </c>
      <c r="L73" s="13">
        <f t="shared" ref="L73" si="101">SUM(L69:L72)</f>
        <v>11732</v>
      </c>
      <c r="M73" s="13">
        <f t="shared" ref="M73" si="102">SUM(M69:M72)</f>
        <v>9324</v>
      </c>
      <c r="N73" s="13">
        <f t="shared" ref="N73" si="103">SUM(N69:N72)</f>
        <v>11640</v>
      </c>
      <c r="O73" s="13">
        <f t="shared" ref="O73" si="104">SUM(O69:O72)</f>
        <v>23826</v>
      </c>
      <c r="P73" s="13">
        <f t="shared" ref="P73" si="105">SUM(P69:P72)</f>
        <v>20006</v>
      </c>
      <c r="Q73" s="13">
        <f t="shared" ref="Q73" si="106">SUM(Q69:Q72)</f>
        <v>14243</v>
      </c>
      <c r="R73" s="13">
        <f t="shared" ref="R73" si="107">SUM(R69:R72)</f>
        <v>28751</v>
      </c>
      <c r="S73" s="13">
        <f t="shared" ref="S73" si="108">SUM(S69:S72)</f>
        <v>22888</v>
      </c>
      <c r="T73" s="13">
        <f t="shared" ref="T73" si="109">SUM(T69:T72)</f>
        <v>28227</v>
      </c>
      <c r="U73" s="13">
        <f t="shared" ref="U73" si="110">SUM(U69:U72)</f>
        <v>1680</v>
      </c>
      <c r="V73" s="13">
        <f t="shared" ref="V73" si="111">SUM(V69:V72)</f>
        <v>12297</v>
      </c>
      <c r="W73" s="13">
        <f t="shared" ref="W73" si="112">SUM(W69:W72)</f>
        <v>25163</v>
      </c>
      <c r="X73" s="13">
        <f t="shared" ref="X73" si="113">SUM(X69:X72)</f>
        <v>17914</v>
      </c>
      <c r="Y73" s="13">
        <f t="shared" ref="Y73" si="114">SUM(Y69:Y72)</f>
        <v>13242</v>
      </c>
      <c r="Z73" s="13">
        <f t="shared" ref="Z73" si="115">SUM(Z69:Z72)</f>
        <v>21411</v>
      </c>
      <c r="AA73" s="13">
        <f t="shared" ref="AA73" si="116">SUM(AA69:AA72)</f>
        <v>20912</v>
      </c>
      <c r="AB73" s="13">
        <f t="shared" ref="AB73" si="117">SUM(AB69:AB72)</f>
        <v>46643.438508737774</v>
      </c>
      <c r="AC73" s="13">
        <f t="shared" ref="AC73:AV73" si="118">SUM(AC69:AC72)</f>
        <v>31878.531684798589</v>
      </c>
      <c r="AD73" s="13">
        <f t="shared" si="118"/>
        <v>19770.996366184903</v>
      </c>
      <c r="AE73" s="13">
        <f t="shared" si="118"/>
        <v>26950.756920371969</v>
      </c>
      <c r="AF73" s="13">
        <f t="shared" si="118"/>
        <v>38181.314512992598</v>
      </c>
      <c r="AG73" s="13">
        <f t="shared" si="118"/>
        <v>40558.790201824813</v>
      </c>
      <c r="AH73" s="13">
        <f t="shared" si="118"/>
        <v>26046.502953201329</v>
      </c>
      <c r="AI73" s="13">
        <f t="shared" si="118"/>
        <v>33704.911672849477</v>
      </c>
      <c r="AJ73" s="13">
        <f t="shared" si="118"/>
        <v>46750.48018577756</v>
      </c>
      <c r="AK73" s="13">
        <f t="shared" si="118"/>
        <v>47795.51832912294</v>
      </c>
      <c r="AL73" s="13">
        <f t="shared" si="118"/>
        <v>31646.850564464556</v>
      </c>
      <c r="AM73" s="13">
        <f t="shared" si="118"/>
        <v>40193.141485916305</v>
      </c>
      <c r="AN73" s="13">
        <f t="shared" si="118"/>
        <v>53728.633305257586</v>
      </c>
      <c r="AO73" s="13">
        <f t="shared" si="118"/>
        <v>55422.932349066265</v>
      </c>
      <c r="AP73" s="13">
        <f t="shared" si="118"/>
        <v>36978.532896933037</v>
      </c>
      <c r="AQ73" s="13">
        <f t="shared" si="118"/>
        <v>46713.675732929776</v>
      </c>
      <c r="AR73" s="13">
        <f t="shared" si="118"/>
        <v>61435.778616958632</v>
      </c>
      <c r="AS73" s="13">
        <f t="shared" si="118"/>
        <v>64308.657525887633</v>
      </c>
      <c r="AT73" s="13">
        <f t="shared" si="118"/>
        <v>42791.519938736921</v>
      </c>
      <c r="AU73" s="13">
        <f t="shared" si="118"/>
        <v>53780.113665229408</v>
      </c>
      <c r="AV73" s="13">
        <f t="shared" si="118"/>
        <v>70118.886539306463</v>
      </c>
    </row>
    <row r="75" spans="2:48">
      <c r="B75" s="1" t="s">
        <v>157</v>
      </c>
    </row>
    <row r="76" spans="2:48">
      <c r="B76" s="5" t="s">
        <v>158</v>
      </c>
      <c r="C76" s="9" t="s">
        <v>159</v>
      </c>
      <c r="G76" s="14">
        <v>2470</v>
      </c>
      <c r="H76" s="14">
        <v>5833</v>
      </c>
      <c r="I76" s="14">
        <v>-1119</v>
      </c>
      <c r="J76" s="14">
        <v>-468</v>
      </c>
      <c r="K76" s="14">
        <v>-635</v>
      </c>
      <c r="L76" s="14">
        <v>216</v>
      </c>
      <c r="M76" s="14">
        <v>957</v>
      </c>
      <c r="N76" s="14">
        <v>-144</v>
      </c>
      <c r="O76" s="14">
        <v>-834</v>
      </c>
      <c r="P76" s="14">
        <v>-294</v>
      </c>
      <c r="Q76" s="14">
        <v>-497</v>
      </c>
      <c r="R76" s="14">
        <v>-1677</v>
      </c>
      <c r="S76" s="14">
        <v>-1562</v>
      </c>
      <c r="T76" s="14">
        <v>-2647</v>
      </c>
      <c r="U76" s="14">
        <v>-709</v>
      </c>
      <c r="V76" s="14">
        <v>-903</v>
      </c>
      <c r="W76" s="14">
        <v>-3129</v>
      </c>
      <c r="X76" s="14">
        <v>-48</v>
      </c>
      <c r="Y76" s="14">
        <v>-1805</v>
      </c>
      <c r="Z76" s="14">
        <f>-4916-Y76</f>
        <v>-3111</v>
      </c>
      <c r="AA76" s="14">
        <v>-3273</v>
      </c>
      <c r="AB76" s="14">
        <f t="shared" ref="AB76:AV76" si="119">AA76</f>
        <v>-3273</v>
      </c>
      <c r="AC76" s="14">
        <f t="shared" si="119"/>
        <v>-3273</v>
      </c>
      <c r="AD76" s="14">
        <f t="shared" si="119"/>
        <v>-3273</v>
      </c>
      <c r="AE76" s="14">
        <f t="shared" si="119"/>
        <v>-3273</v>
      </c>
      <c r="AF76" s="14">
        <f t="shared" si="119"/>
        <v>-3273</v>
      </c>
      <c r="AG76" s="14">
        <f t="shared" si="119"/>
        <v>-3273</v>
      </c>
      <c r="AH76" s="14">
        <f t="shared" si="119"/>
        <v>-3273</v>
      </c>
      <c r="AI76" s="14">
        <f t="shared" si="119"/>
        <v>-3273</v>
      </c>
      <c r="AJ76" s="14">
        <f t="shared" si="119"/>
        <v>-3273</v>
      </c>
      <c r="AK76" s="14">
        <f t="shared" si="119"/>
        <v>-3273</v>
      </c>
      <c r="AL76" s="14">
        <f t="shared" si="119"/>
        <v>-3273</v>
      </c>
      <c r="AM76" s="14">
        <f t="shared" si="119"/>
        <v>-3273</v>
      </c>
      <c r="AN76" s="14">
        <f t="shared" si="119"/>
        <v>-3273</v>
      </c>
      <c r="AO76" s="14">
        <f t="shared" si="119"/>
        <v>-3273</v>
      </c>
      <c r="AP76" s="14">
        <f t="shared" si="119"/>
        <v>-3273</v>
      </c>
      <c r="AQ76" s="14">
        <f t="shared" si="119"/>
        <v>-3273</v>
      </c>
      <c r="AR76" s="14">
        <f t="shared" si="119"/>
        <v>-3273</v>
      </c>
      <c r="AS76" s="14">
        <f t="shared" si="119"/>
        <v>-3273</v>
      </c>
      <c r="AT76" s="14">
        <f t="shared" si="119"/>
        <v>-3273</v>
      </c>
      <c r="AU76" s="14">
        <f t="shared" si="119"/>
        <v>-3273</v>
      </c>
      <c r="AV76" s="14">
        <f t="shared" si="119"/>
        <v>-3273</v>
      </c>
    </row>
    <row r="77" spans="2:48">
      <c r="B77" s="5" t="s">
        <v>160</v>
      </c>
      <c r="C77" s="9" t="s">
        <v>161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3113</v>
      </c>
      <c r="V77" s="14">
        <v>0</v>
      </c>
      <c r="W77" s="14">
        <v>0</v>
      </c>
      <c r="X77" s="14">
        <v>0</v>
      </c>
      <c r="Y77" s="14">
        <v>4064</v>
      </c>
      <c r="Z77" s="14">
        <f>11229-Y77</f>
        <v>7165</v>
      </c>
      <c r="AA77" s="14">
        <v>1977</v>
      </c>
      <c r="AB77" s="14">
        <v>0</v>
      </c>
      <c r="AC77" s="14">
        <v>0</v>
      </c>
      <c r="AD77" s="14">
        <v>0</v>
      </c>
      <c r="AE77" s="14">
        <v>0</v>
      </c>
      <c r="AF77" s="14">
        <f t="shared" ref="AF77:AV77" si="120">-AB76</f>
        <v>3273</v>
      </c>
      <c r="AG77" s="14">
        <f t="shared" si="120"/>
        <v>3273</v>
      </c>
      <c r="AH77" s="14">
        <f t="shared" si="120"/>
        <v>3273</v>
      </c>
      <c r="AI77" s="14">
        <f t="shared" si="120"/>
        <v>3273</v>
      </c>
      <c r="AJ77" s="14">
        <f t="shared" si="120"/>
        <v>3273</v>
      </c>
      <c r="AK77" s="14">
        <f t="shared" si="120"/>
        <v>3273</v>
      </c>
      <c r="AL77" s="14">
        <f t="shared" si="120"/>
        <v>3273</v>
      </c>
      <c r="AM77" s="14">
        <f t="shared" si="120"/>
        <v>3273</v>
      </c>
      <c r="AN77" s="14">
        <f t="shared" si="120"/>
        <v>3273</v>
      </c>
      <c r="AO77" s="14">
        <f t="shared" si="120"/>
        <v>3273</v>
      </c>
      <c r="AP77" s="14">
        <f t="shared" si="120"/>
        <v>3273</v>
      </c>
      <c r="AQ77" s="14">
        <f t="shared" si="120"/>
        <v>3273</v>
      </c>
      <c r="AR77" s="14">
        <f t="shared" si="120"/>
        <v>3273</v>
      </c>
      <c r="AS77" s="14">
        <f t="shared" si="120"/>
        <v>3273</v>
      </c>
      <c r="AT77" s="14">
        <f t="shared" si="120"/>
        <v>3273</v>
      </c>
      <c r="AU77" s="14">
        <f t="shared" si="120"/>
        <v>3273</v>
      </c>
      <c r="AV77" s="14">
        <f t="shared" si="120"/>
        <v>3273</v>
      </c>
    </row>
    <row r="78" spans="2:48">
      <c r="B78" s="5" t="s">
        <v>162</v>
      </c>
      <c r="C78" s="9" t="s">
        <v>87</v>
      </c>
      <c r="G78" s="14">
        <v>-7745</v>
      </c>
      <c r="H78" s="14">
        <v>-6818</v>
      </c>
      <c r="I78" s="14">
        <v>-7440</v>
      </c>
      <c r="J78" s="14">
        <v>-5277</v>
      </c>
      <c r="K78" s="14">
        <v>-5889</v>
      </c>
      <c r="L78" s="14">
        <v>-5213</v>
      </c>
      <c r="M78" s="14">
        <v>-5534</v>
      </c>
      <c r="N78" s="14">
        <v>-5102</v>
      </c>
      <c r="O78" s="14">
        <v>-6130</v>
      </c>
      <c r="P78" s="14">
        <v>-8513</v>
      </c>
      <c r="Q78" s="14">
        <v>-20983</v>
      </c>
      <c r="R78" s="14">
        <v>-6191</v>
      </c>
      <c r="S78" s="14">
        <v>-9321</v>
      </c>
      <c r="T78" s="14">
        <v>-25593</v>
      </c>
      <c r="U78" s="14">
        <v>-17942</v>
      </c>
      <c r="V78" s="14">
        <v>-15833</v>
      </c>
      <c r="W78" s="14">
        <v>-19192</v>
      </c>
      <c r="X78" s="14">
        <v>-17755</v>
      </c>
      <c r="Y78" s="14">
        <v>-20734</v>
      </c>
      <c r="Z78" s="14">
        <v>-23481</v>
      </c>
      <c r="AA78" s="14">
        <v>-23993</v>
      </c>
      <c r="AB78" s="14">
        <f>Drivers!H169</f>
        <v>-26847.664880507662</v>
      </c>
      <c r="AC78" s="14">
        <f>Drivers!I169</f>
        <v>-24452.781902514416</v>
      </c>
      <c r="AD78" s="14">
        <f>Drivers!J169</f>
        <v>-12725.755965919201</v>
      </c>
      <c r="AE78" s="14">
        <f>Drivers!K169</f>
        <v>-13828.878778672248</v>
      </c>
      <c r="AF78" s="14">
        <f>Drivers!L169</f>
        <v>-14042.166661281246</v>
      </c>
      <c r="AG78" s="14">
        <f>Drivers!M169</f>
        <v>-12786.582895389294</v>
      </c>
      <c r="AH78" s="14">
        <f>Drivers!N169</f>
        <v>-14185.756741479012</v>
      </c>
      <c r="AI78" s="14">
        <f>Drivers!O169</f>
        <v>-15405.271895192634</v>
      </c>
      <c r="AJ78" s="14">
        <f>Drivers!P169</f>
        <v>-15698.470901687984</v>
      </c>
      <c r="AK78" s="14">
        <f>Drivers!Q169</f>
        <v>-14291.472477882498</v>
      </c>
      <c r="AL78" s="14">
        <f>Drivers!R169</f>
        <v>-15865.920292106479</v>
      </c>
      <c r="AM78" s="14">
        <f>Drivers!S169</f>
        <v>-17214.765185626038</v>
      </c>
      <c r="AN78" s="14">
        <f>Drivers!T169</f>
        <v>-37534.055645815002</v>
      </c>
      <c r="AO78" s="14">
        <f>Drivers!U169</f>
        <v>-34161.339116101961</v>
      </c>
      <c r="AP78" s="14">
        <f>Drivers!V169</f>
        <v>-17815.007198500436</v>
      </c>
      <c r="AQ78" s="14">
        <f>Drivers!W169</f>
        <v>-19307.433081984422</v>
      </c>
      <c r="AR78" s="14">
        <f>Drivers!X169</f>
        <v>-19857.121390259457</v>
      </c>
      <c r="AS78" s="14">
        <f>Drivers!Y169</f>
        <v>-18067.262005998746</v>
      </c>
      <c r="AT78" s="14">
        <f>Drivers!Z169</f>
        <v>-20097.60703439093</v>
      </c>
      <c r="AU78" s="14">
        <f>Drivers!AA169</f>
        <v>-21749.184184576479</v>
      </c>
      <c r="AV78" s="14">
        <f>Drivers!AB169</f>
        <v>-22503.520656859739</v>
      </c>
    </row>
    <row r="79" spans="2:48">
      <c r="B79" s="5" t="s">
        <v>163</v>
      </c>
      <c r="C79" s="9" t="s">
        <v>118</v>
      </c>
      <c r="G79" s="14">
        <v>204</v>
      </c>
      <c r="H79" s="14">
        <v>11</v>
      </c>
      <c r="I79" s="14">
        <v>367</v>
      </c>
      <c r="J79" s="14">
        <v>252</v>
      </c>
      <c r="K79" s="14">
        <v>0</v>
      </c>
      <c r="L79" s="14">
        <v>33</v>
      </c>
      <c r="M79" s="14">
        <v>24</v>
      </c>
      <c r="N79" s="14">
        <v>22</v>
      </c>
      <c r="O79" s="14">
        <v>6</v>
      </c>
      <c r="P79" s="14">
        <v>159</v>
      </c>
      <c r="Q79" s="14">
        <v>20</v>
      </c>
      <c r="R79" s="14">
        <v>11</v>
      </c>
      <c r="S79" s="14">
        <v>31</v>
      </c>
      <c r="T79" s="14">
        <v>25</v>
      </c>
      <c r="U79" s="14">
        <v>83</v>
      </c>
      <c r="V79" s="14">
        <v>11</v>
      </c>
      <c r="W79" s="14">
        <v>144</v>
      </c>
      <c r="X79" s="14">
        <v>0</v>
      </c>
      <c r="Y79" s="14">
        <v>12</v>
      </c>
      <c r="Z79" s="14">
        <v>30</v>
      </c>
      <c r="AA79" s="14">
        <v>37</v>
      </c>
      <c r="AB79" s="14">
        <f t="shared" ref="AB79:AK80" si="121">AVERAGE(H79,L79,P79,T79,X79)</f>
        <v>45.6</v>
      </c>
      <c r="AC79" s="14">
        <f t="shared" si="121"/>
        <v>101.2</v>
      </c>
      <c r="AD79" s="14">
        <f t="shared" si="121"/>
        <v>65.2</v>
      </c>
      <c r="AE79" s="14">
        <f t="shared" si="121"/>
        <v>43.6</v>
      </c>
      <c r="AF79" s="14">
        <f t="shared" si="121"/>
        <v>52.52</v>
      </c>
      <c r="AG79" s="14">
        <f t="shared" si="121"/>
        <v>48.04</v>
      </c>
      <c r="AH79" s="14">
        <f t="shared" si="121"/>
        <v>27.839999999999996</v>
      </c>
      <c r="AI79" s="14">
        <f t="shared" si="121"/>
        <v>52.320000000000007</v>
      </c>
      <c r="AJ79" s="14">
        <f t="shared" si="121"/>
        <v>56.423999999999999</v>
      </c>
      <c r="AK79" s="14">
        <f t="shared" si="121"/>
        <v>52.847999999999999</v>
      </c>
      <c r="AL79" s="14">
        <f t="shared" ref="AL79:AU80" si="122">AVERAGE(R79,V79,Z79,AD79,AH79)</f>
        <v>29.007999999999999</v>
      </c>
      <c r="AM79" s="14">
        <f t="shared" si="122"/>
        <v>61.584000000000003</v>
      </c>
      <c r="AN79" s="14">
        <f t="shared" si="122"/>
        <v>35.908799999999999</v>
      </c>
      <c r="AO79" s="14">
        <f t="shared" si="122"/>
        <v>59.417599999999993</v>
      </c>
      <c r="AP79" s="14">
        <f t="shared" si="122"/>
        <v>32.6096</v>
      </c>
      <c r="AQ79" s="14">
        <f t="shared" si="122"/>
        <v>67.700800000000001</v>
      </c>
      <c r="AR79" s="14">
        <f t="shared" si="122"/>
        <v>38.090560000000004</v>
      </c>
      <c r="AS79" s="14">
        <f t="shared" si="122"/>
        <v>54.701120000000003</v>
      </c>
      <c r="AT79" s="14">
        <f t="shared" si="122"/>
        <v>36.931519999999999</v>
      </c>
      <c r="AU79" s="14">
        <f t="shared" si="122"/>
        <v>52.440960000000004</v>
      </c>
      <c r="AV79" s="14">
        <f t="shared" ref="AV79:AV80" si="123">AVERAGE(AB79,AF79,AJ79,AN79,AR79)</f>
        <v>45.708672000000007</v>
      </c>
    </row>
    <row r="80" spans="2:48">
      <c r="B80" s="5" t="s">
        <v>164</v>
      </c>
      <c r="C80" s="9" t="s">
        <v>118</v>
      </c>
      <c r="G80" s="14">
        <v>-175</v>
      </c>
      <c r="H80" s="14">
        <v>-432</v>
      </c>
      <c r="I80" s="14">
        <v>-360</v>
      </c>
      <c r="J80" s="14">
        <v>-12</v>
      </c>
      <c r="K80" s="14">
        <v>-56</v>
      </c>
      <c r="L80" s="14">
        <v>-298</v>
      </c>
      <c r="M80" s="14">
        <v>-126</v>
      </c>
      <c r="N80" s="14">
        <v>-63</v>
      </c>
      <c r="O80" s="14">
        <v>-67</v>
      </c>
      <c r="P80" s="14">
        <v>-168</v>
      </c>
      <c r="Q80" s="14">
        <v>-40</v>
      </c>
      <c r="R80" s="14">
        <v>-174</v>
      </c>
      <c r="S80" s="14">
        <v>-94</v>
      </c>
      <c r="T80" s="14">
        <v>-170</v>
      </c>
      <c r="U80" s="14">
        <v>-160</v>
      </c>
      <c r="V80" s="14">
        <v>-183</v>
      </c>
      <c r="W80" s="14">
        <v>-245</v>
      </c>
      <c r="X80" s="14">
        <v>-203</v>
      </c>
      <c r="Y80" s="14">
        <v>-60</v>
      </c>
      <c r="Z80" s="14">
        <v>-74</v>
      </c>
      <c r="AA80" s="14">
        <v>-112</v>
      </c>
      <c r="AB80" s="14">
        <f t="shared" si="121"/>
        <v>-254.2</v>
      </c>
      <c r="AC80" s="14">
        <f t="shared" si="121"/>
        <v>-149.19999999999999</v>
      </c>
      <c r="AD80" s="14">
        <f t="shared" si="121"/>
        <v>-101.2</v>
      </c>
      <c r="AE80" s="14">
        <f t="shared" si="121"/>
        <v>-114.8</v>
      </c>
      <c r="AF80" s="14">
        <f t="shared" si="121"/>
        <v>-218.64000000000001</v>
      </c>
      <c r="AG80" s="14">
        <f t="shared" si="121"/>
        <v>-107.04</v>
      </c>
      <c r="AH80" s="14">
        <f t="shared" si="121"/>
        <v>-119.04</v>
      </c>
      <c r="AI80" s="14">
        <f t="shared" si="121"/>
        <v>-126.55999999999999</v>
      </c>
      <c r="AJ80" s="14">
        <f t="shared" si="121"/>
        <v>-202.768</v>
      </c>
      <c r="AK80" s="14">
        <f t="shared" si="121"/>
        <v>-103.248</v>
      </c>
      <c r="AL80" s="14">
        <f t="shared" si="122"/>
        <v>-130.24799999999999</v>
      </c>
      <c r="AM80" s="14">
        <f t="shared" si="122"/>
        <v>-138.47199999999998</v>
      </c>
      <c r="AN80" s="14">
        <f t="shared" si="122"/>
        <v>-209.7216</v>
      </c>
      <c r="AO80" s="14">
        <f t="shared" si="122"/>
        <v>-115.89760000000001</v>
      </c>
      <c r="AP80" s="14">
        <f t="shared" si="122"/>
        <v>-121.49760000000001</v>
      </c>
      <c r="AQ80" s="14">
        <f t="shared" si="122"/>
        <v>-147.3664</v>
      </c>
      <c r="AR80" s="14">
        <f t="shared" si="122"/>
        <v>-217.66592</v>
      </c>
      <c r="AS80" s="14">
        <f t="shared" si="122"/>
        <v>-107.07712000000001</v>
      </c>
      <c r="AT80" s="14">
        <f t="shared" si="122"/>
        <v>-109.19712</v>
      </c>
      <c r="AU80" s="14">
        <f t="shared" si="122"/>
        <v>-127.83968</v>
      </c>
      <c r="AV80" s="14">
        <f t="shared" si="123"/>
        <v>-220.59910399999998</v>
      </c>
    </row>
    <row r="81" spans="2:48">
      <c r="B81" s="5" t="s">
        <v>165</v>
      </c>
      <c r="C81" s="9" t="s">
        <v>166</v>
      </c>
      <c r="G81" s="14">
        <v>-566</v>
      </c>
      <c r="H81" s="14">
        <v>-66</v>
      </c>
      <c r="I81" s="14">
        <v>-12</v>
      </c>
      <c r="J81" s="14">
        <v>-635</v>
      </c>
      <c r="K81" s="14">
        <v>-60</v>
      </c>
      <c r="L81" s="14">
        <v>-597</v>
      </c>
      <c r="M81" s="14">
        <v>-6488</v>
      </c>
      <c r="N81" s="14">
        <v>-3536</v>
      </c>
      <c r="O81" s="14">
        <v>-510</v>
      </c>
      <c r="P81" s="14">
        <v>-20</v>
      </c>
      <c r="Q81" s="14">
        <v>-52</v>
      </c>
      <c r="R81" s="14">
        <v>-2</v>
      </c>
      <c r="S81" s="14">
        <v>-82</v>
      </c>
      <c r="T81" s="14">
        <v>-521</v>
      </c>
      <c r="U81" s="14">
        <v>-15</v>
      </c>
      <c r="V81" s="14">
        <v>-79</v>
      </c>
      <c r="W81" s="14">
        <v>-19</v>
      </c>
      <c r="X81" s="14">
        <v>-49</v>
      </c>
      <c r="Y81" s="14">
        <v>-2</v>
      </c>
      <c r="Z81" s="14">
        <v>-125</v>
      </c>
      <c r="AA81" s="14">
        <v>-1249</v>
      </c>
      <c r="AB81" s="14">
        <f t="shared" ref="AB81:AK82" si="124">X81</f>
        <v>-49</v>
      </c>
      <c r="AC81" s="14">
        <f t="shared" si="124"/>
        <v>-2</v>
      </c>
      <c r="AD81" s="14">
        <f t="shared" si="124"/>
        <v>-125</v>
      </c>
      <c r="AE81" s="14">
        <f t="shared" si="124"/>
        <v>-1249</v>
      </c>
      <c r="AF81" s="14">
        <f t="shared" si="124"/>
        <v>-49</v>
      </c>
      <c r="AG81" s="14">
        <f t="shared" si="124"/>
        <v>-2</v>
      </c>
      <c r="AH81" s="14">
        <f t="shared" si="124"/>
        <v>-125</v>
      </c>
      <c r="AI81" s="14">
        <f t="shared" si="124"/>
        <v>-1249</v>
      </c>
      <c r="AJ81" s="14">
        <f t="shared" si="124"/>
        <v>-49</v>
      </c>
      <c r="AK81" s="14">
        <f t="shared" si="124"/>
        <v>-2</v>
      </c>
      <c r="AL81" s="14">
        <f t="shared" ref="AL81:AU82" si="125">AH81</f>
        <v>-125</v>
      </c>
      <c r="AM81" s="14">
        <f t="shared" si="125"/>
        <v>-1249</v>
      </c>
      <c r="AN81" s="14">
        <f t="shared" si="125"/>
        <v>-49</v>
      </c>
      <c r="AO81" s="14">
        <f t="shared" si="125"/>
        <v>-2</v>
      </c>
      <c r="AP81" s="14">
        <f t="shared" si="125"/>
        <v>-125</v>
      </c>
      <c r="AQ81" s="14">
        <f t="shared" si="125"/>
        <v>-1249</v>
      </c>
      <c r="AR81" s="14">
        <f t="shared" si="125"/>
        <v>-49</v>
      </c>
      <c r="AS81" s="14">
        <f t="shared" si="125"/>
        <v>-2</v>
      </c>
      <c r="AT81" s="14">
        <f t="shared" si="125"/>
        <v>-125</v>
      </c>
      <c r="AU81" s="14">
        <f t="shared" si="125"/>
        <v>-1249</v>
      </c>
      <c r="AV81" s="14">
        <f t="shared" ref="AV81:AV82" si="126">AR81</f>
        <v>-49</v>
      </c>
    </row>
    <row r="82" spans="2:48">
      <c r="B82" s="5" t="s">
        <v>167</v>
      </c>
      <c r="C82" s="9" t="s">
        <v>166</v>
      </c>
      <c r="G82" s="14">
        <v>303</v>
      </c>
      <c r="H82" s="14">
        <v>6140</v>
      </c>
      <c r="I82" s="14">
        <v>13420</v>
      </c>
      <c r="J82" s="14">
        <v>3953</v>
      </c>
      <c r="K82" s="14">
        <v>1010</v>
      </c>
      <c r="L82" s="14">
        <v>5993</v>
      </c>
      <c r="M82" s="14">
        <v>405</v>
      </c>
      <c r="N82" s="14">
        <v>581</v>
      </c>
      <c r="O82" s="14">
        <v>1162</v>
      </c>
      <c r="P82" s="14">
        <v>2149</v>
      </c>
      <c r="Q82" s="14">
        <v>0</v>
      </c>
      <c r="R82" s="14">
        <v>1836</v>
      </c>
      <c r="S82" s="14">
        <v>747</v>
      </c>
      <c r="T82" s="14">
        <v>6268</v>
      </c>
      <c r="U82" s="14">
        <v>8</v>
      </c>
      <c r="V82" s="14">
        <v>27</v>
      </c>
      <c r="W82" s="14">
        <v>4431</v>
      </c>
      <c r="X82" s="14">
        <v>436</v>
      </c>
      <c r="Y82" s="14">
        <v>12</v>
      </c>
      <c r="Z82" s="14">
        <v>130</v>
      </c>
      <c r="AA82" s="14">
        <v>224</v>
      </c>
      <c r="AB82" s="14">
        <f t="shared" si="124"/>
        <v>436</v>
      </c>
      <c r="AC82" s="14">
        <f t="shared" si="124"/>
        <v>12</v>
      </c>
      <c r="AD82" s="14">
        <f t="shared" si="124"/>
        <v>130</v>
      </c>
      <c r="AE82" s="14">
        <f t="shared" si="124"/>
        <v>224</v>
      </c>
      <c r="AF82" s="14">
        <f t="shared" si="124"/>
        <v>436</v>
      </c>
      <c r="AG82" s="14">
        <f t="shared" si="124"/>
        <v>12</v>
      </c>
      <c r="AH82" s="14">
        <f t="shared" si="124"/>
        <v>130</v>
      </c>
      <c r="AI82" s="14">
        <f t="shared" si="124"/>
        <v>224</v>
      </c>
      <c r="AJ82" s="14">
        <f t="shared" si="124"/>
        <v>436</v>
      </c>
      <c r="AK82" s="14">
        <f t="shared" si="124"/>
        <v>12</v>
      </c>
      <c r="AL82" s="14">
        <f t="shared" si="125"/>
        <v>130</v>
      </c>
      <c r="AM82" s="14">
        <f t="shared" si="125"/>
        <v>224</v>
      </c>
      <c r="AN82" s="14">
        <f t="shared" si="125"/>
        <v>436</v>
      </c>
      <c r="AO82" s="14">
        <f t="shared" si="125"/>
        <v>12</v>
      </c>
      <c r="AP82" s="14">
        <f t="shared" si="125"/>
        <v>130</v>
      </c>
      <c r="AQ82" s="14">
        <f t="shared" si="125"/>
        <v>224</v>
      </c>
      <c r="AR82" s="14">
        <f t="shared" si="125"/>
        <v>436</v>
      </c>
      <c r="AS82" s="14">
        <f t="shared" si="125"/>
        <v>12</v>
      </c>
      <c r="AT82" s="14">
        <f t="shared" si="125"/>
        <v>130</v>
      </c>
      <c r="AU82" s="14">
        <f t="shared" si="125"/>
        <v>224</v>
      </c>
      <c r="AV82" s="14">
        <f t="shared" si="126"/>
        <v>436</v>
      </c>
    </row>
    <row r="83" spans="2:48">
      <c r="B83" s="5" t="s">
        <v>148</v>
      </c>
      <c r="C83" s="9" t="s">
        <v>168</v>
      </c>
      <c r="G83" s="14">
        <v>1208</v>
      </c>
      <c r="H83" s="14">
        <v>-2752</v>
      </c>
      <c r="I83" s="14">
        <v>-648</v>
      </c>
      <c r="J83" s="14">
        <v>2</v>
      </c>
      <c r="K83" s="14">
        <v>2</v>
      </c>
      <c r="L83" s="14">
        <v>3</v>
      </c>
      <c r="M83" s="14">
        <v>0</v>
      </c>
      <c r="N83" s="14">
        <v>2</v>
      </c>
      <c r="O83" s="14">
        <v>2</v>
      </c>
      <c r="P83" s="14">
        <v>3</v>
      </c>
      <c r="Q83" s="14">
        <v>4</v>
      </c>
      <c r="R83" s="14">
        <v>3</v>
      </c>
      <c r="S83" s="14">
        <v>-1254</v>
      </c>
      <c r="T83" s="14">
        <v>2.9999999999998916</v>
      </c>
      <c r="U83" s="14">
        <v>-1950</v>
      </c>
      <c r="V83" s="14">
        <v>-3596.9999999999995</v>
      </c>
      <c r="W83" s="14">
        <v>-3146</v>
      </c>
      <c r="X83" s="14">
        <v>194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0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  <c r="AS83" s="14">
        <v>0</v>
      </c>
      <c r="AT83" s="14">
        <v>0</v>
      </c>
      <c r="AU83" s="14">
        <v>0</v>
      </c>
      <c r="AV83" s="14">
        <v>0</v>
      </c>
    </row>
    <row r="84" spans="2:48">
      <c r="B84" s="12" t="s">
        <v>169</v>
      </c>
      <c r="C84" s="22"/>
      <c r="D84" s="12"/>
      <c r="E84" s="12"/>
      <c r="F84" s="12"/>
      <c r="G84" s="13">
        <f t="shared" ref="G84" si="127">SUM(G76:G83)</f>
        <v>-4301</v>
      </c>
      <c r="H84" s="13">
        <f t="shared" ref="H84" si="128">SUM(H76:H83)</f>
        <v>1916</v>
      </c>
      <c r="I84" s="13">
        <f t="shared" ref="I84" si="129">SUM(I76:I83)</f>
        <v>4208</v>
      </c>
      <c r="J84" s="13">
        <f t="shared" ref="J84" si="130">SUM(J76:J83)</f>
        <v>-2185</v>
      </c>
      <c r="K84" s="13">
        <f t="shared" ref="K84" si="131">SUM(K76:K83)</f>
        <v>-5628</v>
      </c>
      <c r="L84" s="13">
        <f t="shared" ref="L84" si="132">SUM(L76:L83)</f>
        <v>137</v>
      </c>
      <c r="M84" s="13">
        <f t="shared" ref="M84" si="133">SUM(M76:M83)</f>
        <v>-10762</v>
      </c>
      <c r="N84" s="13">
        <f t="shared" ref="N84" si="134">SUM(N76:N83)</f>
        <v>-8240</v>
      </c>
      <c r="O84" s="13">
        <f t="shared" ref="O84" si="135">SUM(O76:O83)</f>
        <v>-6371</v>
      </c>
      <c r="P84" s="13">
        <f t="shared" ref="P84" si="136">SUM(P76:P83)</f>
        <v>-6684</v>
      </c>
      <c r="Q84" s="13">
        <f t="shared" ref="Q84" si="137">SUM(Q76:Q83)</f>
        <v>-21548</v>
      </c>
      <c r="R84" s="13">
        <f t="shared" ref="R84" si="138">SUM(R76:R83)</f>
        <v>-6194</v>
      </c>
      <c r="S84" s="13">
        <f t="shared" ref="S84" si="139">SUM(S76:S83)</f>
        <v>-11535</v>
      </c>
      <c r="T84" s="13">
        <f t="shared" ref="T84" si="140">SUM(T76:T83)</f>
        <v>-22635</v>
      </c>
      <c r="U84" s="13">
        <f t="shared" ref="U84" si="141">SUM(U76:U83)</f>
        <v>-17572</v>
      </c>
      <c r="V84" s="13">
        <f t="shared" ref="V84" si="142">SUM(V76:V83)</f>
        <v>-20557</v>
      </c>
      <c r="W84" s="13">
        <f t="shared" ref="W84" si="143">SUM(W76:W83)</f>
        <v>-21156</v>
      </c>
      <c r="X84" s="13">
        <f t="shared" ref="X84" si="144">SUM(X76:X83)</f>
        <v>-17425</v>
      </c>
      <c r="Y84" s="13">
        <f t="shared" ref="Y84" si="145">SUM(Y76:Y83)</f>
        <v>-18513</v>
      </c>
      <c r="Z84" s="13">
        <f t="shared" ref="Z84" si="146">SUM(Z76:Z83)</f>
        <v>-19466</v>
      </c>
      <c r="AA84" s="13">
        <f t="shared" ref="AA84" si="147">SUM(AA76:AA83)</f>
        <v>-26389</v>
      </c>
      <c r="AB84" s="13">
        <f t="shared" ref="AB84" si="148">SUM(AB76:AB83)</f>
        <v>-29942.264880507664</v>
      </c>
      <c r="AC84" s="13">
        <f t="shared" ref="AC84:AV84" si="149">SUM(AC76:AC83)</f>
        <v>-27763.781902514416</v>
      </c>
      <c r="AD84" s="13">
        <f t="shared" si="149"/>
        <v>-16029.755965919201</v>
      </c>
      <c r="AE84" s="13">
        <f t="shared" si="149"/>
        <v>-18198.078778672247</v>
      </c>
      <c r="AF84" s="13">
        <f t="shared" si="149"/>
        <v>-13821.286661281245</v>
      </c>
      <c r="AG84" s="13">
        <f t="shared" si="149"/>
        <v>-12835.582895389294</v>
      </c>
      <c r="AH84" s="13">
        <f t="shared" si="149"/>
        <v>-14271.956741479013</v>
      </c>
      <c r="AI84" s="13">
        <f t="shared" si="149"/>
        <v>-16504.511895192634</v>
      </c>
      <c r="AJ84" s="13">
        <f t="shared" si="149"/>
        <v>-15457.814901687983</v>
      </c>
      <c r="AK84" s="13">
        <f t="shared" si="149"/>
        <v>-14331.872477882498</v>
      </c>
      <c r="AL84" s="13">
        <f t="shared" si="149"/>
        <v>-15962.160292106479</v>
      </c>
      <c r="AM84" s="13">
        <f t="shared" si="149"/>
        <v>-18316.653185626041</v>
      </c>
      <c r="AN84" s="13">
        <f t="shared" si="149"/>
        <v>-37320.868445815002</v>
      </c>
      <c r="AO84" s="13">
        <f t="shared" si="149"/>
        <v>-34207.819116101957</v>
      </c>
      <c r="AP84" s="13">
        <f t="shared" si="149"/>
        <v>-17898.895198500435</v>
      </c>
      <c r="AQ84" s="13">
        <f t="shared" si="149"/>
        <v>-20412.098681984422</v>
      </c>
      <c r="AR84" s="13">
        <f t="shared" si="149"/>
        <v>-19649.696750259456</v>
      </c>
      <c r="AS84" s="13">
        <f t="shared" si="149"/>
        <v>-18109.638005998746</v>
      </c>
      <c r="AT84" s="13">
        <f t="shared" si="149"/>
        <v>-20164.872634390933</v>
      </c>
      <c r="AU84" s="13">
        <f t="shared" si="149"/>
        <v>-22849.58290457648</v>
      </c>
      <c r="AV84" s="13">
        <f t="shared" si="149"/>
        <v>-22291.411088859739</v>
      </c>
    </row>
    <row r="86" spans="2:48">
      <c r="B86" s="1" t="s">
        <v>170</v>
      </c>
    </row>
    <row r="87" spans="2:48">
      <c r="B87" s="5" t="s">
        <v>171</v>
      </c>
      <c r="C87" s="9" t="s">
        <v>118</v>
      </c>
      <c r="G87" s="14">
        <v>-247</v>
      </c>
      <c r="H87" s="14">
        <v>-22</v>
      </c>
      <c r="I87" s="14">
        <v>-36</v>
      </c>
      <c r="J87" s="14">
        <v>192</v>
      </c>
      <c r="K87" s="14">
        <v>-200</v>
      </c>
      <c r="L87" s="14">
        <v>-8</v>
      </c>
      <c r="M87" s="14">
        <v>3077</v>
      </c>
      <c r="N87" s="14">
        <v>1678</v>
      </c>
      <c r="O87" s="14">
        <v>-4002</v>
      </c>
      <c r="P87" s="14">
        <v>-1354</v>
      </c>
      <c r="Q87" s="14">
        <v>8306</v>
      </c>
      <c r="R87" s="14">
        <v>-248</v>
      </c>
      <c r="S87" s="14">
        <v>-9011</v>
      </c>
      <c r="T87" s="14">
        <v>404</v>
      </c>
      <c r="U87" s="14">
        <v>22913</v>
      </c>
      <c r="V87" s="14">
        <v>23745</v>
      </c>
      <c r="W87" s="14">
        <v>-29881</v>
      </c>
      <c r="X87" s="14">
        <v>1934</v>
      </c>
      <c r="Y87" s="14">
        <v>-5930</v>
      </c>
      <c r="Z87" s="14">
        <v>583</v>
      </c>
      <c r="AA87" s="14">
        <v>13177</v>
      </c>
      <c r="AB87" s="14">
        <f t="shared" ref="AB87:AV87" si="150">AVERAGE(H87,L87,P87,T87,X87)</f>
        <v>190.8</v>
      </c>
      <c r="AC87" s="14">
        <f t="shared" si="150"/>
        <v>5666</v>
      </c>
      <c r="AD87" s="14">
        <f t="shared" si="150"/>
        <v>5190</v>
      </c>
      <c r="AE87" s="14">
        <f t="shared" si="150"/>
        <v>-5983.4</v>
      </c>
      <c r="AF87" s="14">
        <f t="shared" si="150"/>
        <v>233.35999999999999</v>
      </c>
      <c r="AG87" s="14">
        <f t="shared" si="150"/>
        <v>6806.4</v>
      </c>
      <c r="AH87" s="14">
        <f t="shared" si="150"/>
        <v>6189.6</v>
      </c>
      <c r="AI87" s="14">
        <f t="shared" si="150"/>
        <v>-7140.08</v>
      </c>
      <c r="AJ87" s="14">
        <f t="shared" si="150"/>
        <v>281.63199999999995</v>
      </c>
      <c r="AK87" s="14">
        <f t="shared" si="150"/>
        <v>7552.2800000000007</v>
      </c>
      <c r="AL87" s="14">
        <f t="shared" si="150"/>
        <v>7091.92</v>
      </c>
      <c r="AM87" s="14">
        <f t="shared" si="150"/>
        <v>-7767.6960000000008</v>
      </c>
      <c r="AN87" s="14">
        <f t="shared" si="150"/>
        <v>608.75840000000005</v>
      </c>
      <c r="AO87" s="14">
        <f t="shared" si="150"/>
        <v>7401.5360000000001</v>
      </c>
      <c r="AP87" s="14">
        <f t="shared" si="150"/>
        <v>8559.9039999999986</v>
      </c>
      <c r="AQ87" s="14">
        <f t="shared" si="150"/>
        <v>-7519.0352000000012</v>
      </c>
      <c r="AR87" s="14">
        <f t="shared" si="150"/>
        <v>649.71008000000006</v>
      </c>
      <c r="AS87" s="14">
        <f t="shared" si="150"/>
        <v>4299.2431999999999</v>
      </c>
      <c r="AT87" s="14">
        <f t="shared" si="150"/>
        <v>5522.8847999999998</v>
      </c>
      <c r="AU87" s="14">
        <f t="shared" si="150"/>
        <v>-3046.6422400000001</v>
      </c>
      <c r="AV87" s="14">
        <f t="shared" si="150"/>
        <v>392.85209600000002</v>
      </c>
    </row>
    <row r="88" spans="2:48">
      <c r="B88" s="5" t="s">
        <v>172</v>
      </c>
      <c r="C88" s="9" t="s">
        <v>173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40000</v>
      </c>
      <c r="Z88" s="14">
        <v>-27000</v>
      </c>
      <c r="AA88" s="14">
        <v>15000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  <c r="AG88" s="14">
        <v>0</v>
      </c>
      <c r="AH88" s="14">
        <v>0</v>
      </c>
      <c r="AI88" s="14">
        <v>0</v>
      </c>
      <c r="AJ88" s="14">
        <v>0</v>
      </c>
      <c r="AK88" s="14">
        <v>0</v>
      </c>
      <c r="AL88" s="14">
        <v>0</v>
      </c>
      <c r="AM88" s="14">
        <v>0</v>
      </c>
      <c r="AN88" s="14">
        <v>0</v>
      </c>
      <c r="AO88" s="14">
        <v>0</v>
      </c>
      <c r="AP88" s="14">
        <v>0</v>
      </c>
      <c r="AQ88" s="14">
        <v>0</v>
      </c>
      <c r="AR88" s="14">
        <v>0</v>
      </c>
      <c r="AS88" s="14">
        <v>0</v>
      </c>
      <c r="AT88" s="14">
        <v>0</v>
      </c>
      <c r="AU88" s="14">
        <v>0</v>
      </c>
      <c r="AV88" s="14">
        <v>0</v>
      </c>
    </row>
    <row r="89" spans="2:48">
      <c r="B89" s="5" t="s">
        <v>174</v>
      </c>
      <c r="C89" s="9" t="s">
        <v>173</v>
      </c>
      <c r="G89" s="14">
        <v>2000</v>
      </c>
      <c r="H89" s="14">
        <v>131</v>
      </c>
      <c r="I89" s="14">
        <v>803</v>
      </c>
      <c r="J89" s="14">
        <v>0</v>
      </c>
      <c r="K89" s="14">
        <v>1111</v>
      </c>
      <c r="L89" s="14">
        <v>13</v>
      </c>
      <c r="M89" s="14">
        <v>0</v>
      </c>
      <c r="N89" s="14">
        <v>0</v>
      </c>
      <c r="O89" s="14">
        <v>0</v>
      </c>
      <c r="P89" s="14">
        <v>0</v>
      </c>
      <c r="Q89" s="14">
        <v>1018.9999999999999</v>
      </c>
      <c r="R89" s="14">
        <v>1065</v>
      </c>
      <c r="S89" s="14">
        <v>5252</v>
      </c>
      <c r="T89" s="14">
        <v>559</v>
      </c>
      <c r="U89" s="14">
        <v>0</v>
      </c>
      <c r="V89" s="14">
        <v>1925</v>
      </c>
      <c r="W89" s="14">
        <v>16399</v>
      </c>
      <c r="X89" s="14">
        <v>2164</v>
      </c>
      <c r="Y89" s="14">
        <v>1600</v>
      </c>
      <c r="Z89" s="14">
        <v>40000</v>
      </c>
      <c r="AA89" s="14">
        <v>2600</v>
      </c>
      <c r="AB89" s="14">
        <v>0</v>
      </c>
      <c r="AC89" s="14">
        <v>0</v>
      </c>
      <c r="AD89" s="14">
        <v>0</v>
      </c>
      <c r="AE89" s="14">
        <v>0</v>
      </c>
      <c r="AF89" s="14">
        <v>0</v>
      </c>
      <c r="AG89" s="14">
        <v>0</v>
      </c>
      <c r="AH89" s="14">
        <v>0</v>
      </c>
      <c r="AI89" s="14">
        <v>0</v>
      </c>
      <c r="AJ89" s="14">
        <v>0</v>
      </c>
      <c r="AK89" s="14">
        <v>0</v>
      </c>
      <c r="AL89" s="14">
        <v>0</v>
      </c>
      <c r="AM89" s="14">
        <v>0</v>
      </c>
      <c r="AN89" s="14">
        <v>0</v>
      </c>
      <c r="AO89" s="14">
        <v>0</v>
      </c>
      <c r="AP89" s="14">
        <v>0</v>
      </c>
      <c r="AQ89" s="14">
        <v>0</v>
      </c>
      <c r="AR89" s="14">
        <v>0</v>
      </c>
      <c r="AS89" s="14">
        <v>0</v>
      </c>
      <c r="AT89" s="14">
        <v>0</v>
      </c>
      <c r="AU89" s="14">
        <v>0</v>
      </c>
      <c r="AV89" s="14">
        <v>0</v>
      </c>
    </row>
    <row r="90" spans="2:48">
      <c r="B90" s="5" t="s">
        <v>175</v>
      </c>
      <c r="C90" s="9" t="s">
        <v>176</v>
      </c>
      <c r="G90" s="14">
        <v>-805</v>
      </c>
      <c r="H90" s="14">
        <v>-857</v>
      </c>
      <c r="I90" s="14">
        <v>-608</v>
      </c>
      <c r="J90" s="14">
        <v>-559</v>
      </c>
      <c r="K90" s="14">
        <v>-530</v>
      </c>
      <c r="L90" s="14">
        <v>-3739</v>
      </c>
      <c r="M90" s="14">
        <v>-650</v>
      </c>
      <c r="N90" s="14">
        <v>-3648</v>
      </c>
      <c r="O90" s="14">
        <v>-634</v>
      </c>
      <c r="P90" s="14">
        <v>-3743</v>
      </c>
      <c r="Q90" s="14">
        <v>-646</v>
      </c>
      <c r="R90" s="14">
        <v>-4659</v>
      </c>
      <c r="S90" s="14">
        <v>-639</v>
      </c>
      <c r="T90" s="14">
        <v>-3776</v>
      </c>
      <c r="U90" s="14">
        <v>-559</v>
      </c>
      <c r="V90" s="14">
        <v>-3573</v>
      </c>
      <c r="W90" s="14">
        <v>-555</v>
      </c>
      <c r="X90" s="14">
        <v>-3383</v>
      </c>
      <c r="Y90" s="14">
        <v>-460</v>
      </c>
      <c r="Z90" s="14">
        <v>-3664</v>
      </c>
      <c r="AA90" s="14">
        <v>-5151</v>
      </c>
      <c r="AB90" s="14">
        <v>0</v>
      </c>
      <c r="AC90" s="14">
        <v>0</v>
      </c>
      <c r="AD90" s="14">
        <v>0</v>
      </c>
      <c r="AE90" s="14">
        <v>0</v>
      </c>
      <c r="AF90" s="14">
        <v>0</v>
      </c>
      <c r="AG90" s="14">
        <v>0</v>
      </c>
      <c r="AH90" s="14">
        <v>0</v>
      </c>
      <c r="AI90" s="14">
        <v>0</v>
      </c>
      <c r="AJ90" s="14">
        <v>0</v>
      </c>
      <c r="AK90" s="14">
        <v>0</v>
      </c>
      <c r="AL90" s="14">
        <v>0</v>
      </c>
      <c r="AM90" s="14">
        <v>0</v>
      </c>
      <c r="AN90" s="14">
        <v>0</v>
      </c>
      <c r="AO90" s="14">
        <v>0</v>
      </c>
      <c r="AP90" s="14">
        <v>0</v>
      </c>
      <c r="AQ90" s="14">
        <v>0</v>
      </c>
      <c r="AR90" s="14">
        <v>0</v>
      </c>
      <c r="AS90" s="14">
        <v>0</v>
      </c>
      <c r="AT90" s="14">
        <v>0</v>
      </c>
      <c r="AU90" s="14">
        <v>0</v>
      </c>
      <c r="AV90" s="14">
        <v>0</v>
      </c>
    </row>
    <row r="91" spans="2:48">
      <c r="B91" s="5" t="s">
        <v>177</v>
      </c>
      <c r="C91" s="9" t="s">
        <v>178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49829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0</v>
      </c>
      <c r="AG91" s="14">
        <v>0</v>
      </c>
      <c r="AH91" s="14">
        <v>0</v>
      </c>
      <c r="AI91" s="14">
        <v>0</v>
      </c>
      <c r="AJ91" s="14">
        <v>0</v>
      </c>
      <c r="AK91" s="14">
        <v>0</v>
      </c>
      <c r="AL91" s="14">
        <v>0</v>
      </c>
      <c r="AM91" s="14">
        <v>0</v>
      </c>
      <c r="AN91" s="14">
        <v>0</v>
      </c>
      <c r="AO91" s="14">
        <v>0</v>
      </c>
      <c r="AP91" s="14">
        <v>0</v>
      </c>
      <c r="AQ91" s="14">
        <v>0</v>
      </c>
      <c r="AR91" s="14">
        <v>0</v>
      </c>
      <c r="AS91" s="14">
        <v>0</v>
      </c>
      <c r="AT91" s="14">
        <v>0</v>
      </c>
      <c r="AU91" s="14">
        <v>0</v>
      </c>
      <c r="AV91" s="14">
        <v>0</v>
      </c>
    </row>
    <row r="92" spans="2:48">
      <c r="B92" s="5" t="s">
        <v>179</v>
      </c>
      <c r="C92" s="9" t="s">
        <v>180</v>
      </c>
      <c r="G92" s="14">
        <v>0</v>
      </c>
      <c r="H92" s="14">
        <v>-5119</v>
      </c>
      <c r="I92" s="14">
        <v>0</v>
      </c>
      <c r="J92" s="14">
        <v>0</v>
      </c>
      <c r="K92" s="14">
        <v>0</v>
      </c>
      <c r="L92" s="14">
        <v>-5507</v>
      </c>
      <c r="M92" s="14">
        <v>0</v>
      </c>
      <c r="N92" s="14">
        <v>0</v>
      </c>
      <c r="O92" s="14">
        <v>0</v>
      </c>
      <c r="P92" s="14">
        <v>-5479</v>
      </c>
      <c r="Q92" s="14">
        <v>0</v>
      </c>
      <c r="R92" s="14">
        <v>0</v>
      </c>
      <c r="S92" s="14">
        <v>0</v>
      </c>
      <c r="T92" s="14">
        <v>-5467</v>
      </c>
      <c r="U92" s="14">
        <v>0</v>
      </c>
      <c r="V92" s="14">
        <v>0</v>
      </c>
      <c r="W92" s="14">
        <v>0</v>
      </c>
      <c r="X92" s="14">
        <v>-5312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  <c r="AE92" s="14">
        <v>0</v>
      </c>
      <c r="AF92" s="14">
        <v>0</v>
      </c>
      <c r="AG92" s="14">
        <v>0</v>
      </c>
      <c r="AH92" s="14">
        <v>0</v>
      </c>
      <c r="AI92" s="14">
        <v>0</v>
      </c>
      <c r="AJ92" s="14">
        <v>0</v>
      </c>
      <c r="AK92" s="14">
        <v>0</v>
      </c>
      <c r="AL92" s="14">
        <v>0</v>
      </c>
      <c r="AM92" s="14">
        <v>0</v>
      </c>
      <c r="AN92" s="14">
        <v>0</v>
      </c>
      <c r="AO92" s="14">
        <v>0</v>
      </c>
      <c r="AP92" s="14">
        <v>0</v>
      </c>
      <c r="AQ92" s="14">
        <v>0</v>
      </c>
      <c r="AR92" s="14">
        <v>0</v>
      </c>
      <c r="AS92" s="14">
        <v>0</v>
      </c>
      <c r="AT92" s="14">
        <v>0</v>
      </c>
      <c r="AU92" s="14">
        <v>0</v>
      </c>
      <c r="AV92" s="14">
        <v>0</v>
      </c>
    </row>
    <row r="93" spans="2:48">
      <c r="B93" s="5" t="s">
        <v>181</v>
      </c>
      <c r="C93" s="9" t="s">
        <v>182</v>
      </c>
      <c r="G93" s="14">
        <v>-1</v>
      </c>
      <c r="H93" s="14">
        <v>-1</v>
      </c>
      <c r="I93" s="14">
        <v>-5245</v>
      </c>
      <c r="J93" s="14">
        <v>-4046.9999999999995</v>
      </c>
      <c r="K93" s="14">
        <v>-2735</v>
      </c>
      <c r="L93" s="14">
        <v>-2637</v>
      </c>
      <c r="M93" s="14">
        <v>-6295</v>
      </c>
      <c r="N93" s="14">
        <v>-3512</v>
      </c>
      <c r="O93" s="14">
        <v>-2</v>
      </c>
      <c r="P93" s="14">
        <v>-3</v>
      </c>
      <c r="Q93" s="14">
        <v>0</v>
      </c>
      <c r="R93" s="14">
        <v>-4</v>
      </c>
      <c r="S93" s="14">
        <v>-4</v>
      </c>
      <c r="T93" s="14">
        <v>-3</v>
      </c>
      <c r="U93" s="14">
        <v>-11998</v>
      </c>
      <c r="V93" s="14">
        <v>-8453</v>
      </c>
      <c r="W93" s="14">
        <v>-11268</v>
      </c>
      <c r="X93" s="14">
        <v>-8763</v>
      </c>
      <c r="Y93" s="14">
        <v>-9045</v>
      </c>
      <c r="Z93" s="14">
        <v>-11427</v>
      </c>
      <c r="AA93" s="14">
        <v>-1</v>
      </c>
      <c r="AB93" s="14">
        <v>0</v>
      </c>
      <c r="AC93" s="14">
        <v>0</v>
      </c>
      <c r="AD93" s="14">
        <v>0</v>
      </c>
      <c r="AE93" s="14">
        <v>0</v>
      </c>
      <c r="AF93" s="14">
        <v>0</v>
      </c>
      <c r="AG93" s="14">
        <v>0</v>
      </c>
      <c r="AH93" s="14">
        <v>0</v>
      </c>
      <c r="AI93" s="14">
        <v>0</v>
      </c>
      <c r="AJ93" s="14">
        <v>0</v>
      </c>
      <c r="AK93" s="14">
        <v>0</v>
      </c>
      <c r="AL93" s="14">
        <v>0</v>
      </c>
      <c r="AM93" s="14">
        <v>0</v>
      </c>
      <c r="AN93" s="14">
        <v>0</v>
      </c>
      <c r="AO93" s="14">
        <v>0</v>
      </c>
      <c r="AP93" s="14">
        <v>0</v>
      </c>
      <c r="AQ93" s="14">
        <v>0</v>
      </c>
      <c r="AR93" s="14">
        <v>0</v>
      </c>
      <c r="AS93" s="14">
        <v>0</v>
      </c>
      <c r="AT93" s="14">
        <v>0</v>
      </c>
      <c r="AU93" s="14">
        <v>0</v>
      </c>
      <c r="AV93" s="14">
        <v>0</v>
      </c>
    </row>
    <row r="94" spans="2:48">
      <c r="B94" s="5" t="s">
        <v>183</v>
      </c>
      <c r="C94" s="9" t="s">
        <v>142</v>
      </c>
      <c r="G94" s="14">
        <v>-5729</v>
      </c>
      <c r="H94" s="14">
        <v>0</v>
      </c>
      <c r="I94" s="14">
        <v>-6771</v>
      </c>
      <c r="J94" s="14">
        <v>0</v>
      </c>
      <c r="K94" s="14">
        <v>-7213</v>
      </c>
      <c r="L94" s="14">
        <v>0</v>
      </c>
      <c r="M94" s="14">
        <v>-6146</v>
      </c>
      <c r="N94" s="14">
        <v>0</v>
      </c>
      <c r="O94" s="14">
        <v>-6590</v>
      </c>
      <c r="P94" s="14">
        <v>0</v>
      </c>
      <c r="Q94" s="14">
        <v>-7600</v>
      </c>
      <c r="R94" s="14">
        <v>0</v>
      </c>
      <c r="S94" s="14">
        <v>-8109</v>
      </c>
      <c r="T94" s="14">
        <v>0</v>
      </c>
      <c r="U94" s="14">
        <v>-12163</v>
      </c>
      <c r="V94" s="14">
        <v>0</v>
      </c>
      <c r="W94" s="14">
        <v>-10470</v>
      </c>
      <c r="X94" s="14">
        <v>0</v>
      </c>
      <c r="Y94" s="14">
        <v>-10284</v>
      </c>
      <c r="Z94" s="14">
        <v>0</v>
      </c>
      <c r="AA94" s="14">
        <v>-10047</v>
      </c>
      <c r="AB94" s="14">
        <v>0</v>
      </c>
      <c r="AC94" s="14">
        <v>0</v>
      </c>
      <c r="AD94" s="14">
        <v>0</v>
      </c>
      <c r="AE94" s="14">
        <v>0</v>
      </c>
      <c r="AF94" s="14">
        <v>0</v>
      </c>
      <c r="AG94" s="14">
        <v>0</v>
      </c>
      <c r="AH94" s="14">
        <v>0</v>
      </c>
      <c r="AI94" s="14">
        <v>0</v>
      </c>
      <c r="AJ94" s="14">
        <v>0</v>
      </c>
      <c r="AK94" s="14">
        <v>0</v>
      </c>
      <c r="AL94" s="14">
        <v>0</v>
      </c>
      <c r="AM94" s="14">
        <v>0</v>
      </c>
      <c r="AN94" s="14">
        <v>0</v>
      </c>
      <c r="AO94" s="14">
        <v>0</v>
      </c>
      <c r="AP94" s="14">
        <v>0</v>
      </c>
      <c r="AQ94" s="14">
        <v>0</v>
      </c>
      <c r="AR94" s="14">
        <v>0</v>
      </c>
      <c r="AS94" s="14">
        <v>0</v>
      </c>
      <c r="AT94" s="14">
        <v>0</v>
      </c>
      <c r="AU94" s="14">
        <v>0</v>
      </c>
      <c r="AV94" s="14">
        <v>0</v>
      </c>
    </row>
    <row r="95" spans="2:48">
      <c r="B95" s="5" t="s">
        <v>184</v>
      </c>
      <c r="C95" s="9" t="s">
        <v>142</v>
      </c>
      <c r="G95" s="14">
        <v>-11</v>
      </c>
      <c r="H95" s="14">
        <v>-276</v>
      </c>
      <c r="I95" s="14">
        <v>-3487</v>
      </c>
      <c r="J95" s="14">
        <v>-210</v>
      </c>
      <c r="K95" s="14">
        <v>-9</v>
      </c>
      <c r="L95" s="14">
        <v>-386</v>
      </c>
      <c r="M95" s="14">
        <v>-1572</v>
      </c>
      <c r="N95" s="14">
        <v>-872</v>
      </c>
      <c r="O95" s="14">
        <v>-37</v>
      </c>
      <c r="P95" s="14">
        <v>0</v>
      </c>
      <c r="Q95" s="14">
        <v>-1095</v>
      </c>
      <c r="R95" s="14">
        <v>0</v>
      </c>
      <c r="S95" s="14">
        <v>0</v>
      </c>
      <c r="T95" s="14">
        <v>0</v>
      </c>
      <c r="U95" s="14">
        <v>-1416</v>
      </c>
      <c r="V95" s="14">
        <v>0</v>
      </c>
      <c r="W95" s="14">
        <v>0</v>
      </c>
      <c r="X95" s="14">
        <v>0</v>
      </c>
      <c r="Y95" s="14">
        <v>-1330</v>
      </c>
      <c r="Z95" s="14">
        <v>0</v>
      </c>
      <c r="AA95" s="14">
        <v>0</v>
      </c>
      <c r="AB95" s="14">
        <v>0</v>
      </c>
      <c r="AC95" s="14">
        <v>0</v>
      </c>
      <c r="AD95" s="14">
        <v>0</v>
      </c>
      <c r="AE95" s="14">
        <v>0</v>
      </c>
      <c r="AF95" s="14">
        <v>0</v>
      </c>
      <c r="AG95" s="14">
        <v>0</v>
      </c>
      <c r="AH95" s="14">
        <v>0</v>
      </c>
      <c r="AI95" s="14">
        <v>0</v>
      </c>
      <c r="AJ95" s="14">
        <v>0</v>
      </c>
      <c r="AK95" s="14">
        <v>0</v>
      </c>
      <c r="AL95" s="14">
        <v>0</v>
      </c>
      <c r="AM95" s="14">
        <v>0</v>
      </c>
      <c r="AN95" s="14">
        <v>0</v>
      </c>
      <c r="AO95" s="14">
        <v>0</v>
      </c>
      <c r="AP95" s="14">
        <v>0</v>
      </c>
      <c r="AQ95" s="14">
        <v>0</v>
      </c>
      <c r="AR95" s="14">
        <v>0</v>
      </c>
      <c r="AS95" s="14">
        <v>0</v>
      </c>
      <c r="AT95" s="14">
        <v>0</v>
      </c>
      <c r="AU95" s="14">
        <v>0</v>
      </c>
      <c r="AV95" s="14">
        <v>0</v>
      </c>
    </row>
    <row r="96" spans="2:48">
      <c r="B96" s="5" t="s">
        <v>185</v>
      </c>
      <c r="C96" s="9" t="s">
        <v>186</v>
      </c>
      <c r="G96" s="14">
        <v>0</v>
      </c>
      <c r="H96" s="14">
        <v>0</v>
      </c>
      <c r="I96" s="14">
        <v>0</v>
      </c>
      <c r="J96" s="14">
        <v>0</v>
      </c>
      <c r="K96" s="14">
        <v>178</v>
      </c>
      <c r="L96" s="14">
        <v>0</v>
      </c>
      <c r="M96" s="14">
        <v>0</v>
      </c>
      <c r="N96" s="14">
        <v>0</v>
      </c>
      <c r="O96" s="14">
        <v>354</v>
      </c>
      <c r="P96" s="14">
        <v>0</v>
      </c>
      <c r="Q96" s="14">
        <v>0</v>
      </c>
      <c r="R96" s="14">
        <v>0</v>
      </c>
      <c r="S96" s="14">
        <v>0</v>
      </c>
      <c r="T96" s="14">
        <v>0</v>
      </c>
      <c r="U96" s="14">
        <v>0</v>
      </c>
      <c r="V96" s="14">
        <v>0</v>
      </c>
      <c r="W96" s="14">
        <v>0</v>
      </c>
      <c r="X96" s="14">
        <v>0</v>
      </c>
      <c r="Y96" s="14">
        <v>0</v>
      </c>
      <c r="Z96" s="14">
        <v>0</v>
      </c>
      <c r="AA96" s="14">
        <v>0</v>
      </c>
      <c r="AB96" s="14">
        <v>0</v>
      </c>
      <c r="AC96" s="14">
        <v>0</v>
      </c>
      <c r="AD96" s="14">
        <v>0</v>
      </c>
      <c r="AE96" s="14">
        <v>0</v>
      </c>
      <c r="AF96" s="14">
        <v>0</v>
      </c>
      <c r="AG96" s="14">
        <v>0</v>
      </c>
      <c r="AH96" s="14">
        <v>0</v>
      </c>
      <c r="AI96" s="14">
        <v>0</v>
      </c>
      <c r="AJ96" s="14">
        <v>0</v>
      </c>
      <c r="AK96" s="14">
        <v>0</v>
      </c>
      <c r="AL96" s="14">
        <v>0</v>
      </c>
      <c r="AM96" s="14">
        <v>0</v>
      </c>
      <c r="AN96" s="14">
        <v>0</v>
      </c>
      <c r="AO96" s="14">
        <v>0</v>
      </c>
      <c r="AP96" s="14">
        <v>0</v>
      </c>
      <c r="AQ96" s="14">
        <v>0</v>
      </c>
      <c r="AR96" s="14">
        <v>0</v>
      </c>
      <c r="AS96" s="14">
        <v>0</v>
      </c>
      <c r="AT96" s="14">
        <v>0</v>
      </c>
      <c r="AU96" s="14">
        <v>0</v>
      </c>
      <c r="AV96" s="14">
        <v>0</v>
      </c>
    </row>
    <row r="97" spans="1:48">
      <c r="B97" s="5" t="s">
        <v>148</v>
      </c>
      <c r="C97" s="9" t="s">
        <v>187</v>
      </c>
      <c r="G97" s="14">
        <v>-948</v>
      </c>
      <c r="H97" s="14">
        <v>3696</v>
      </c>
      <c r="I97" s="14">
        <v>-1310</v>
      </c>
      <c r="J97" s="14">
        <v>-2950</v>
      </c>
      <c r="K97" s="14">
        <v>-2059</v>
      </c>
      <c r="L97" s="14">
        <v>3502</v>
      </c>
      <c r="M97" s="14">
        <v>-2641</v>
      </c>
      <c r="N97" s="14">
        <v>-1346</v>
      </c>
      <c r="O97" s="14">
        <v>-8370</v>
      </c>
      <c r="P97" s="14">
        <v>4114</v>
      </c>
      <c r="Q97" s="14">
        <v>-1347</v>
      </c>
      <c r="R97" s="14">
        <v>-1956</v>
      </c>
      <c r="S97" s="14">
        <v>-1365</v>
      </c>
      <c r="T97" s="14">
        <v>3004</v>
      </c>
      <c r="U97" s="14">
        <v>-1446</v>
      </c>
      <c r="V97" s="14">
        <v>-1227</v>
      </c>
      <c r="W97" s="14">
        <v>-10942</v>
      </c>
      <c r="X97" s="14">
        <v>1909</v>
      </c>
      <c r="Y97" s="14">
        <v>-999</v>
      </c>
      <c r="Z97" s="14">
        <v>-1328</v>
      </c>
      <c r="AA97" s="14">
        <v>-1363</v>
      </c>
      <c r="AB97" s="14">
        <v>-3530.6522632720898</v>
      </c>
      <c r="AC97" s="14">
        <v>-3689.68474130391</v>
      </c>
      <c r="AD97" s="14">
        <v>-1489.3889624124899</v>
      </c>
      <c r="AE97" s="14">
        <v>-2758.15906602633</v>
      </c>
      <c r="AF97" s="14">
        <v>-3630.4723788117999</v>
      </c>
      <c r="AG97" s="14">
        <v>-3999.21776148654</v>
      </c>
      <c r="AH97" s="14">
        <v>-1749.5920863829101</v>
      </c>
      <c r="AI97" s="14">
        <v>-2922.39281751099</v>
      </c>
      <c r="AJ97" s="14">
        <v>-3379.5250267302599</v>
      </c>
      <c r="AK97" s="14">
        <v>-4308.05564609868</v>
      </c>
      <c r="AL97" s="14">
        <v>-2004.46197389299</v>
      </c>
      <c r="AM97" s="14">
        <v>-4005.99291447108</v>
      </c>
      <c r="AN97" s="14">
        <v>-3685.7795459046001</v>
      </c>
      <c r="AO97" s="14">
        <v>-4558.6617276307697</v>
      </c>
      <c r="AP97" s="14">
        <v>-1889.9512355551101</v>
      </c>
      <c r="AQ97" s="14">
        <v>-4900.6250651062001</v>
      </c>
      <c r="AR97" s="14">
        <v>-3542.3826351508001</v>
      </c>
      <c r="AS97" s="14">
        <v>-4809.6135137928604</v>
      </c>
      <c r="AT97" s="14">
        <v>-3243.76900144713</v>
      </c>
      <c r="AU97" s="14">
        <v>-5039.7987662269697</v>
      </c>
      <c r="AV97" s="14">
        <v>-4719.7824084269796</v>
      </c>
    </row>
    <row r="98" spans="1:48">
      <c r="B98" s="12" t="s">
        <v>188</v>
      </c>
      <c r="C98" s="22"/>
      <c r="D98" s="12"/>
      <c r="E98" s="12"/>
      <c r="F98" s="12"/>
      <c r="G98" s="13">
        <f t="shared" ref="G98:Y98" si="151">SUM(G87:G97)</f>
        <v>-5741</v>
      </c>
      <c r="H98" s="13">
        <f t="shared" si="151"/>
        <v>-2448</v>
      </c>
      <c r="I98" s="13">
        <f t="shared" si="151"/>
        <v>-16654</v>
      </c>
      <c r="J98" s="13">
        <f t="shared" si="151"/>
        <v>-7574</v>
      </c>
      <c r="K98" s="13">
        <f t="shared" si="151"/>
        <v>-11457</v>
      </c>
      <c r="L98" s="13">
        <f t="shared" si="151"/>
        <v>-8762</v>
      </c>
      <c r="M98" s="13">
        <f t="shared" si="151"/>
        <v>-14227</v>
      </c>
      <c r="N98" s="13">
        <f t="shared" si="151"/>
        <v>-7700</v>
      </c>
      <c r="O98" s="13">
        <f t="shared" si="151"/>
        <v>-19281</v>
      </c>
      <c r="P98" s="13">
        <f t="shared" si="151"/>
        <v>-6465</v>
      </c>
      <c r="Q98" s="13">
        <f t="shared" si="151"/>
        <v>-1363</v>
      </c>
      <c r="R98" s="13">
        <f t="shared" si="151"/>
        <v>-5802</v>
      </c>
      <c r="S98" s="13">
        <f t="shared" si="151"/>
        <v>-13876</v>
      </c>
      <c r="T98" s="13">
        <f t="shared" si="151"/>
        <v>-5279</v>
      </c>
      <c r="U98" s="13">
        <f t="shared" si="151"/>
        <v>-4669</v>
      </c>
      <c r="V98" s="13">
        <f t="shared" si="151"/>
        <v>12417</v>
      </c>
      <c r="W98" s="13">
        <f t="shared" si="151"/>
        <v>3112</v>
      </c>
      <c r="X98" s="13">
        <f t="shared" si="151"/>
        <v>-11451</v>
      </c>
      <c r="Y98" s="13">
        <f t="shared" si="151"/>
        <v>13552</v>
      </c>
      <c r="Z98" s="13">
        <f t="shared" ref="Z98:AB98" si="152">SUM(Z87:Z97)</f>
        <v>-2836</v>
      </c>
      <c r="AA98" s="13">
        <f t="shared" si="152"/>
        <v>14215</v>
      </c>
      <c r="AB98" s="13">
        <f t="shared" si="152"/>
        <v>-3339.8522632720897</v>
      </c>
      <c r="AC98" s="13">
        <f t="shared" ref="AC98:AV98" si="153">SUM(AC87:AC97)</f>
        <v>1976.31525869609</v>
      </c>
      <c r="AD98" s="13">
        <f t="shared" si="153"/>
        <v>3700.6110375875101</v>
      </c>
      <c r="AE98" s="13">
        <f t="shared" si="153"/>
        <v>-8741.5590660263297</v>
      </c>
      <c r="AF98" s="13">
        <f t="shared" si="153"/>
        <v>-3397.1123788117998</v>
      </c>
      <c r="AG98" s="13">
        <f t="shared" si="153"/>
        <v>2807.1822385134597</v>
      </c>
      <c r="AH98" s="13">
        <f t="shared" si="153"/>
        <v>4440.0079136170898</v>
      </c>
      <c r="AI98" s="13">
        <f t="shared" si="153"/>
        <v>-10062.47281751099</v>
      </c>
      <c r="AJ98" s="13">
        <f t="shared" si="153"/>
        <v>-3097.8930267302599</v>
      </c>
      <c r="AK98" s="13">
        <f t="shared" si="153"/>
        <v>3244.2243539013207</v>
      </c>
      <c r="AL98" s="13">
        <f t="shared" si="153"/>
        <v>5087.4580261070096</v>
      </c>
      <c r="AM98" s="13">
        <f t="shared" si="153"/>
        <v>-11773.68891447108</v>
      </c>
      <c r="AN98" s="13">
        <f t="shared" si="153"/>
        <v>-3077.0211459046</v>
      </c>
      <c r="AO98" s="13">
        <f t="shared" si="153"/>
        <v>2842.8742723692303</v>
      </c>
      <c r="AP98" s="13">
        <f t="shared" si="153"/>
        <v>6669.9527644448881</v>
      </c>
      <c r="AQ98" s="13">
        <f t="shared" si="153"/>
        <v>-12419.660265106202</v>
      </c>
      <c r="AR98" s="13">
        <f t="shared" si="153"/>
        <v>-2892.6725551507998</v>
      </c>
      <c r="AS98" s="13">
        <f t="shared" si="153"/>
        <v>-510.37031379286054</v>
      </c>
      <c r="AT98" s="13">
        <f t="shared" si="153"/>
        <v>2279.1157985528698</v>
      </c>
      <c r="AU98" s="13">
        <f t="shared" si="153"/>
        <v>-8086.4410062269699</v>
      </c>
      <c r="AV98" s="13">
        <f t="shared" si="153"/>
        <v>-4326.93031242698</v>
      </c>
    </row>
    <row r="100" spans="1:48">
      <c r="B100" t="s">
        <v>189</v>
      </c>
      <c r="C100" s="9" t="s">
        <v>118</v>
      </c>
      <c r="G100" s="14">
        <v>1405</v>
      </c>
      <c r="H100" s="14">
        <v>1885</v>
      </c>
      <c r="I100" s="14">
        <v>924</v>
      </c>
      <c r="J100" s="14">
        <v>123</v>
      </c>
      <c r="K100" s="14">
        <v>1370</v>
      </c>
      <c r="L100" s="14">
        <v>4275</v>
      </c>
      <c r="M100" s="14">
        <v>2016</v>
      </c>
      <c r="N100" s="14">
        <v>-163</v>
      </c>
      <c r="O100" s="14">
        <v>-3185</v>
      </c>
      <c r="P100" s="14">
        <v>1638</v>
      </c>
      <c r="Q100" s="14">
        <v>1964</v>
      </c>
      <c r="R100" s="14">
        <v>1691</v>
      </c>
      <c r="S100" s="14">
        <v>-1884</v>
      </c>
      <c r="T100" s="14">
        <v>1612</v>
      </c>
      <c r="U100" s="14">
        <v>1147</v>
      </c>
      <c r="V100" s="14">
        <v>-4798</v>
      </c>
      <c r="W100" s="14">
        <v>2205</v>
      </c>
      <c r="X100" s="14">
        <v>-1935</v>
      </c>
      <c r="Y100" s="14">
        <v>921</v>
      </c>
      <c r="Z100" s="14">
        <v>1698</v>
      </c>
      <c r="AA100" s="14">
        <v>1927</v>
      </c>
      <c r="AB100" s="14">
        <f t="shared" ref="AB100:AV100" si="154">AVERAGE(H100,L100,P100,T100,X100)</f>
        <v>1495</v>
      </c>
      <c r="AC100" s="14">
        <f t="shared" si="154"/>
        <v>1394.4</v>
      </c>
      <c r="AD100" s="14">
        <f t="shared" si="154"/>
        <v>-289.8</v>
      </c>
      <c r="AE100" s="14">
        <f t="shared" si="154"/>
        <v>86.6</v>
      </c>
      <c r="AF100" s="14">
        <f t="shared" si="154"/>
        <v>1417</v>
      </c>
      <c r="AG100" s="14">
        <f t="shared" si="154"/>
        <v>1488.48</v>
      </c>
      <c r="AH100" s="14">
        <f t="shared" si="154"/>
        <v>-372.36</v>
      </c>
      <c r="AI100" s="14">
        <f t="shared" si="154"/>
        <v>-170.07999999999998</v>
      </c>
      <c r="AJ100" s="14">
        <f t="shared" si="154"/>
        <v>845.4</v>
      </c>
      <c r="AK100" s="14">
        <f t="shared" si="154"/>
        <v>1382.9759999999999</v>
      </c>
      <c r="AL100" s="14">
        <f t="shared" si="154"/>
        <v>-414.23199999999997</v>
      </c>
      <c r="AM100" s="14">
        <f t="shared" si="154"/>
        <v>432.904</v>
      </c>
      <c r="AN100" s="14">
        <f t="shared" si="154"/>
        <v>686.88</v>
      </c>
      <c r="AO100" s="14">
        <f t="shared" si="154"/>
        <v>1266.7711999999999</v>
      </c>
      <c r="AP100" s="14">
        <f t="shared" si="154"/>
        <v>-835.27839999999992</v>
      </c>
      <c r="AQ100" s="14">
        <f t="shared" si="154"/>
        <v>896.28480000000013</v>
      </c>
      <c r="AR100" s="14">
        <f t="shared" si="154"/>
        <v>501.85600000000005</v>
      </c>
      <c r="AS100" s="14">
        <f t="shared" si="154"/>
        <v>1290.7254399999999</v>
      </c>
      <c r="AT100" s="14">
        <f t="shared" si="154"/>
        <v>-42.734079999999949</v>
      </c>
      <c r="AU100" s="14">
        <f t="shared" si="154"/>
        <v>634.54176000000007</v>
      </c>
      <c r="AV100" s="14">
        <f t="shared" si="154"/>
        <v>989.22719999999993</v>
      </c>
    </row>
    <row r="101" spans="1:48">
      <c r="B101" s="12" t="s">
        <v>190</v>
      </c>
      <c r="C101" s="22"/>
      <c r="D101" s="12"/>
      <c r="E101" s="12"/>
      <c r="F101" s="12"/>
      <c r="G101" s="13">
        <f t="shared" ref="G101:X101" si="155">SUM(G73,G84,G98,G100)</f>
        <v>9619</v>
      </c>
      <c r="H101" s="13">
        <f t="shared" si="155"/>
        <v>21497</v>
      </c>
      <c r="I101" s="13">
        <f t="shared" si="155"/>
        <v>-7799</v>
      </c>
      <c r="J101" s="13">
        <f t="shared" si="155"/>
        <v>3662</v>
      </c>
      <c r="K101" s="13">
        <f t="shared" si="155"/>
        <v>8460</v>
      </c>
      <c r="L101" s="13">
        <f t="shared" si="155"/>
        <v>7382</v>
      </c>
      <c r="M101" s="13">
        <f t="shared" si="155"/>
        <v>-13649</v>
      </c>
      <c r="N101" s="13">
        <f t="shared" si="155"/>
        <v>-4463</v>
      </c>
      <c r="O101" s="13">
        <f t="shared" si="155"/>
        <v>-5011</v>
      </c>
      <c r="P101" s="13">
        <f t="shared" si="155"/>
        <v>8495</v>
      </c>
      <c r="Q101" s="13">
        <f t="shared" si="155"/>
        <v>-6704</v>
      </c>
      <c r="R101" s="13">
        <f t="shared" si="155"/>
        <v>18446</v>
      </c>
      <c r="S101" s="13">
        <f t="shared" si="155"/>
        <v>-4407</v>
      </c>
      <c r="T101" s="13">
        <f t="shared" si="155"/>
        <v>1925</v>
      </c>
      <c r="U101" s="13">
        <f t="shared" si="155"/>
        <v>-19414</v>
      </c>
      <c r="V101" s="13">
        <f t="shared" si="155"/>
        <v>-641</v>
      </c>
      <c r="W101" s="13">
        <f t="shared" si="155"/>
        <v>9324</v>
      </c>
      <c r="X101" s="13">
        <f t="shared" si="155"/>
        <v>-12897</v>
      </c>
      <c r="Y101" s="13">
        <f>SUM(Y73,Y84,Y98,Y100)</f>
        <v>9202</v>
      </c>
      <c r="Z101" s="13">
        <f t="shared" ref="Z101:AB101" si="156">SUM(Z73,Z84,Z98,Z100)</f>
        <v>807</v>
      </c>
      <c r="AA101" s="13">
        <f t="shared" si="156"/>
        <v>10665</v>
      </c>
      <c r="AB101" s="13">
        <f t="shared" si="156"/>
        <v>14856.321364958021</v>
      </c>
      <c r="AC101" s="13">
        <f t="shared" ref="AC101:AV101" si="157">SUM(AC73,AC84,AC98,AC100)</f>
        <v>7485.4650409802616</v>
      </c>
      <c r="AD101" s="13">
        <f t="shared" si="157"/>
        <v>7152.0514378532125</v>
      </c>
      <c r="AE101" s="13">
        <f t="shared" si="157"/>
        <v>97.719075673392211</v>
      </c>
      <c r="AF101" s="13">
        <f t="shared" si="157"/>
        <v>22379.915472899556</v>
      </c>
      <c r="AG101" s="13">
        <f t="shared" si="157"/>
        <v>32018.869544948979</v>
      </c>
      <c r="AH101" s="13">
        <f t="shared" si="157"/>
        <v>15842.194125339405</v>
      </c>
      <c r="AI101" s="13">
        <f t="shared" si="157"/>
        <v>6967.8469601458528</v>
      </c>
      <c r="AJ101" s="13">
        <f t="shared" si="157"/>
        <v>29040.172257359318</v>
      </c>
      <c r="AK101" s="13">
        <f t="shared" si="157"/>
        <v>38090.846205141766</v>
      </c>
      <c r="AL101" s="13">
        <f t="shared" si="157"/>
        <v>20357.916298465087</v>
      </c>
      <c r="AM101" s="13">
        <f t="shared" si="157"/>
        <v>10535.703385819184</v>
      </c>
      <c r="AN101" s="13">
        <f t="shared" si="157"/>
        <v>14017.623713537983</v>
      </c>
      <c r="AO101" s="13">
        <f t="shared" si="157"/>
        <v>25324.758705333537</v>
      </c>
      <c r="AP101" s="13">
        <f t="shared" si="157"/>
        <v>24914.312062877489</v>
      </c>
      <c r="AQ101" s="13">
        <f t="shared" si="157"/>
        <v>14778.201585839151</v>
      </c>
      <c r="AR101" s="13">
        <f t="shared" si="157"/>
        <v>39395.265311548377</v>
      </c>
      <c r="AS101" s="13">
        <f t="shared" si="157"/>
        <v>46979.374646096025</v>
      </c>
      <c r="AT101" s="13">
        <f t="shared" si="157"/>
        <v>24863.02902289886</v>
      </c>
      <c r="AU101" s="13">
        <f t="shared" si="157"/>
        <v>23478.631514425957</v>
      </c>
      <c r="AV101" s="13">
        <f t="shared" si="157"/>
        <v>44489.772338019749</v>
      </c>
    </row>
    <row r="103" spans="1:48">
      <c r="B103" t="s">
        <v>191</v>
      </c>
      <c r="G103" s="14">
        <v>59173</v>
      </c>
      <c r="H103" s="14">
        <f>G104</f>
        <v>68792</v>
      </c>
      <c r="I103" s="14">
        <f t="shared" ref="I103:T103" si="158">H104</f>
        <v>90289</v>
      </c>
      <c r="J103" s="14">
        <f t="shared" si="158"/>
        <v>82490</v>
      </c>
      <c r="K103" s="14">
        <f t="shared" si="158"/>
        <v>86152</v>
      </c>
      <c r="L103" s="14">
        <f t="shared" si="158"/>
        <v>94612</v>
      </c>
      <c r="M103" s="14">
        <f t="shared" si="158"/>
        <v>101994</v>
      </c>
      <c r="N103" s="14">
        <f t="shared" si="158"/>
        <v>88345</v>
      </c>
      <c r="O103" s="14">
        <f t="shared" si="158"/>
        <v>83882</v>
      </c>
      <c r="P103" s="14">
        <f t="shared" si="158"/>
        <v>78871</v>
      </c>
      <c r="Q103" s="14">
        <f t="shared" si="158"/>
        <v>87366</v>
      </c>
      <c r="R103" s="14">
        <f t="shared" si="158"/>
        <v>80662</v>
      </c>
      <c r="S103" s="14">
        <f t="shared" si="158"/>
        <v>99108</v>
      </c>
      <c r="T103" s="14">
        <f t="shared" si="158"/>
        <v>94701</v>
      </c>
      <c r="U103" s="14">
        <v>96659</v>
      </c>
      <c r="V103" s="14">
        <f>U104</f>
        <v>77245</v>
      </c>
      <c r="W103" s="14">
        <f t="shared" ref="W103:X103" si="159">V104</f>
        <v>76604</v>
      </c>
      <c r="X103" s="14">
        <f t="shared" si="159"/>
        <v>85928</v>
      </c>
      <c r="Y103" s="14">
        <v>73036</v>
      </c>
      <c r="Z103" s="14">
        <f>Y104</f>
        <v>82238</v>
      </c>
      <c r="AA103" s="14">
        <f t="shared" ref="AA103:AB103" si="160">Z104</f>
        <v>83045</v>
      </c>
      <c r="AB103" s="14">
        <f t="shared" si="160"/>
        <v>93710</v>
      </c>
      <c r="AC103" s="14">
        <f t="shared" ref="AC103:AV103" si="161">AB104</f>
        <v>108566.32136495801</v>
      </c>
      <c r="AD103" s="14">
        <f t="shared" si="161"/>
        <v>116051.78640593827</v>
      </c>
      <c r="AE103" s="14">
        <f t="shared" si="161"/>
        <v>123203.83784379148</v>
      </c>
      <c r="AF103" s="14">
        <f t="shared" si="161"/>
        <v>123301.55691946487</v>
      </c>
      <c r="AG103" s="14">
        <f t="shared" si="161"/>
        <v>145681.47239236443</v>
      </c>
      <c r="AH103" s="14">
        <f t="shared" si="161"/>
        <v>177700.34193731341</v>
      </c>
      <c r="AI103" s="14">
        <f t="shared" si="161"/>
        <v>193542.53606265283</v>
      </c>
      <c r="AJ103" s="14">
        <f t="shared" si="161"/>
        <v>200510.38302279869</v>
      </c>
      <c r="AK103" s="14">
        <f t="shared" si="161"/>
        <v>229550.55528015801</v>
      </c>
      <c r="AL103" s="14">
        <f t="shared" si="161"/>
        <v>267641.40148529975</v>
      </c>
      <c r="AM103" s="14">
        <f t="shared" si="161"/>
        <v>287999.31778376485</v>
      </c>
      <c r="AN103" s="14">
        <f t="shared" si="161"/>
        <v>298535.02116958401</v>
      </c>
      <c r="AO103" s="14">
        <f t="shared" si="161"/>
        <v>312552.644883122</v>
      </c>
      <c r="AP103" s="14">
        <f t="shared" si="161"/>
        <v>337877.40358845552</v>
      </c>
      <c r="AQ103" s="14">
        <f t="shared" si="161"/>
        <v>362791.71565133298</v>
      </c>
      <c r="AR103" s="14">
        <f t="shared" si="161"/>
        <v>377569.91723717214</v>
      </c>
      <c r="AS103" s="14">
        <f t="shared" si="161"/>
        <v>416965.18254872051</v>
      </c>
      <c r="AT103" s="14">
        <f t="shared" si="161"/>
        <v>463944.55719481653</v>
      </c>
      <c r="AU103" s="14">
        <f t="shared" si="161"/>
        <v>488807.5862177154</v>
      </c>
      <c r="AV103" s="14">
        <f t="shared" si="161"/>
        <v>512286.21773214138</v>
      </c>
    </row>
    <row r="104" spans="1:48">
      <c r="B104" s="106" t="s">
        <v>192</v>
      </c>
      <c r="C104" s="107"/>
      <c r="D104" s="106"/>
      <c r="E104" s="106"/>
      <c r="F104" s="106"/>
      <c r="G104" s="108">
        <f>SUM(G101,G103)</f>
        <v>68792</v>
      </c>
      <c r="H104" s="108">
        <f>SUM(H101,H103)</f>
        <v>90289</v>
      </c>
      <c r="I104" s="108">
        <f t="shared" ref="I104:T104" si="162">SUM(I101,I103)</f>
        <v>82490</v>
      </c>
      <c r="J104" s="108">
        <f t="shared" si="162"/>
        <v>86152</v>
      </c>
      <c r="K104" s="108">
        <f t="shared" si="162"/>
        <v>94612</v>
      </c>
      <c r="L104" s="108">
        <f t="shared" si="162"/>
        <v>101994</v>
      </c>
      <c r="M104" s="108">
        <f t="shared" si="162"/>
        <v>88345</v>
      </c>
      <c r="N104" s="108">
        <f t="shared" si="162"/>
        <v>83882</v>
      </c>
      <c r="O104" s="108">
        <f t="shared" si="162"/>
        <v>78871</v>
      </c>
      <c r="P104" s="108">
        <f t="shared" si="162"/>
        <v>87366</v>
      </c>
      <c r="Q104" s="108">
        <f t="shared" si="162"/>
        <v>80662</v>
      </c>
      <c r="R104" s="108">
        <f t="shared" si="162"/>
        <v>99108</v>
      </c>
      <c r="S104" s="108">
        <f t="shared" si="162"/>
        <v>94701</v>
      </c>
      <c r="T104" s="108">
        <f t="shared" si="162"/>
        <v>96626</v>
      </c>
      <c r="U104" s="108">
        <f>SUM(U101,U103)</f>
        <v>77245</v>
      </c>
      <c r="V104" s="108">
        <f>SUM(V101,V103)</f>
        <v>76604</v>
      </c>
      <c r="W104" s="108">
        <f t="shared" ref="W104:X104" si="163">SUM(W101,W103)</f>
        <v>85928</v>
      </c>
      <c r="X104" s="108">
        <f t="shared" si="163"/>
        <v>73031</v>
      </c>
      <c r="Y104" s="108">
        <f>SUM(Y101,Y103)</f>
        <v>82238</v>
      </c>
      <c r="Z104" s="108">
        <f>SUM(Z101,Z103)</f>
        <v>83045</v>
      </c>
      <c r="AA104" s="108">
        <f t="shared" ref="AA104:AB104" si="164">SUM(AA101,AA103)</f>
        <v>93710</v>
      </c>
      <c r="AB104" s="108">
        <f t="shared" si="164"/>
        <v>108566.32136495801</v>
      </c>
      <c r="AC104" s="108">
        <f t="shared" ref="AC104:AV104" si="165">SUM(AC101,AC103)</f>
        <v>116051.78640593827</v>
      </c>
      <c r="AD104" s="108">
        <f t="shared" si="165"/>
        <v>123203.83784379148</v>
      </c>
      <c r="AE104" s="108">
        <f t="shared" si="165"/>
        <v>123301.55691946487</v>
      </c>
      <c r="AF104" s="108">
        <f t="shared" si="165"/>
        <v>145681.47239236443</v>
      </c>
      <c r="AG104" s="108">
        <f t="shared" si="165"/>
        <v>177700.34193731341</v>
      </c>
      <c r="AH104" s="108">
        <f t="shared" si="165"/>
        <v>193542.53606265283</v>
      </c>
      <c r="AI104" s="108">
        <f t="shared" si="165"/>
        <v>200510.38302279869</v>
      </c>
      <c r="AJ104" s="108">
        <f t="shared" si="165"/>
        <v>229550.55528015801</v>
      </c>
      <c r="AK104" s="108">
        <f t="shared" si="165"/>
        <v>267641.40148529975</v>
      </c>
      <c r="AL104" s="108">
        <f t="shared" si="165"/>
        <v>287999.31778376485</v>
      </c>
      <c r="AM104" s="108">
        <f t="shared" si="165"/>
        <v>298535.02116958401</v>
      </c>
      <c r="AN104" s="108">
        <f t="shared" si="165"/>
        <v>312552.644883122</v>
      </c>
      <c r="AO104" s="108">
        <f t="shared" si="165"/>
        <v>337877.40358845552</v>
      </c>
      <c r="AP104" s="108">
        <f t="shared" si="165"/>
        <v>362791.71565133298</v>
      </c>
      <c r="AQ104" s="108">
        <f t="shared" si="165"/>
        <v>377569.91723717214</v>
      </c>
      <c r="AR104" s="108">
        <f t="shared" si="165"/>
        <v>416965.18254872051</v>
      </c>
      <c r="AS104" s="108">
        <f t="shared" si="165"/>
        <v>463944.55719481653</v>
      </c>
      <c r="AT104" s="108">
        <f t="shared" si="165"/>
        <v>488807.5862177154</v>
      </c>
      <c r="AU104" s="108">
        <f t="shared" si="165"/>
        <v>512286.21773214138</v>
      </c>
      <c r="AV104" s="108">
        <f t="shared" si="165"/>
        <v>556775.99007016118</v>
      </c>
    </row>
    <row r="108" spans="1:48" s="3" customFormat="1">
      <c r="A108" s="4" t="s">
        <v>11</v>
      </c>
      <c r="B108" s="3" t="s">
        <v>193</v>
      </c>
      <c r="C108" s="21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</row>
    <row r="110" spans="1:48">
      <c r="B110" s="1" t="s">
        <v>194</v>
      </c>
    </row>
    <row r="111" spans="1:48">
      <c r="B111" t="s">
        <v>195</v>
      </c>
    </row>
    <row r="112" spans="1:48">
      <c r="B112" s="5" t="s">
        <v>196</v>
      </c>
      <c r="C112" s="9" t="s">
        <v>197</v>
      </c>
      <c r="G112" s="14">
        <f t="shared" ref="G112:X112" si="166">G104</f>
        <v>68792</v>
      </c>
      <c r="H112" s="14">
        <f t="shared" si="166"/>
        <v>90289</v>
      </c>
      <c r="I112" s="14">
        <f t="shared" si="166"/>
        <v>82490</v>
      </c>
      <c r="J112" s="14">
        <f t="shared" si="166"/>
        <v>86152</v>
      </c>
      <c r="K112" s="14">
        <f t="shared" si="166"/>
        <v>94612</v>
      </c>
      <c r="L112" s="14">
        <f t="shared" si="166"/>
        <v>101994</v>
      </c>
      <c r="M112" s="14">
        <f t="shared" si="166"/>
        <v>88345</v>
      </c>
      <c r="N112" s="14">
        <f t="shared" si="166"/>
        <v>83882</v>
      </c>
      <c r="O112" s="14">
        <f t="shared" si="166"/>
        <v>78871</v>
      </c>
      <c r="P112" s="14">
        <f t="shared" si="166"/>
        <v>87366</v>
      </c>
      <c r="Q112" s="14">
        <f t="shared" si="166"/>
        <v>80662</v>
      </c>
      <c r="R112" s="14">
        <f t="shared" si="166"/>
        <v>99108</v>
      </c>
      <c r="S112" s="14">
        <f t="shared" si="166"/>
        <v>94701</v>
      </c>
      <c r="T112" s="14">
        <f t="shared" si="166"/>
        <v>96626</v>
      </c>
      <c r="U112" s="14">
        <f t="shared" si="166"/>
        <v>77245</v>
      </c>
      <c r="V112" s="14">
        <f t="shared" si="166"/>
        <v>76604</v>
      </c>
      <c r="W112" s="14">
        <f t="shared" si="166"/>
        <v>85928</v>
      </c>
      <c r="X112" s="14">
        <f t="shared" si="166"/>
        <v>73031</v>
      </c>
      <c r="Y112" s="14">
        <f>Y104</f>
        <v>82238</v>
      </c>
      <c r="Z112" s="14">
        <f t="shared" ref="Z112:AB112" si="167">Z104</f>
        <v>83045</v>
      </c>
      <c r="AA112" s="14">
        <f t="shared" si="167"/>
        <v>93710</v>
      </c>
      <c r="AB112" s="14">
        <f t="shared" si="167"/>
        <v>108566.32136495801</v>
      </c>
      <c r="AC112" s="14">
        <f t="shared" ref="AC112:AV112" si="168">AC104</f>
        <v>116051.78640593827</v>
      </c>
      <c r="AD112" s="14">
        <f t="shared" si="168"/>
        <v>123203.83784379148</v>
      </c>
      <c r="AE112" s="14">
        <f t="shared" si="168"/>
        <v>123301.55691946487</v>
      </c>
      <c r="AF112" s="14">
        <f t="shared" si="168"/>
        <v>145681.47239236443</v>
      </c>
      <c r="AG112" s="14">
        <f t="shared" si="168"/>
        <v>177700.34193731341</v>
      </c>
      <c r="AH112" s="14">
        <f t="shared" si="168"/>
        <v>193542.53606265283</v>
      </c>
      <c r="AI112" s="14">
        <f t="shared" si="168"/>
        <v>200510.38302279869</v>
      </c>
      <c r="AJ112" s="14">
        <f t="shared" si="168"/>
        <v>229550.55528015801</v>
      </c>
      <c r="AK112" s="14">
        <f t="shared" si="168"/>
        <v>267641.40148529975</v>
      </c>
      <c r="AL112" s="14">
        <f t="shared" si="168"/>
        <v>287999.31778376485</v>
      </c>
      <c r="AM112" s="14">
        <f t="shared" si="168"/>
        <v>298535.02116958401</v>
      </c>
      <c r="AN112" s="14">
        <f t="shared" si="168"/>
        <v>312552.644883122</v>
      </c>
      <c r="AO112" s="14">
        <f t="shared" si="168"/>
        <v>337877.40358845552</v>
      </c>
      <c r="AP112" s="14">
        <f t="shared" si="168"/>
        <v>362791.71565133298</v>
      </c>
      <c r="AQ112" s="14">
        <f t="shared" si="168"/>
        <v>377569.91723717214</v>
      </c>
      <c r="AR112" s="14">
        <f t="shared" si="168"/>
        <v>416965.18254872051</v>
      </c>
      <c r="AS112" s="14">
        <f t="shared" si="168"/>
        <v>463944.55719481653</v>
      </c>
      <c r="AT112" s="14">
        <f t="shared" si="168"/>
        <v>488807.5862177154</v>
      </c>
      <c r="AU112" s="14">
        <f t="shared" si="168"/>
        <v>512286.21773214138</v>
      </c>
      <c r="AV112" s="14">
        <f t="shared" si="168"/>
        <v>556775.99007016118</v>
      </c>
    </row>
    <row r="113" spans="2:48">
      <c r="B113" s="5" t="s">
        <v>33</v>
      </c>
      <c r="C113" s="9" t="s">
        <v>145</v>
      </c>
      <c r="G113" s="14">
        <v>91511</v>
      </c>
      <c r="H113" s="14">
        <v>84837</v>
      </c>
      <c r="I113" s="14">
        <v>76286</v>
      </c>
      <c r="J113" s="14">
        <v>83738</v>
      </c>
      <c r="K113" s="14">
        <v>93222</v>
      </c>
      <c r="L113" s="14">
        <v>89600</v>
      </c>
      <c r="M113" s="14">
        <v>82290</v>
      </c>
      <c r="N113" s="14">
        <v>99864</v>
      </c>
      <c r="O113" s="14">
        <v>113040</v>
      </c>
      <c r="P113" s="14">
        <v>101483</v>
      </c>
      <c r="Q113" s="14">
        <v>94722</v>
      </c>
      <c r="R113" s="14">
        <v>109021</v>
      </c>
      <c r="S113" s="14">
        <v>120651</v>
      </c>
      <c r="T113" s="14">
        <v>116407</v>
      </c>
      <c r="U113" s="14">
        <v>107252</v>
      </c>
      <c r="V113" s="14">
        <v>105775</v>
      </c>
      <c r="W113" s="14">
        <v>125298</v>
      </c>
      <c r="X113" s="14">
        <v>115072</v>
      </c>
      <c r="Y113" s="14">
        <v>103765</v>
      </c>
      <c r="Z113" s="14">
        <v>118174</v>
      </c>
      <c r="AA113" s="14">
        <v>135291</v>
      </c>
      <c r="AB113" s="14">
        <f>Drivers!M141</f>
        <v>138494.39544905938</v>
      </c>
      <c r="AC113" s="14">
        <f>Drivers!N141</f>
        <v>117850.13296372053</v>
      </c>
      <c r="AD113" s="14">
        <f>Drivers!O141</f>
        <v>121070.31071873456</v>
      </c>
      <c r="AE113" s="14">
        <f>Drivers!P141</f>
        <v>137751.27614073266</v>
      </c>
      <c r="AF113" s="14">
        <f>Drivers!Q141</f>
        <v>154337.39582193841</v>
      </c>
      <c r="AG113" s="14">
        <f>Drivers!R141</f>
        <v>131300.88857047143</v>
      </c>
      <c r="AH113" s="14">
        <f>Drivers!S141</f>
        <v>134960.46765872362</v>
      </c>
      <c r="AI113" s="14">
        <f>Drivers!T141</f>
        <v>153453.93482880015</v>
      </c>
      <c r="AJ113" s="14">
        <f>Drivers!U141</f>
        <v>170645.76483889431</v>
      </c>
      <c r="AK113" s="14">
        <f>Drivers!V141</f>
        <v>146754.06640526679</v>
      </c>
      <c r="AL113" s="14">
        <f>Drivers!W141</f>
        <v>150945.20944361502</v>
      </c>
      <c r="AM113" s="14">
        <f>Drivers!X141</f>
        <v>171478.53493663526</v>
      </c>
      <c r="AN113" s="14">
        <f>Drivers!Y141</f>
        <v>193620.42727196799</v>
      </c>
      <c r="AO113" s="14">
        <f>Drivers!Z141</f>
        <v>164640.50483505064</v>
      </c>
      <c r="AP113" s="14">
        <f>Drivers!AA141</f>
        <v>169488.43453821068</v>
      </c>
      <c r="AQ113" s="14">
        <f>Drivers!AB141</f>
        <v>192323.87445227947</v>
      </c>
      <c r="AR113" s="14">
        <f>Drivers!AC141</f>
        <v>218249.53924974441</v>
      </c>
      <c r="AS113" s="14">
        <f>Drivers!AD141</f>
        <v>185526.31104269152</v>
      </c>
      <c r="AT113" s="14">
        <f>Drivers!AE141</f>
        <v>191204.63529814198</v>
      </c>
      <c r="AU113" s="14">
        <f>Drivers!AF141</f>
        <v>216646.47759193846</v>
      </c>
      <c r="AV113" s="14">
        <f>Drivers!AG141</f>
        <v>247336.10266722404</v>
      </c>
    </row>
    <row r="114" spans="2:48">
      <c r="B114" s="5" t="s">
        <v>34</v>
      </c>
      <c r="C114" s="9" t="s">
        <v>145</v>
      </c>
      <c r="G114" s="14">
        <v>38262</v>
      </c>
      <c r="H114" s="14">
        <v>40901</v>
      </c>
      <c r="I114" s="14">
        <v>44193</v>
      </c>
      <c r="J114" s="14">
        <v>43723</v>
      </c>
      <c r="K114" s="14">
        <v>45965</v>
      </c>
      <c r="L114" s="14">
        <v>47638</v>
      </c>
      <c r="M114" s="14">
        <v>57773</v>
      </c>
      <c r="N114" s="14">
        <v>59626</v>
      </c>
      <c r="O114" s="14">
        <v>57292</v>
      </c>
      <c r="P114" s="14">
        <v>57187</v>
      </c>
      <c r="Q114" s="14">
        <v>66079</v>
      </c>
      <c r="R114" s="14">
        <v>69344</v>
      </c>
      <c r="S114" s="14">
        <v>67438</v>
      </c>
      <c r="T114" s="14">
        <v>64060</v>
      </c>
      <c r="U114" s="14">
        <v>71625</v>
      </c>
      <c r="V114" s="14">
        <v>71173</v>
      </c>
      <c r="W114" s="14">
        <v>75789</v>
      </c>
      <c r="X114" s="14">
        <v>70536</v>
      </c>
      <c r="Y114" s="14">
        <v>74010</v>
      </c>
      <c r="Z114" s="14">
        <v>73824</v>
      </c>
      <c r="AA114" s="14">
        <v>76205</v>
      </c>
      <c r="AB114" s="14">
        <f>Drivers!M142</f>
        <v>68356.727480967907</v>
      </c>
      <c r="AC114" s="14">
        <f>Drivers!N142</f>
        <v>68383.829198218809</v>
      </c>
      <c r="AD114" s="14">
        <f>Drivers!O142</f>
        <v>73606.390200414593</v>
      </c>
      <c r="AE114" s="14">
        <f>Drivers!P142</f>
        <v>75642.334566961043</v>
      </c>
      <c r="AF114" s="14">
        <f>Drivers!Q142</f>
        <v>73267.281214294257</v>
      </c>
      <c r="AG114" s="14">
        <f>Drivers!R142</f>
        <v>73702.614574315245</v>
      </c>
      <c r="AH114" s="14">
        <f>Drivers!S142</f>
        <v>79272.937060737677</v>
      </c>
      <c r="AI114" s="14">
        <f>Drivers!T142</f>
        <v>81437.019754932815</v>
      </c>
      <c r="AJ114" s="14">
        <f>Drivers!U142</f>
        <v>79065.499227922992</v>
      </c>
      <c r="AK114" s="14">
        <f>Drivers!V142</f>
        <v>80797.476755401818</v>
      </c>
      <c r="AL114" s="14">
        <f>Drivers!W142</f>
        <v>86827.863856943877</v>
      </c>
      <c r="AM114" s="14">
        <f>Drivers!X142</f>
        <v>89104.435208428229</v>
      </c>
      <c r="AN114" s="14">
        <f>Drivers!Y142</f>
        <v>88452.209072105048</v>
      </c>
      <c r="AO114" s="14">
        <f>Drivers!Z142</f>
        <v>89703.532412075321</v>
      </c>
      <c r="AP114" s="14">
        <f>Drivers!AA142</f>
        <v>96356.318661553247</v>
      </c>
      <c r="AQ114" s="14">
        <f>Drivers!AB142</f>
        <v>98738.316492154379</v>
      </c>
      <c r="AR114" s="14">
        <f>Drivers!AC142</f>
        <v>98981.566903236293</v>
      </c>
      <c r="AS114" s="14">
        <f>Drivers!AD142</f>
        <v>100594.95253705734</v>
      </c>
      <c r="AT114" s="14">
        <f>Drivers!AE142</f>
        <v>108084.59110924712</v>
      </c>
      <c r="AU114" s="14">
        <f>Drivers!AF142</f>
        <v>110562.12848668369</v>
      </c>
      <c r="AV114" s="14">
        <f>Drivers!AG142</f>
        <v>111868.78283510813</v>
      </c>
    </row>
    <row r="115" spans="2:48">
      <c r="B115" s="5" t="s">
        <v>198</v>
      </c>
      <c r="C115" s="9" t="s">
        <v>142</v>
      </c>
      <c r="G115" s="14">
        <v>838</v>
      </c>
      <c r="H115" s="14">
        <v>1629</v>
      </c>
      <c r="I115" s="14">
        <v>1908</v>
      </c>
      <c r="J115" s="14">
        <v>791</v>
      </c>
      <c r="K115" s="14">
        <v>1092</v>
      </c>
      <c r="L115" s="14">
        <v>590</v>
      </c>
      <c r="M115" s="14">
        <v>593</v>
      </c>
      <c r="N115" s="14">
        <v>793</v>
      </c>
      <c r="O115" s="14">
        <v>1364</v>
      </c>
      <c r="P115" s="14">
        <v>2092</v>
      </c>
      <c r="Q115" s="14">
        <v>3520</v>
      </c>
      <c r="R115" s="14">
        <v>456</v>
      </c>
      <c r="S115" s="14">
        <v>999</v>
      </c>
      <c r="T115" s="14">
        <v>1137</v>
      </c>
      <c r="U115" s="14">
        <v>1756</v>
      </c>
      <c r="V115" s="14">
        <v>1129</v>
      </c>
      <c r="W115" s="14">
        <v>1382</v>
      </c>
      <c r="X115" s="14">
        <v>465</v>
      </c>
      <c r="Y115" s="14">
        <v>359</v>
      </c>
      <c r="Z115" s="14">
        <v>247</v>
      </c>
      <c r="AA115" s="14">
        <v>78</v>
      </c>
      <c r="AB115" s="185">
        <v>0</v>
      </c>
      <c r="AC115" s="14">
        <v>0</v>
      </c>
      <c r="AD115" s="14">
        <v>0</v>
      </c>
      <c r="AE115" s="14">
        <v>0</v>
      </c>
      <c r="AF115" s="14">
        <v>0</v>
      </c>
      <c r="AG115" s="14">
        <v>0</v>
      </c>
      <c r="AH115" s="14">
        <v>0</v>
      </c>
      <c r="AI115" s="14">
        <v>0</v>
      </c>
      <c r="AJ115" s="14">
        <v>0</v>
      </c>
      <c r="AK115" s="14">
        <v>0</v>
      </c>
      <c r="AL115" s="14">
        <v>0</v>
      </c>
      <c r="AM115" s="14">
        <v>0</v>
      </c>
      <c r="AN115" s="14">
        <v>0</v>
      </c>
      <c r="AO115" s="14">
        <v>0</v>
      </c>
      <c r="AP115" s="14">
        <v>0</v>
      </c>
      <c r="AQ115" s="14">
        <v>0</v>
      </c>
      <c r="AR115" s="14">
        <v>0</v>
      </c>
      <c r="AS115" s="14">
        <v>0</v>
      </c>
      <c r="AT115" s="14">
        <v>0</v>
      </c>
      <c r="AU115" s="14">
        <v>0</v>
      </c>
      <c r="AV115" s="14">
        <v>0</v>
      </c>
    </row>
    <row r="116" spans="2:48">
      <c r="B116" s="5" t="s">
        <v>199</v>
      </c>
      <c r="C116" s="9" t="s">
        <v>197</v>
      </c>
      <c r="G116" s="14">
        <v>12185</v>
      </c>
      <c r="H116" s="14">
        <v>6890</v>
      </c>
      <c r="I116" s="14">
        <v>7962</v>
      </c>
      <c r="J116" s="14">
        <v>8409</v>
      </c>
      <c r="K116" s="14">
        <v>9791</v>
      </c>
      <c r="L116" s="14">
        <v>10271</v>
      </c>
      <c r="M116" s="14">
        <v>10257</v>
      </c>
      <c r="N116" s="14">
        <v>10156</v>
      </c>
      <c r="O116" s="14">
        <v>10202</v>
      </c>
      <c r="P116" s="14">
        <v>10770</v>
      </c>
      <c r="Q116" s="14">
        <v>11969</v>
      </c>
      <c r="R116" s="14">
        <v>14301</v>
      </c>
      <c r="S116" s="14">
        <v>15194</v>
      </c>
      <c r="T116" s="14">
        <v>18752</v>
      </c>
      <c r="U116" s="14">
        <v>17920</v>
      </c>
      <c r="V116" s="14">
        <v>18013</v>
      </c>
      <c r="W116" s="14">
        <v>17760</v>
      </c>
      <c r="X116" s="14">
        <v>16259</v>
      </c>
      <c r="Y116" s="14">
        <v>13993</v>
      </c>
      <c r="Z116" s="14">
        <v>10620</v>
      </c>
      <c r="AA116" s="14">
        <v>13626</v>
      </c>
      <c r="AB116" s="14">
        <f t="shared" ref="AB116:AV116" si="169">AA116-AB81-AB82-AB76-AB77</f>
        <v>16512</v>
      </c>
      <c r="AC116" s="14">
        <f t="shared" si="169"/>
        <v>19775</v>
      </c>
      <c r="AD116" s="14">
        <f t="shared" si="169"/>
        <v>23043</v>
      </c>
      <c r="AE116" s="14">
        <f t="shared" si="169"/>
        <v>27341</v>
      </c>
      <c r="AF116" s="14">
        <f t="shared" si="169"/>
        <v>26954</v>
      </c>
      <c r="AG116" s="14">
        <f t="shared" si="169"/>
        <v>26944</v>
      </c>
      <c r="AH116" s="14">
        <f t="shared" si="169"/>
        <v>26939</v>
      </c>
      <c r="AI116" s="14">
        <f t="shared" si="169"/>
        <v>27964</v>
      </c>
      <c r="AJ116" s="14">
        <f t="shared" si="169"/>
        <v>27577</v>
      </c>
      <c r="AK116" s="14">
        <f t="shared" si="169"/>
        <v>27567</v>
      </c>
      <c r="AL116" s="14">
        <f t="shared" si="169"/>
        <v>27562</v>
      </c>
      <c r="AM116" s="14">
        <f t="shared" si="169"/>
        <v>28587</v>
      </c>
      <c r="AN116" s="14">
        <f t="shared" si="169"/>
        <v>28200</v>
      </c>
      <c r="AO116" s="14">
        <f t="shared" si="169"/>
        <v>28190</v>
      </c>
      <c r="AP116" s="14">
        <f t="shared" si="169"/>
        <v>28185</v>
      </c>
      <c r="AQ116" s="14">
        <f t="shared" si="169"/>
        <v>29210</v>
      </c>
      <c r="AR116" s="14">
        <f t="shared" si="169"/>
        <v>28823</v>
      </c>
      <c r="AS116" s="14">
        <f t="shared" si="169"/>
        <v>28813</v>
      </c>
      <c r="AT116" s="14">
        <f t="shared" si="169"/>
        <v>28808</v>
      </c>
      <c r="AU116" s="14">
        <f t="shared" si="169"/>
        <v>29833</v>
      </c>
      <c r="AV116" s="14">
        <f t="shared" si="169"/>
        <v>29446</v>
      </c>
    </row>
    <row r="117" spans="2:48">
      <c r="B117" s="5" t="s">
        <v>200</v>
      </c>
      <c r="C117" s="9" t="s">
        <v>201</v>
      </c>
      <c r="G117" s="14">
        <v>6833</v>
      </c>
      <c r="H117" s="14">
        <v>4563</v>
      </c>
      <c r="I117" s="14">
        <v>13660</v>
      </c>
      <c r="J117" s="14">
        <v>10530</v>
      </c>
      <c r="K117" s="14">
        <v>9322</v>
      </c>
      <c r="L117" s="14">
        <v>9520</v>
      </c>
      <c r="M117" s="14">
        <v>11662</v>
      </c>
      <c r="N117" s="14">
        <v>8543</v>
      </c>
      <c r="O117" s="14">
        <v>9743</v>
      </c>
      <c r="P117" s="14">
        <v>7240</v>
      </c>
      <c r="Q117" s="14">
        <v>10053</v>
      </c>
      <c r="R117" s="14">
        <v>14531</v>
      </c>
      <c r="S117" s="14">
        <v>14802</v>
      </c>
      <c r="T117" s="14">
        <v>7832</v>
      </c>
      <c r="U117" s="14">
        <v>11918</v>
      </c>
      <c r="V117" s="14">
        <v>11724</v>
      </c>
      <c r="W117" s="14">
        <v>13382</v>
      </c>
      <c r="X117" s="14">
        <v>12973</v>
      </c>
      <c r="Y117" s="14">
        <v>12892</v>
      </c>
      <c r="Z117" s="14">
        <v>13078</v>
      </c>
      <c r="AA117" s="14">
        <v>15449</v>
      </c>
      <c r="AB117" s="14">
        <f t="shared" ref="AB117:AV117" si="170">AA117+AB47</f>
        <v>19670.2</v>
      </c>
      <c r="AC117" s="14">
        <f t="shared" si="170"/>
        <v>28246.800000000003</v>
      </c>
      <c r="AD117" s="14">
        <f t="shared" si="170"/>
        <v>33356.200000000004</v>
      </c>
      <c r="AE117" s="14">
        <f t="shared" si="170"/>
        <v>32189.600000000006</v>
      </c>
      <c r="AF117" s="14">
        <f t="shared" si="170"/>
        <v>35054.840000000004</v>
      </c>
      <c r="AG117" s="14">
        <f t="shared" si="170"/>
        <v>44949.36</v>
      </c>
      <c r="AH117" s="14">
        <f t="shared" si="170"/>
        <v>50865.04</v>
      </c>
      <c r="AI117" s="14">
        <f t="shared" si="170"/>
        <v>49352.12</v>
      </c>
      <c r="AJ117" s="14">
        <f t="shared" si="170"/>
        <v>49505.208000000006</v>
      </c>
      <c r="AK117" s="14">
        <f t="shared" si="170"/>
        <v>58607.032000000007</v>
      </c>
      <c r="AL117" s="14">
        <f t="shared" si="170"/>
        <v>63309.248000000007</v>
      </c>
      <c r="AM117" s="14">
        <f t="shared" si="170"/>
        <v>63556.544000000009</v>
      </c>
      <c r="AN117" s="14">
        <f t="shared" si="170"/>
        <v>65260.049600000006</v>
      </c>
      <c r="AO117" s="14">
        <f t="shared" si="170"/>
        <v>72414.038400000005</v>
      </c>
      <c r="AP117" s="14">
        <f t="shared" si="170"/>
        <v>75883.497600000002</v>
      </c>
      <c r="AQ117" s="14">
        <f t="shared" si="170"/>
        <v>78664.452799999999</v>
      </c>
      <c r="AR117" s="14">
        <f t="shared" si="170"/>
        <v>78972.659520000001</v>
      </c>
      <c r="AS117" s="14">
        <f t="shared" si="170"/>
        <v>85859.646080000006</v>
      </c>
      <c r="AT117" s="14">
        <f t="shared" si="170"/>
        <v>92669.397120000009</v>
      </c>
      <c r="AU117" s="14">
        <f t="shared" si="170"/>
        <v>94665.743360000008</v>
      </c>
      <c r="AV117" s="14">
        <f t="shared" si="170"/>
        <v>96515.991424000007</v>
      </c>
    </row>
    <row r="118" spans="2:48">
      <c r="B118" s="16" t="s">
        <v>202</v>
      </c>
      <c r="C118" s="22"/>
      <c r="D118" s="12"/>
      <c r="E118" s="12"/>
      <c r="F118" s="12"/>
      <c r="G118" s="13">
        <f t="shared" ref="G118:X118" si="171">SUM(G112:G117)</f>
        <v>218421</v>
      </c>
      <c r="H118" s="13">
        <f t="shared" si="171"/>
        <v>229109</v>
      </c>
      <c r="I118" s="13">
        <f t="shared" si="171"/>
        <v>226499</v>
      </c>
      <c r="J118" s="13">
        <f t="shared" si="171"/>
        <v>233343</v>
      </c>
      <c r="K118" s="13">
        <f t="shared" si="171"/>
        <v>254004</v>
      </c>
      <c r="L118" s="13">
        <f t="shared" si="171"/>
        <v>259613</v>
      </c>
      <c r="M118" s="13">
        <f t="shared" si="171"/>
        <v>250920</v>
      </c>
      <c r="N118" s="13">
        <f t="shared" si="171"/>
        <v>262864</v>
      </c>
      <c r="O118" s="13">
        <f t="shared" si="171"/>
        <v>270512</v>
      </c>
      <c r="P118" s="13">
        <f t="shared" si="171"/>
        <v>266138</v>
      </c>
      <c r="Q118" s="13">
        <f t="shared" si="171"/>
        <v>267005</v>
      </c>
      <c r="R118" s="13">
        <f t="shared" si="171"/>
        <v>306761</v>
      </c>
      <c r="S118" s="13">
        <f t="shared" si="171"/>
        <v>313785</v>
      </c>
      <c r="T118" s="13">
        <f t="shared" si="171"/>
        <v>304814</v>
      </c>
      <c r="U118" s="13">
        <f t="shared" si="171"/>
        <v>287716</v>
      </c>
      <c r="V118" s="13">
        <f t="shared" si="171"/>
        <v>284418</v>
      </c>
      <c r="W118" s="13">
        <f t="shared" si="171"/>
        <v>319539</v>
      </c>
      <c r="X118" s="13">
        <f t="shared" si="171"/>
        <v>288336</v>
      </c>
      <c r="Y118" s="13">
        <f>SUM(Y112:Y117)</f>
        <v>287257</v>
      </c>
      <c r="Z118" s="13">
        <f t="shared" ref="Z118:AB118" si="172">SUM(Z112:Z117)</f>
        <v>298988</v>
      </c>
      <c r="AA118" s="13">
        <f t="shared" si="172"/>
        <v>334359</v>
      </c>
      <c r="AB118" s="13">
        <f t="shared" si="172"/>
        <v>351599.64429498528</v>
      </c>
      <c r="AC118" s="13">
        <f t="shared" ref="AC118:AV118" si="173">SUM(AC112:AC117)</f>
        <v>350307.54856787762</v>
      </c>
      <c r="AD118" s="13">
        <f t="shared" si="173"/>
        <v>374279.73876294063</v>
      </c>
      <c r="AE118" s="13">
        <f t="shared" si="173"/>
        <v>396225.76762715855</v>
      </c>
      <c r="AF118" s="13">
        <f t="shared" si="173"/>
        <v>435294.98942859709</v>
      </c>
      <c r="AG118" s="13">
        <f t="shared" si="173"/>
        <v>454597.20508210012</v>
      </c>
      <c r="AH118" s="13">
        <f t="shared" si="173"/>
        <v>485579.98078211409</v>
      </c>
      <c r="AI118" s="13">
        <f t="shared" si="173"/>
        <v>512717.45760653168</v>
      </c>
      <c r="AJ118" s="13">
        <f t="shared" si="173"/>
        <v>556344.02734697529</v>
      </c>
      <c r="AK118" s="13">
        <f t="shared" si="173"/>
        <v>581366.97664596839</v>
      </c>
      <c r="AL118" s="13">
        <f t="shared" si="173"/>
        <v>616643.63908432378</v>
      </c>
      <c r="AM118" s="13">
        <f t="shared" si="173"/>
        <v>651261.53531464748</v>
      </c>
      <c r="AN118" s="13">
        <f t="shared" si="173"/>
        <v>688085.33082719508</v>
      </c>
      <c r="AO118" s="13">
        <f t="shared" si="173"/>
        <v>692825.47923558147</v>
      </c>
      <c r="AP118" s="13">
        <f t="shared" si="173"/>
        <v>732704.96645109681</v>
      </c>
      <c r="AQ118" s="13">
        <f t="shared" si="173"/>
        <v>776506.5609816059</v>
      </c>
      <c r="AR118" s="13">
        <f t="shared" si="173"/>
        <v>841991.9482217012</v>
      </c>
      <c r="AS118" s="13">
        <f t="shared" si="173"/>
        <v>864738.46685456531</v>
      </c>
      <c r="AT118" s="13">
        <f t="shared" si="173"/>
        <v>909574.20974510454</v>
      </c>
      <c r="AU118" s="13">
        <f t="shared" si="173"/>
        <v>963993.5671707635</v>
      </c>
      <c r="AV118" s="13">
        <f t="shared" si="173"/>
        <v>1041942.8669964933</v>
      </c>
    </row>
    <row r="120" spans="2:48">
      <c r="B120" s="11" t="s">
        <v>203</v>
      </c>
    </row>
    <row r="121" spans="2:48">
      <c r="B121" s="5" t="s">
        <v>204</v>
      </c>
      <c r="C121" s="9" t="s">
        <v>87</v>
      </c>
      <c r="G121" s="14">
        <v>253880</v>
      </c>
      <c r="H121" s="14">
        <v>257135</v>
      </c>
      <c r="I121" s="14">
        <v>258662</v>
      </c>
      <c r="J121" s="14">
        <v>256618</v>
      </c>
      <c r="K121" s="14">
        <v>255692</v>
      </c>
      <c r="L121" s="14">
        <v>260506</v>
      </c>
      <c r="M121" s="14">
        <v>262824</v>
      </c>
      <c r="N121" s="14">
        <v>264140</v>
      </c>
      <c r="O121" s="14">
        <v>258241</v>
      </c>
      <c r="P121" s="14">
        <v>265839</v>
      </c>
      <c r="Q121" s="14">
        <v>283808</v>
      </c>
      <c r="R121" s="14">
        <v>286501</v>
      </c>
      <c r="S121" s="14">
        <v>286027</v>
      </c>
      <c r="T121" s="14">
        <v>315573</v>
      </c>
      <c r="U121" s="14">
        <v>328098</v>
      </c>
      <c r="V121" s="14">
        <v>325214</v>
      </c>
      <c r="W121" s="14">
        <v>343027</v>
      </c>
      <c r="X121" s="14">
        <v>351790</v>
      </c>
      <c r="Y121" s="14">
        <v>361049</v>
      </c>
      <c r="Z121" s="14">
        <v>393797</v>
      </c>
      <c r="AA121" s="14">
        <v>410981</v>
      </c>
      <c r="AB121" s="14">
        <f>AA121-Drivers!H169-Drivers!H170</f>
        <v>428296.79847741779</v>
      </c>
      <c r="AC121" s="14">
        <f>AB121-Drivers!I169-Drivers!I170</f>
        <v>444067.98176358896</v>
      </c>
      <c r="AD121" s="14">
        <f>AC121-Drivers!J169-Drivers!J170</f>
        <v>444935.32556253974</v>
      </c>
      <c r="AE121" s="14">
        <f>AD121-Drivers!K169-Drivers!K170</f>
        <v>445877.85442190542</v>
      </c>
      <c r="AF121" s="14">
        <f>AE121-Drivers!L169-Drivers!L170</f>
        <v>446834.92025045922</v>
      </c>
      <c r="AG121" s="14">
        <f>AF121-Drivers!M169-Drivers!M170</f>
        <v>447706.40980391187</v>
      </c>
      <c r="AH121" s="14">
        <f>AG121-Drivers!N169-Drivers!N170</f>
        <v>448673.26223893405</v>
      </c>
      <c r="AI121" s="14">
        <f>AH121-Drivers!O169-Drivers!O170</f>
        <v>449723.23263638868</v>
      </c>
      <c r="AJ121" s="14">
        <f>AI121-Drivers!P169-Drivers!P170</f>
        <v>450793.18647064839</v>
      </c>
      <c r="AK121" s="14">
        <f>AJ121-Drivers!Q169-Drivers!Q170</f>
        <v>451767.24412700802</v>
      </c>
      <c r="AL121" s="14">
        <f>AK121-Drivers!R169-Drivers!R170</f>
        <v>452848.61073633638</v>
      </c>
      <c r="AM121" s="14">
        <f>AL121-Drivers!S169-Drivers!S170</f>
        <v>454021.90997876524</v>
      </c>
      <c r="AN121" s="14">
        <f>AM121-Drivers!T169-Drivers!T170</f>
        <v>478230.05420642172</v>
      </c>
      <c r="AO121" s="14">
        <f>AN121-Drivers!U169-Drivers!U170</f>
        <v>500262.91503383109</v>
      </c>
      <c r="AP121" s="14">
        <f>AO121-Drivers!V169-Drivers!V170</f>
        <v>501477.12470933207</v>
      </c>
      <c r="AQ121" s="14">
        <f>AP121-Drivers!W169-Drivers!W170</f>
        <v>502793.05300484278</v>
      </c>
      <c r="AR121" s="14">
        <f>AQ121-Drivers!X169-Drivers!X170</f>
        <v>504146.4461666306</v>
      </c>
      <c r="AS121" s="14">
        <f>AR121-Drivers!Y169-Drivers!Y170</f>
        <v>505377.84866302373</v>
      </c>
      <c r="AT121" s="14">
        <f>AS121-Drivers!Z169-Drivers!Z170</f>
        <v>506747.63249996933</v>
      </c>
      <c r="AU121" s="14">
        <f>AT121-Drivers!AA169-Drivers!AA170</f>
        <v>508229.98216039437</v>
      </c>
      <c r="AV121" s="14">
        <f>AU121-Drivers!AB169-Drivers!AB170</f>
        <v>509763.74480275222</v>
      </c>
    </row>
    <row r="122" spans="2:48">
      <c r="B122" s="5" t="s">
        <v>205</v>
      </c>
      <c r="C122" s="9" t="s">
        <v>197</v>
      </c>
      <c r="G122" s="14">
        <v>12264</v>
      </c>
      <c r="H122" s="14">
        <v>12476</v>
      </c>
      <c r="I122" s="14">
        <v>12545</v>
      </c>
      <c r="J122" s="14">
        <v>12246</v>
      </c>
      <c r="K122" s="14">
        <v>12030</v>
      </c>
      <c r="L122" s="14">
        <v>12205</v>
      </c>
      <c r="M122" s="14">
        <v>12256</v>
      </c>
      <c r="N122" s="14">
        <v>12084</v>
      </c>
      <c r="O122" s="14">
        <v>11725</v>
      </c>
      <c r="P122" s="14">
        <v>11651</v>
      </c>
      <c r="Q122" s="14">
        <v>11535</v>
      </c>
      <c r="R122" s="14">
        <v>11478</v>
      </c>
      <c r="S122" s="14">
        <v>12086</v>
      </c>
      <c r="T122" s="14">
        <v>12207</v>
      </c>
      <c r="U122" s="14">
        <v>12234</v>
      </c>
      <c r="V122" s="14">
        <v>16167</v>
      </c>
      <c r="W122" s="14">
        <v>19165</v>
      </c>
      <c r="X122" s="14">
        <v>19245</v>
      </c>
      <c r="Y122" s="14">
        <v>19272</v>
      </c>
      <c r="Z122" s="14">
        <v>19656</v>
      </c>
      <c r="AA122" s="14">
        <v>20111</v>
      </c>
      <c r="AB122" s="14">
        <f t="shared" ref="AB122:AV122" si="174">AA122-AB80</f>
        <v>20365.2</v>
      </c>
      <c r="AC122" s="14">
        <f t="shared" si="174"/>
        <v>20514.400000000001</v>
      </c>
      <c r="AD122" s="14">
        <f t="shared" si="174"/>
        <v>20615.600000000002</v>
      </c>
      <c r="AE122" s="14">
        <f t="shared" si="174"/>
        <v>20730.400000000001</v>
      </c>
      <c r="AF122" s="14">
        <f t="shared" si="174"/>
        <v>20949.04</v>
      </c>
      <c r="AG122" s="14">
        <f t="shared" si="174"/>
        <v>21056.080000000002</v>
      </c>
      <c r="AH122" s="14">
        <f t="shared" si="174"/>
        <v>21175.120000000003</v>
      </c>
      <c r="AI122" s="14">
        <f t="shared" si="174"/>
        <v>21301.680000000004</v>
      </c>
      <c r="AJ122" s="14">
        <f t="shared" si="174"/>
        <v>21504.448000000004</v>
      </c>
      <c r="AK122" s="14">
        <f t="shared" si="174"/>
        <v>21607.696000000004</v>
      </c>
      <c r="AL122" s="14">
        <f t="shared" si="174"/>
        <v>21737.944000000003</v>
      </c>
      <c r="AM122" s="14">
        <f t="shared" si="174"/>
        <v>21876.416000000005</v>
      </c>
      <c r="AN122" s="14">
        <f t="shared" si="174"/>
        <v>22086.137600000005</v>
      </c>
      <c r="AO122" s="14">
        <f t="shared" si="174"/>
        <v>22202.035200000006</v>
      </c>
      <c r="AP122" s="14">
        <f t="shared" si="174"/>
        <v>22323.532800000004</v>
      </c>
      <c r="AQ122" s="14">
        <f t="shared" si="174"/>
        <v>22470.899200000003</v>
      </c>
      <c r="AR122" s="14">
        <f t="shared" si="174"/>
        <v>22688.565120000003</v>
      </c>
      <c r="AS122" s="14">
        <f t="shared" si="174"/>
        <v>22795.642240000005</v>
      </c>
      <c r="AT122" s="14">
        <f t="shared" si="174"/>
        <v>22904.839360000005</v>
      </c>
      <c r="AU122" s="14">
        <f t="shared" si="174"/>
        <v>23032.679040000006</v>
      </c>
      <c r="AV122" s="14">
        <f t="shared" si="174"/>
        <v>23253.278144000007</v>
      </c>
    </row>
    <row r="123" spans="2:48">
      <c r="B123" s="5" t="s">
        <v>206</v>
      </c>
      <c r="C123" s="9" t="s">
        <v>159</v>
      </c>
      <c r="G123" s="14">
        <v>7365</v>
      </c>
      <c r="H123" s="14">
        <v>7369</v>
      </c>
      <c r="I123" s="14">
        <v>7362</v>
      </c>
      <c r="J123" s="14">
        <v>7344</v>
      </c>
      <c r="K123" s="14">
        <v>7325</v>
      </c>
      <c r="L123" s="14">
        <v>7307</v>
      </c>
      <c r="M123" s="14">
        <v>7290</v>
      </c>
      <c r="N123" s="14">
        <v>7272</v>
      </c>
      <c r="O123" s="14">
        <v>7253</v>
      </c>
      <c r="P123" s="14">
        <v>7224</v>
      </c>
      <c r="Q123" s="14">
        <v>7209</v>
      </c>
      <c r="R123" s="14">
        <v>7194</v>
      </c>
      <c r="S123" s="14">
        <v>7215</v>
      </c>
      <c r="T123" s="14">
        <v>7231</v>
      </c>
      <c r="U123" s="14">
        <v>7248</v>
      </c>
      <c r="V123" s="14">
        <v>7231</v>
      </c>
      <c r="W123" s="14">
        <v>7254</v>
      </c>
      <c r="X123" s="14">
        <v>7392</v>
      </c>
      <c r="Y123" s="14">
        <v>7449</v>
      </c>
      <c r="Z123" s="14">
        <v>7435</v>
      </c>
      <c r="AA123" s="14">
        <v>8042</v>
      </c>
      <c r="AB123" s="185">
        <f t="shared" ref="AB123:AV123" si="175">AA123</f>
        <v>8042</v>
      </c>
      <c r="AC123" s="185">
        <f t="shared" si="175"/>
        <v>8042</v>
      </c>
      <c r="AD123" s="14">
        <f t="shared" si="175"/>
        <v>8042</v>
      </c>
      <c r="AE123" s="14">
        <f t="shared" si="175"/>
        <v>8042</v>
      </c>
      <c r="AF123" s="14">
        <f t="shared" si="175"/>
        <v>8042</v>
      </c>
      <c r="AG123" s="14">
        <f t="shared" si="175"/>
        <v>8042</v>
      </c>
      <c r="AH123" s="14">
        <f t="shared" si="175"/>
        <v>8042</v>
      </c>
      <c r="AI123" s="14">
        <f t="shared" si="175"/>
        <v>8042</v>
      </c>
      <c r="AJ123" s="14">
        <f t="shared" si="175"/>
        <v>8042</v>
      </c>
      <c r="AK123" s="14">
        <f t="shared" si="175"/>
        <v>8042</v>
      </c>
      <c r="AL123" s="14">
        <f t="shared" si="175"/>
        <v>8042</v>
      </c>
      <c r="AM123" s="14">
        <f t="shared" si="175"/>
        <v>8042</v>
      </c>
      <c r="AN123" s="14">
        <f t="shared" si="175"/>
        <v>8042</v>
      </c>
      <c r="AO123" s="14">
        <f t="shared" si="175"/>
        <v>8042</v>
      </c>
      <c r="AP123" s="14">
        <f t="shared" si="175"/>
        <v>8042</v>
      </c>
      <c r="AQ123" s="14">
        <f t="shared" si="175"/>
        <v>8042</v>
      </c>
      <c r="AR123" s="14">
        <f t="shared" si="175"/>
        <v>8042</v>
      </c>
      <c r="AS123" s="14">
        <f t="shared" si="175"/>
        <v>8042</v>
      </c>
      <c r="AT123" s="14">
        <f t="shared" si="175"/>
        <v>8042</v>
      </c>
      <c r="AU123" s="14">
        <f t="shared" si="175"/>
        <v>8042</v>
      </c>
      <c r="AV123" s="14">
        <f t="shared" si="175"/>
        <v>8042</v>
      </c>
    </row>
    <row r="124" spans="2:48">
      <c r="B124" s="5" t="s">
        <v>207</v>
      </c>
      <c r="C124" s="9" t="s">
        <v>138</v>
      </c>
      <c r="G124" s="14">
        <v>40302</v>
      </c>
      <c r="H124" s="14">
        <v>42333</v>
      </c>
      <c r="I124" s="14">
        <v>42946</v>
      </c>
      <c r="J124" s="14">
        <v>42622</v>
      </c>
      <c r="K124" s="14">
        <v>41814</v>
      </c>
      <c r="L124" s="14">
        <v>44006</v>
      </c>
      <c r="M124" s="14">
        <v>83640</v>
      </c>
      <c r="N124" s="14">
        <v>96825</v>
      </c>
      <c r="O124" s="14">
        <v>97378</v>
      </c>
      <c r="P124" s="14">
        <v>87538</v>
      </c>
      <c r="Q124" s="14">
        <v>91720</v>
      </c>
      <c r="R124" s="14">
        <v>100450</v>
      </c>
      <c r="S124" s="14">
        <v>95617</v>
      </c>
      <c r="T124" s="14">
        <v>95577</v>
      </c>
      <c r="U124" s="14">
        <v>100677</v>
      </c>
      <c r="V124" s="14">
        <v>108228</v>
      </c>
      <c r="W124" s="14">
        <v>105812</v>
      </c>
      <c r="X124" s="14">
        <v>112514</v>
      </c>
      <c r="Y124" s="14">
        <v>112272</v>
      </c>
      <c r="Z124" s="14">
        <v>116306</v>
      </c>
      <c r="AA124" s="14">
        <v>115071</v>
      </c>
      <c r="AB124" s="14">
        <f t="shared" ref="AB124:AV124" si="176">AA124+AB34</f>
        <v>119363.78315028051</v>
      </c>
      <c r="AC124" s="14">
        <f t="shared" si="176"/>
        <v>122449.63656090626</v>
      </c>
      <c r="AD124" s="14">
        <f t="shared" si="176"/>
        <v>124741.78024443703</v>
      </c>
      <c r="AE124" s="14">
        <f t="shared" si="176"/>
        <v>128256.19599482155</v>
      </c>
      <c r="AF124" s="14">
        <f t="shared" si="176"/>
        <v>132646.94824055236</v>
      </c>
      <c r="AG124" s="14">
        <f t="shared" si="176"/>
        <v>135803.22642148394</v>
      </c>
      <c r="AH124" s="14">
        <f t="shared" si="176"/>
        <v>138147.68098014078</v>
      </c>
      <c r="AI124" s="14">
        <f t="shared" si="176"/>
        <v>141742.30207052227</v>
      </c>
      <c r="AJ124" s="14">
        <f t="shared" si="176"/>
        <v>146233.25924410569</v>
      </c>
      <c r="AK124" s="14">
        <f t="shared" si="176"/>
        <v>149461.56941630039</v>
      </c>
      <c r="AL124" s="14">
        <f t="shared" si="176"/>
        <v>151859.52867910726</v>
      </c>
      <c r="AM124" s="14">
        <f t="shared" si="176"/>
        <v>155536.18554077813</v>
      </c>
      <c r="AN124" s="14">
        <f t="shared" si="176"/>
        <v>160129.634500366</v>
      </c>
      <c r="AO124" s="14">
        <f t="shared" si="176"/>
        <v>163431.62056447763</v>
      </c>
      <c r="AP124" s="14">
        <f t="shared" si="176"/>
        <v>165884.30560580152</v>
      </c>
      <c r="AQ124" s="14">
        <f t="shared" si="176"/>
        <v>169644.87044381531</v>
      </c>
      <c r="AR124" s="14">
        <f t="shared" si="176"/>
        <v>174343.1502378092</v>
      </c>
      <c r="AS124" s="14">
        <f t="shared" si="176"/>
        <v>177720.49361128538</v>
      </c>
      <c r="AT124" s="14">
        <f t="shared" si="176"/>
        <v>180229.15337262448</v>
      </c>
      <c r="AU124" s="14">
        <f t="shared" si="176"/>
        <v>184075.5411191489</v>
      </c>
      <c r="AV124" s="14">
        <f t="shared" si="176"/>
        <v>188881.0441772762</v>
      </c>
    </row>
    <row r="125" spans="2:48">
      <c r="B125" s="5" t="s">
        <v>208</v>
      </c>
      <c r="C125" s="9" t="s">
        <v>159</v>
      </c>
      <c r="G125" s="14">
        <v>104596</v>
      </c>
      <c r="H125" s="14">
        <v>100990</v>
      </c>
      <c r="I125" s="14">
        <v>85473</v>
      </c>
      <c r="J125" s="14">
        <v>88504</v>
      </c>
      <c r="K125" s="14">
        <v>85500</v>
      </c>
      <c r="L125" s="14">
        <v>85107</v>
      </c>
      <c r="M125" s="14">
        <v>54522</v>
      </c>
      <c r="N125" s="14">
        <v>53315</v>
      </c>
      <c r="O125" s="14">
        <v>52869</v>
      </c>
      <c r="P125" s="14">
        <v>51022</v>
      </c>
      <c r="Q125" s="14">
        <v>57654</v>
      </c>
      <c r="R125" s="14">
        <v>57701</v>
      </c>
      <c r="S125" s="14">
        <v>57075</v>
      </c>
      <c r="T125" s="14">
        <v>59228</v>
      </c>
      <c r="U125" s="14">
        <v>58689</v>
      </c>
      <c r="V125" s="14">
        <v>56721</v>
      </c>
      <c r="W125" s="14">
        <v>56321</v>
      </c>
      <c r="X125" s="14">
        <v>53773</v>
      </c>
      <c r="Y125" s="14">
        <v>56994</v>
      </c>
      <c r="Z125" s="14">
        <v>62539</v>
      </c>
      <c r="AA125" s="14">
        <v>66066</v>
      </c>
      <c r="AB125" s="185">
        <f t="shared" ref="AB125:AV125" si="177">AA125</f>
        <v>66066</v>
      </c>
      <c r="AC125" s="185">
        <f t="shared" si="177"/>
        <v>66066</v>
      </c>
      <c r="AD125" s="14">
        <f t="shared" si="177"/>
        <v>66066</v>
      </c>
      <c r="AE125" s="14">
        <f t="shared" si="177"/>
        <v>66066</v>
      </c>
      <c r="AF125" s="14">
        <f t="shared" si="177"/>
        <v>66066</v>
      </c>
      <c r="AG125" s="14">
        <f t="shared" si="177"/>
        <v>66066</v>
      </c>
      <c r="AH125" s="14">
        <f t="shared" si="177"/>
        <v>66066</v>
      </c>
      <c r="AI125" s="14">
        <f t="shared" si="177"/>
        <v>66066</v>
      </c>
      <c r="AJ125" s="14">
        <f t="shared" si="177"/>
        <v>66066</v>
      </c>
      <c r="AK125" s="14">
        <f t="shared" si="177"/>
        <v>66066</v>
      </c>
      <c r="AL125" s="14">
        <f t="shared" si="177"/>
        <v>66066</v>
      </c>
      <c r="AM125" s="14">
        <f t="shared" si="177"/>
        <v>66066</v>
      </c>
      <c r="AN125" s="14">
        <f t="shared" si="177"/>
        <v>66066</v>
      </c>
      <c r="AO125" s="14">
        <f t="shared" si="177"/>
        <v>66066</v>
      </c>
      <c r="AP125" s="14">
        <f t="shared" si="177"/>
        <v>66066</v>
      </c>
      <c r="AQ125" s="14">
        <f t="shared" si="177"/>
        <v>66066</v>
      </c>
      <c r="AR125" s="14">
        <f t="shared" si="177"/>
        <v>66066</v>
      </c>
      <c r="AS125" s="14">
        <f t="shared" si="177"/>
        <v>66066</v>
      </c>
      <c r="AT125" s="14">
        <f t="shared" si="177"/>
        <v>66066</v>
      </c>
      <c r="AU125" s="14">
        <f t="shared" si="177"/>
        <v>66066</v>
      </c>
      <c r="AV125" s="14">
        <f t="shared" si="177"/>
        <v>66066</v>
      </c>
    </row>
    <row r="126" spans="2:48">
      <c r="B126" s="5" t="s">
        <v>209</v>
      </c>
      <c r="C126" s="9" t="s">
        <v>159</v>
      </c>
      <c r="G126" s="14">
        <v>12388</v>
      </c>
      <c r="H126" s="14">
        <v>12174</v>
      </c>
      <c r="I126" s="14">
        <v>12528</v>
      </c>
      <c r="J126" s="14">
        <v>12484</v>
      </c>
      <c r="K126" s="14">
        <v>12391</v>
      </c>
      <c r="L126" s="14">
        <v>11990</v>
      </c>
      <c r="M126" s="14">
        <v>11781</v>
      </c>
      <c r="N126" s="14">
        <v>11747</v>
      </c>
      <c r="O126" s="14">
        <v>11646</v>
      </c>
      <c r="P126" s="14">
        <v>13737</v>
      </c>
      <c r="Q126" s="14">
        <v>13786</v>
      </c>
      <c r="R126" s="14">
        <v>13727</v>
      </c>
      <c r="S126" s="14">
        <v>13690</v>
      </c>
      <c r="T126" s="14">
        <v>16619</v>
      </c>
      <c r="U126" s="14">
        <v>15152</v>
      </c>
      <c r="V126" s="14">
        <v>15210</v>
      </c>
      <c r="W126" s="14">
        <v>15708</v>
      </c>
      <c r="X126" s="14">
        <v>14278</v>
      </c>
      <c r="Y126" s="14">
        <v>14040</v>
      </c>
      <c r="Z126" s="14">
        <v>13820</v>
      </c>
      <c r="AA126" s="14">
        <v>13598</v>
      </c>
      <c r="AB126" s="185">
        <f t="shared" ref="AB126:AV126" si="178">AA126</f>
        <v>13598</v>
      </c>
      <c r="AC126" s="185">
        <f t="shared" si="178"/>
        <v>13598</v>
      </c>
      <c r="AD126" s="14">
        <f t="shared" si="178"/>
        <v>13598</v>
      </c>
      <c r="AE126" s="14">
        <f t="shared" si="178"/>
        <v>13598</v>
      </c>
      <c r="AF126" s="14">
        <f t="shared" si="178"/>
        <v>13598</v>
      </c>
      <c r="AG126" s="14">
        <f t="shared" si="178"/>
        <v>13598</v>
      </c>
      <c r="AH126" s="14">
        <f t="shared" si="178"/>
        <v>13598</v>
      </c>
      <c r="AI126" s="14">
        <f t="shared" si="178"/>
        <v>13598</v>
      </c>
      <c r="AJ126" s="14">
        <f t="shared" si="178"/>
        <v>13598</v>
      </c>
      <c r="AK126" s="14">
        <f t="shared" si="178"/>
        <v>13598</v>
      </c>
      <c r="AL126" s="14">
        <f t="shared" si="178"/>
        <v>13598</v>
      </c>
      <c r="AM126" s="14">
        <f t="shared" si="178"/>
        <v>13598</v>
      </c>
      <c r="AN126" s="14">
        <f t="shared" si="178"/>
        <v>13598</v>
      </c>
      <c r="AO126" s="14">
        <f t="shared" si="178"/>
        <v>13598</v>
      </c>
      <c r="AP126" s="14">
        <f t="shared" si="178"/>
        <v>13598</v>
      </c>
      <c r="AQ126" s="14">
        <f t="shared" si="178"/>
        <v>13598</v>
      </c>
      <c r="AR126" s="14">
        <f t="shared" si="178"/>
        <v>13598</v>
      </c>
      <c r="AS126" s="14">
        <f t="shared" si="178"/>
        <v>13598</v>
      </c>
      <c r="AT126" s="14">
        <f t="shared" si="178"/>
        <v>13598</v>
      </c>
      <c r="AU126" s="14">
        <f t="shared" si="178"/>
        <v>13598</v>
      </c>
      <c r="AV126" s="14">
        <f t="shared" si="178"/>
        <v>13598</v>
      </c>
    </row>
    <row r="127" spans="2:48">
      <c r="B127" s="5" t="s">
        <v>210</v>
      </c>
      <c r="C127" s="9" t="s">
        <v>159</v>
      </c>
      <c r="G127" s="14">
        <v>522</v>
      </c>
      <c r="H127" s="14">
        <v>1933</v>
      </c>
      <c r="I127" s="14">
        <v>1870</v>
      </c>
      <c r="J127" s="14">
        <v>1795</v>
      </c>
      <c r="K127" s="14">
        <v>1760</v>
      </c>
      <c r="L127" s="14">
        <v>2674</v>
      </c>
      <c r="M127" s="14">
        <v>2599</v>
      </c>
      <c r="N127" s="14">
        <v>2556</v>
      </c>
      <c r="O127" s="14">
        <v>2522</v>
      </c>
      <c r="P127" s="14">
        <v>5199</v>
      </c>
      <c r="Q127" s="14">
        <v>5232</v>
      </c>
      <c r="R127" s="14">
        <v>5376</v>
      </c>
      <c r="S127" s="14">
        <v>5406</v>
      </c>
      <c r="T127" s="14">
        <v>1095</v>
      </c>
      <c r="U127" s="14">
        <v>1309</v>
      </c>
      <c r="V127" s="14">
        <v>1435</v>
      </c>
      <c r="W127" s="14">
        <v>1612</v>
      </c>
      <c r="X127" s="14">
        <v>1122</v>
      </c>
      <c r="Y127" s="14">
        <v>903</v>
      </c>
      <c r="Z127" s="14">
        <v>1034</v>
      </c>
      <c r="AA127" s="14">
        <v>1098</v>
      </c>
      <c r="AB127" s="185">
        <f t="shared" ref="AB127:AV127" si="179">AA127</f>
        <v>1098</v>
      </c>
      <c r="AC127" s="185">
        <f t="shared" si="179"/>
        <v>1098</v>
      </c>
      <c r="AD127" s="14">
        <f t="shared" si="179"/>
        <v>1098</v>
      </c>
      <c r="AE127" s="14">
        <f t="shared" si="179"/>
        <v>1098</v>
      </c>
      <c r="AF127" s="14">
        <f t="shared" si="179"/>
        <v>1098</v>
      </c>
      <c r="AG127" s="14">
        <f t="shared" si="179"/>
        <v>1098</v>
      </c>
      <c r="AH127" s="14">
        <f t="shared" si="179"/>
        <v>1098</v>
      </c>
      <c r="AI127" s="14">
        <f t="shared" si="179"/>
        <v>1098</v>
      </c>
      <c r="AJ127" s="14">
        <f t="shared" si="179"/>
        <v>1098</v>
      </c>
      <c r="AK127" s="14">
        <f t="shared" si="179"/>
        <v>1098</v>
      </c>
      <c r="AL127" s="14">
        <f t="shared" si="179"/>
        <v>1098</v>
      </c>
      <c r="AM127" s="14">
        <f t="shared" si="179"/>
        <v>1098</v>
      </c>
      <c r="AN127" s="14">
        <f t="shared" si="179"/>
        <v>1098</v>
      </c>
      <c r="AO127" s="14">
        <f t="shared" si="179"/>
        <v>1098</v>
      </c>
      <c r="AP127" s="14">
        <f t="shared" si="179"/>
        <v>1098</v>
      </c>
      <c r="AQ127" s="14">
        <f t="shared" si="179"/>
        <v>1098</v>
      </c>
      <c r="AR127" s="14">
        <f t="shared" si="179"/>
        <v>1098</v>
      </c>
      <c r="AS127" s="14">
        <f t="shared" si="179"/>
        <v>1098</v>
      </c>
      <c r="AT127" s="14">
        <f t="shared" si="179"/>
        <v>1098</v>
      </c>
      <c r="AU127" s="14">
        <f t="shared" si="179"/>
        <v>1098</v>
      </c>
      <c r="AV127" s="14">
        <f t="shared" si="179"/>
        <v>1098</v>
      </c>
    </row>
    <row r="128" spans="2:48">
      <c r="B128" s="16" t="s">
        <v>211</v>
      </c>
      <c r="C128" s="22"/>
      <c r="D128" s="12"/>
      <c r="E128" s="12"/>
      <c r="F128" s="12"/>
      <c r="G128" s="13">
        <f t="shared" ref="G128:X128" si="180">SUM(G121:G127)</f>
        <v>431317</v>
      </c>
      <c r="H128" s="13">
        <f t="shared" si="180"/>
        <v>434410</v>
      </c>
      <c r="I128" s="13">
        <f t="shared" si="180"/>
        <v>421386</v>
      </c>
      <c r="J128" s="13">
        <f t="shared" si="180"/>
        <v>421613</v>
      </c>
      <c r="K128" s="13">
        <f t="shared" si="180"/>
        <v>416512</v>
      </c>
      <c r="L128" s="13">
        <f t="shared" si="180"/>
        <v>423795</v>
      </c>
      <c r="M128" s="13">
        <f t="shared" si="180"/>
        <v>434912</v>
      </c>
      <c r="N128" s="13">
        <f t="shared" si="180"/>
        <v>447939</v>
      </c>
      <c r="O128" s="13">
        <f t="shared" si="180"/>
        <v>441634</v>
      </c>
      <c r="P128" s="13">
        <f t="shared" si="180"/>
        <v>442210</v>
      </c>
      <c r="Q128" s="13">
        <f t="shared" si="180"/>
        <v>470944</v>
      </c>
      <c r="R128" s="13">
        <f t="shared" si="180"/>
        <v>482427</v>
      </c>
      <c r="S128" s="13">
        <f t="shared" si="180"/>
        <v>477116</v>
      </c>
      <c r="T128" s="13">
        <f t="shared" si="180"/>
        <v>507530</v>
      </c>
      <c r="U128" s="13">
        <f t="shared" si="180"/>
        <v>523407</v>
      </c>
      <c r="V128" s="13">
        <f t="shared" si="180"/>
        <v>530206</v>
      </c>
      <c r="W128" s="13">
        <f t="shared" si="180"/>
        <v>548899</v>
      </c>
      <c r="X128" s="13">
        <f t="shared" si="180"/>
        <v>560114</v>
      </c>
      <c r="Y128" s="13">
        <f>SUM(Y121:Y127)</f>
        <v>571979</v>
      </c>
      <c r="Z128" s="13">
        <f t="shared" ref="Z128:AB128" si="181">SUM(Z121:Z127)</f>
        <v>614587</v>
      </c>
      <c r="AA128" s="13">
        <f t="shared" si="181"/>
        <v>634967</v>
      </c>
      <c r="AB128" s="13">
        <f t="shared" si="181"/>
        <v>656829.78162769834</v>
      </c>
      <c r="AC128" s="13">
        <f t="shared" ref="AC128:AV128" si="182">SUM(AC121:AC127)</f>
        <v>675836.01832449529</v>
      </c>
      <c r="AD128" s="13">
        <f t="shared" si="182"/>
        <v>679096.70580697677</v>
      </c>
      <c r="AE128" s="13">
        <f t="shared" si="182"/>
        <v>683668.45041672699</v>
      </c>
      <c r="AF128" s="13">
        <f t="shared" si="182"/>
        <v>689234.90849101159</v>
      </c>
      <c r="AG128" s="13">
        <f t="shared" si="182"/>
        <v>693369.71622539579</v>
      </c>
      <c r="AH128" s="13">
        <f t="shared" si="182"/>
        <v>696800.06321907486</v>
      </c>
      <c r="AI128" s="13">
        <f t="shared" si="182"/>
        <v>701571.21470691101</v>
      </c>
      <c r="AJ128" s="13">
        <f t="shared" si="182"/>
        <v>707334.89371475403</v>
      </c>
      <c r="AK128" s="13">
        <f t="shared" si="182"/>
        <v>711640.50954330841</v>
      </c>
      <c r="AL128" s="13">
        <f t="shared" si="182"/>
        <v>715250.08341544366</v>
      </c>
      <c r="AM128" s="13">
        <f t="shared" si="182"/>
        <v>720238.51151954336</v>
      </c>
      <c r="AN128" s="13">
        <f t="shared" si="182"/>
        <v>749249.82630678779</v>
      </c>
      <c r="AO128" s="13">
        <f t="shared" si="182"/>
        <v>774700.5707983087</v>
      </c>
      <c r="AP128" s="13">
        <f t="shared" si="182"/>
        <v>778488.96311513358</v>
      </c>
      <c r="AQ128" s="13">
        <f t="shared" si="182"/>
        <v>783712.82264865818</v>
      </c>
      <c r="AR128" s="13">
        <f t="shared" si="182"/>
        <v>789982.16152443981</v>
      </c>
      <c r="AS128" s="13">
        <f t="shared" si="182"/>
        <v>794697.98451430909</v>
      </c>
      <c r="AT128" s="13">
        <f t="shared" si="182"/>
        <v>798685.62523259385</v>
      </c>
      <c r="AU128" s="13">
        <f t="shared" si="182"/>
        <v>804142.20231954334</v>
      </c>
      <c r="AV128" s="13">
        <f t="shared" si="182"/>
        <v>810702.06712402846</v>
      </c>
    </row>
    <row r="129" spans="2:48" s="1" customFormat="1" ht="15" thickBot="1">
      <c r="B129" s="25" t="s">
        <v>212</v>
      </c>
      <c r="C129" s="26"/>
      <c r="D129" s="25"/>
      <c r="E129" s="25"/>
      <c r="F129" s="25"/>
      <c r="G129" s="27">
        <f t="shared" ref="G129:X129" si="183">SUM(G118,G128)</f>
        <v>649738</v>
      </c>
      <c r="H129" s="27">
        <f t="shared" si="183"/>
        <v>663519</v>
      </c>
      <c r="I129" s="27">
        <f t="shared" si="183"/>
        <v>647885</v>
      </c>
      <c r="J129" s="27">
        <f t="shared" si="183"/>
        <v>654956</v>
      </c>
      <c r="K129" s="27">
        <f t="shared" si="183"/>
        <v>670516</v>
      </c>
      <c r="L129" s="27">
        <f t="shared" si="183"/>
        <v>683408</v>
      </c>
      <c r="M129" s="27">
        <f t="shared" si="183"/>
        <v>685832</v>
      </c>
      <c r="N129" s="27">
        <f t="shared" si="183"/>
        <v>710803</v>
      </c>
      <c r="O129" s="27">
        <f t="shared" si="183"/>
        <v>712146</v>
      </c>
      <c r="P129" s="27">
        <f t="shared" si="183"/>
        <v>708348</v>
      </c>
      <c r="Q129" s="27">
        <f t="shared" si="183"/>
        <v>737949</v>
      </c>
      <c r="R129" s="27">
        <f t="shared" si="183"/>
        <v>789188</v>
      </c>
      <c r="S129" s="27">
        <f t="shared" si="183"/>
        <v>790901</v>
      </c>
      <c r="T129" s="27">
        <f t="shared" si="183"/>
        <v>812344</v>
      </c>
      <c r="U129" s="27">
        <f t="shared" si="183"/>
        <v>811123</v>
      </c>
      <c r="V129" s="27">
        <f t="shared" si="183"/>
        <v>814624</v>
      </c>
      <c r="W129" s="27">
        <f t="shared" si="183"/>
        <v>868438</v>
      </c>
      <c r="X129" s="27">
        <f t="shared" si="183"/>
        <v>848450</v>
      </c>
      <c r="Y129" s="27">
        <f>SUM(Y118,Y128)</f>
        <v>859236</v>
      </c>
      <c r="Z129" s="27">
        <f t="shared" ref="Z129:AB129" si="184">SUM(Z118,Z128)</f>
        <v>913575</v>
      </c>
      <c r="AA129" s="27">
        <f t="shared" si="184"/>
        <v>969326</v>
      </c>
      <c r="AB129" s="27">
        <f t="shared" si="184"/>
        <v>1008429.4259226837</v>
      </c>
      <c r="AC129" s="27">
        <f t="shared" ref="AC129:AV129" si="185">SUM(AC118,AC128)</f>
        <v>1026143.5668923729</v>
      </c>
      <c r="AD129" s="27">
        <f t="shared" si="185"/>
        <v>1053376.4445699174</v>
      </c>
      <c r="AE129" s="27">
        <f t="shared" si="185"/>
        <v>1079894.2180438857</v>
      </c>
      <c r="AF129" s="27">
        <f t="shared" si="185"/>
        <v>1124529.8979196087</v>
      </c>
      <c r="AG129" s="27">
        <f t="shared" si="185"/>
        <v>1147966.9213074958</v>
      </c>
      <c r="AH129" s="27">
        <f t="shared" si="185"/>
        <v>1182380.0440011891</v>
      </c>
      <c r="AI129" s="27">
        <f t="shared" si="185"/>
        <v>1214288.6723134427</v>
      </c>
      <c r="AJ129" s="27">
        <f t="shared" si="185"/>
        <v>1263678.9210617293</v>
      </c>
      <c r="AK129" s="27">
        <f t="shared" si="185"/>
        <v>1293007.4861892769</v>
      </c>
      <c r="AL129" s="27">
        <f t="shared" si="185"/>
        <v>1331893.7224997673</v>
      </c>
      <c r="AM129" s="27">
        <f t="shared" si="185"/>
        <v>1371500.0468341908</v>
      </c>
      <c r="AN129" s="27">
        <f t="shared" si="185"/>
        <v>1437335.157133983</v>
      </c>
      <c r="AO129" s="27">
        <f t="shared" si="185"/>
        <v>1467526.0500338902</v>
      </c>
      <c r="AP129" s="27">
        <f t="shared" si="185"/>
        <v>1511193.9295662304</v>
      </c>
      <c r="AQ129" s="27">
        <f t="shared" si="185"/>
        <v>1560219.3836302641</v>
      </c>
      <c r="AR129" s="27">
        <f t="shared" si="185"/>
        <v>1631974.1097461409</v>
      </c>
      <c r="AS129" s="27">
        <f t="shared" si="185"/>
        <v>1659436.4513688744</v>
      </c>
      <c r="AT129" s="27">
        <f t="shared" si="185"/>
        <v>1708259.8349776985</v>
      </c>
      <c r="AU129" s="27">
        <f t="shared" si="185"/>
        <v>1768135.7694903067</v>
      </c>
      <c r="AV129" s="27">
        <f t="shared" si="185"/>
        <v>1852644.9341205219</v>
      </c>
    </row>
    <row r="130" spans="2:48" ht="15" thickTop="1">
      <c r="AB130" s="14">
        <f t="shared" ref="AB130:AN130" si="186">AB124-AA124</f>
        <v>4292.7831502805057</v>
      </c>
      <c r="AC130" s="14">
        <f t="shared" si="186"/>
        <v>3085.8534106257575</v>
      </c>
      <c r="AD130" s="14">
        <f t="shared" si="186"/>
        <v>2292.1436835307686</v>
      </c>
      <c r="AE130" s="14">
        <f t="shared" si="186"/>
        <v>3514.4157503845199</v>
      </c>
      <c r="AF130" s="14">
        <f t="shared" si="186"/>
        <v>4390.7522457308078</v>
      </c>
      <c r="AG130" s="14">
        <f t="shared" si="186"/>
        <v>3156.2781809315784</v>
      </c>
      <c r="AH130" s="14">
        <f t="shared" si="186"/>
        <v>2344.454558656842</v>
      </c>
      <c r="AI130" s="14">
        <f t="shared" si="186"/>
        <v>3594.6210903814936</v>
      </c>
      <c r="AJ130" s="14">
        <f t="shared" si="186"/>
        <v>4490.9571735834179</v>
      </c>
      <c r="AK130" s="14">
        <f t="shared" si="186"/>
        <v>3228.3101721947023</v>
      </c>
      <c r="AL130" s="14">
        <f t="shared" si="186"/>
        <v>2397.959262806864</v>
      </c>
      <c r="AM130" s="14">
        <f t="shared" si="186"/>
        <v>3676.6568616708682</v>
      </c>
      <c r="AN130" s="14">
        <f t="shared" si="186"/>
        <v>4593.4489595878695</v>
      </c>
    </row>
    <row r="131" spans="2:48">
      <c r="AC131" s="14">
        <f>AB130+AC130</f>
        <v>7378.6365609062632</v>
      </c>
      <c r="AD131" s="14">
        <f t="shared" ref="AD131:AN131" si="187">AC131+AD130</f>
        <v>9670.7802444370318</v>
      </c>
      <c r="AE131" s="14">
        <f t="shared" si="187"/>
        <v>13185.195994821552</v>
      </c>
      <c r="AF131" s="14">
        <f t="shared" si="187"/>
        <v>17575.948240552359</v>
      </c>
      <c r="AG131" s="14">
        <f t="shared" si="187"/>
        <v>20732.226421483938</v>
      </c>
      <c r="AH131" s="14">
        <f t="shared" si="187"/>
        <v>23076.68098014078</v>
      </c>
      <c r="AI131" s="14">
        <f t="shared" si="187"/>
        <v>26671.302070522273</v>
      </c>
      <c r="AJ131" s="14">
        <f t="shared" si="187"/>
        <v>31162.259244105691</v>
      </c>
      <c r="AK131" s="14">
        <f t="shared" si="187"/>
        <v>34390.569416300394</v>
      </c>
      <c r="AL131" s="14">
        <f t="shared" si="187"/>
        <v>36788.528679107258</v>
      </c>
      <c r="AM131" s="14">
        <f t="shared" si="187"/>
        <v>40465.185540778126</v>
      </c>
      <c r="AN131" s="14">
        <f t="shared" si="187"/>
        <v>45058.634500365995</v>
      </c>
    </row>
    <row r="132" spans="2:48">
      <c r="B132" s="1" t="s">
        <v>213</v>
      </c>
    </row>
    <row r="133" spans="2:48">
      <c r="B133" t="s">
        <v>214</v>
      </c>
      <c r="AC133" s="14"/>
      <c r="AD133" s="14"/>
      <c r="AE133" s="14"/>
      <c r="AF133" s="14"/>
      <c r="AG133" s="14"/>
    </row>
    <row r="134" spans="2:48">
      <c r="B134" s="5" t="s">
        <v>35</v>
      </c>
      <c r="C134" s="9" t="s">
        <v>145</v>
      </c>
      <c r="G134" s="14">
        <v>120225</v>
      </c>
      <c r="H134" s="14">
        <v>119275</v>
      </c>
      <c r="I134" s="14">
        <v>112877</v>
      </c>
      <c r="J134" s="14">
        <v>110398</v>
      </c>
      <c r="K134" s="14">
        <v>124017</v>
      </c>
      <c r="L134" s="14">
        <v>123251</v>
      </c>
      <c r="M134" s="14">
        <v>121933</v>
      </c>
      <c r="N134" s="14">
        <v>126624</v>
      </c>
      <c r="O134" s="14">
        <v>139750</v>
      </c>
      <c r="P134" s="14">
        <v>140346</v>
      </c>
      <c r="Q134" s="14">
        <v>127672</v>
      </c>
      <c r="R134" s="14">
        <v>144655</v>
      </c>
      <c r="S134" s="14">
        <v>150766</v>
      </c>
      <c r="T134" s="14">
        <v>161453</v>
      </c>
      <c r="U134" s="14">
        <v>144432</v>
      </c>
      <c r="V134" s="14">
        <v>131800</v>
      </c>
      <c r="W134" s="14">
        <v>156566</v>
      </c>
      <c r="X134" s="14">
        <v>144703</v>
      </c>
      <c r="Y134" s="14">
        <v>132757</v>
      </c>
      <c r="Z134" s="14">
        <v>147672</v>
      </c>
      <c r="AA134" s="14">
        <v>155466</v>
      </c>
      <c r="AB134" s="14">
        <f>Drivers!M143</f>
        <v>169801.48769450339</v>
      </c>
      <c r="AC134" s="14">
        <f>Drivers!N143</f>
        <v>154647.63890304638</v>
      </c>
      <c r="AD134" s="14">
        <f>Drivers!O143</f>
        <v>153292.33032781526</v>
      </c>
      <c r="AE134" s="14">
        <f>Drivers!P143</f>
        <v>165774.80569668795</v>
      </c>
      <c r="AF134" s="14">
        <f>Drivers!Q143</f>
        <v>181999.54573575128</v>
      </c>
      <c r="AG134" s="14">
        <f>Drivers!R143</f>
        <v>166675.88607623614</v>
      </c>
      <c r="AH134" s="14">
        <f>Drivers!S143</f>
        <v>165093.45480580654</v>
      </c>
      <c r="AI134" s="14">
        <f>Drivers!T143</f>
        <v>178474.21293482828</v>
      </c>
      <c r="AJ134" s="14">
        <f>Drivers!U143</f>
        <v>196402.6056974112</v>
      </c>
      <c r="AK134" s="14">
        <f>Drivers!V143</f>
        <v>182720.66884888808</v>
      </c>
      <c r="AL134" s="14">
        <f>Drivers!W143</f>
        <v>180827.31066931528</v>
      </c>
      <c r="AM134" s="14">
        <f>Drivers!X143</f>
        <v>195277.82316546966</v>
      </c>
      <c r="AN134" s="14">
        <f>Drivers!Y143</f>
        <v>219719.65662765835</v>
      </c>
      <c r="AO134" s="14">
        <f>Drivers!Z143</f>
        <v>202861.40234381138</v>
      </c>
      <c r="AP134" s="14">
        <f>Drivers!AA143</f>
        <v>200671.22690328394</v>
      </c>
      <c r="AQ134" s="14">
        <f>Drivers!AB143</f>
        <v>216391.06361551018</v>
      </c>
      <c r="AR134" s="14">
        <f>Drivers!AC143</f>
        <v>245875.10160111246</v>
      </c>
      <c r="AS134" s="14">
        <f>Drivers!AD143</f>
        <v>227491.96817169662</v>
      </c>
      <c r="AT134" s="14">
        <f>Drivers!AE143</f>
        <v>225096.473262076</v>
      </c>
      <c r="AU134" s="14">
        <f>Drivers!AF143</f>
        <v>242303.67124731364</v>
      </c>
      <c r="AV134" s="14">
        <f>Drivers!AG143</f>
        <v>277887.58256842336</v>
      </c>
    </row>
    <row r="135" spans="2:48">
      <c r="B135" s="5" t="s">
        <v>215</v>
      </c>
      <c r="C135" s="9" t="s">
        <v>197</v>
      </c>
      <c r="G135" s="14">
        <v>6314</v>
      </c>
      <c r="H135" s="14">
        <v>9647</v>
      </c>
      <c r="I135" s="14">
        <v>9669</v>
      </c>
      <c r="J135" s="14">
        <v>12930</v>
      </c>
      <c r="K135" s="14">
        <v>12815</v>
      </c>
      <c r="L135" s="14">
        <v>13242</v>
      </c>
      <c r="M135" s="14">
        <v>16718</v>
      </c>
      <c r="N135" s="14">
        <v>18695</v>
      </c>
      <c r="O135" s="14">
        <v>14019</v>
      </c>
      <c r="P135" s="14">
        <v>12948</v>
      </c>
      <c r="Q135" s="14">
        <v>22068</v>
      </c>
      <c r="R135" s="14">
        <v>21621</v>
      </c>
      <c r="S135" s="14">
        <v>12000</v>
      </c>
      <c r="T135" s="14">
        <v>12941</v>
      </c>
      <c r="U135" s="14">
        <v>36062</v>
      </c>
      <c r="V135" s="14">
        <v>59354</v>
      </c>
      <c r="W135" s="14">
        <v>34583</v>
      </c>
      <c r="X135" s="14">
        <v>38039</v>
      </c>
      <c r="Y135" s="14">
        <v>33951</v>
      </c>
      <c r="Z135" s="14">
        <v>36544</v>
      </c>
      <c r="AA135" s="14">
        <v>53779</v>
      </c>
      <c r="AB135" s="14">
        <f t="shared" ref="AB135:AV135" si="188">AA135+AB87</f>
        <v>53969.8</v>
      </c>
      <c r="AC135" s="14">
        <f t="shared" si="188"/>
        <v>59635.8</v>
      </c>
      <c r="AD135" s="14">
        <f t="shared" si="188"/>
        <v>64825.8</v>
      </c>
      <c r="AE135" s="14">
        <f t="shared" si="188"/>
        <v>58842.400000000001</v>
      </c>
      <c r="AF135" s="14">
        <f t="shared" si="188"/>
        <v>59075.76</v>
      </c>
      <c r="AG135" s="14">
        <f t="shared" si="188"/>
        <v>65882.16</v>
      </c>
      <c r="AH135" s="14">
        <f t="shared" si="188"/>
        <v>72071.760000000009</v>
      </c>
      <c r="AI135" s="14">
        <f t="shared" si="188"/>
        <v>64931.680000000008</v>
      </c>
      <c r="AJ135" s="14">
        <f t="shared" si="188"/>
        <v>65213.312000000005</v>
      </c>
      <c r="AK135" s="14">
        <f t="shared" si="188"/>
        <v>72765.592000000004</v>
      </c>
      <c r="AL135" s="14">
        <f t="shared" si="188"/>
        <v>79857.512000000002</v>
      </c>
      <c r="AM135" s="14">
        <f t="shared" si="188"/>
        <v>72089.816000000006</v>
      </c>
      <c r="AN135" s="14">
        <f t="shared" si="188"/>
        <v>72698.574400000012</v>
      </c>
      <c r="AO135" s="14">
        <f t="shared" si="188"/>
        <v>80100.110400000005</v>
      </c>
      <c r="AP135" s="14">
        <f t="shared" si="188"/>
        <v>88660.0144</v>
      </c>
      <c r="AQ135" s="14">
        <f t="shared" si="188"/>
        <v>81140.979200000002</v>
      </c>
      <c r="AR135" s="14">
        <f t="shared" si="188"/>
        <v>81790.689280000006</v>
      </c>
      <c r="AS135" s="14">
        <f t="shared" si="188"/>
        <v>86089.932480000003</v>
      </c>
      <c r="AT135" s="14">
        <f t="shared" si="188"/>
        <v>91612.817280000003</v>
      </c>
      <c r="AU135" s="14">
        <f t="shared" si="188"/>
        <v>88566.175040000002</v>
      </c>
      <c r="AV135" s="14">
        <f t="shared" si="188"/>
        <v>88959.027136000004</v>
      </c>
    </row>
    <row r="136" spans="2:48">
      <c r="B136" s="5" t="s">
        <v>216</v>
      </c>
      <c r="C136" s="9" t="s">
        <v>176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0</v>
      </c>
      <c r="P136" s="14">
        <v>0</v>
      </c>
      <c r="Q136" s="14">
        <v>0</v>
      </c>
      <c r="R136" s="14">
        <v>0</v>
      </c>
      <c r="S136" s="14">
        <v>0</v>
      </c>
      <c r="T136" s="14">
        <v>0</v>
      </c>
      <c r="U136" s="14">
        <v>0</v>
      </c>
      <c r="V136" s="14">
        <v>0</v>
      </c>
      <c r="W136" s="14">
        <v>0</v>
      </c>
      <c r="X136" s="14">
        <v>0</v>
      </c>
      <c r="Y136" s="14">
        <v>40000</v>
      </c>
      <c r="Z136" s="14">
        <v>13000</v>
      </c>
      <c r="AA136" s="14">
        <v>28000</v>
      </c>
      <c r="AB136" s="185">
        <f t="shared" ref="AB136:AV136" si="189">AA136+AB88</f>
        <v>28000</v>
      </c>
      <c r="AC136" s="185">
        <f t="shared" si="189"/>
        <v>28000</v>
      </c>
      <c r="AD136" s="14">
        <f t="shared" si="189"/>
        <v>28000</v>
      </c>
      <c r="AE136" s="14">
        <f t="shared" si="189"/>
        <v>28000</v>
      </c>
      <c r="AF136" s="14">
        <f t="shared" si="189"/>
        <v>28000</v>
      </c>
      <c r="AG136" s="14">
        <f t="shared" si="189"/>
        <v>28000</v>
      </c>
      <c r="AH136" s="14">
        <f t="shared" si="189"/>
        <v>28000</v>
      </c>
      <c r="AI136" s="14">
        <f t="shared" si="189"/>
        <v>28000</v>
      </c>
      <c r="AJ136" s="14">
        <f t="shared" si="189"/>
        <v>28000</v>
      </c>
      <c r="AK136" s="14">
        <f t="shared" si="189"/>
        <v>28000</v>
      </c>
      <c r="AL136" s="14">
        <f t="shared" si="189"/>
        <v>28000</v>
      </c>
      <c r="AM136" s="14">
        <f t="shared" si="189"/>
        <v>28000</v>
      </c>
      <c r="AN136" s="14">
        <f t="shared" si="189"/>
        <v>28000</v>
      </c>
      <c r="AO136" s="14">
        <f t="shared" si="189"/>
        <v>28000</v>
      </c>
      <c r="AP136" s="14">
        <f t="shared" si="189"/>
        <v>28000</v>
      </c>
      <c r="AQ136" s="14">
        <f t="shared" si="189"/>
        <v>28000</v>
      </c>
      <c r="AR136" s="14">
        <f t="shared" si="189"/>
        <v>28000</v>
      </c>
      <c r="AS136" s="14">
        <f t="shared" si="189"/>
        <v>28000</v>
      </c>
      <c r="AT136" s="14">
        <f t="shared" si="189"/>
        <v>28000</v>
      </c>
      <c r="AU136" s="14">
        <f t="shared" si="189"/>
        <v>28000</v>
      </c>
      <c r="AV136" s="14">
        <f t="shared" si="189"/>
        <v>28000</v>
      </c>
    </row>
    <row r="137" spans="2:48">
      <c r="B137" s="5" t="s">
        <v>217</v>
      </c>
      <c r="C137" s="9" t="s">
        <v>159</v>
      </c>
      <c r="G137" s="14">
        <v>258</v>
      </c>
      <c r="H137" s="14">
        <v>204</v>
      </c>
      <c r="I137" s="14">
        <v>100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141</v>
      </c>
      <c r="Z137" s="14">
        <v>141</v>
      </c>
      <c r="AA137" s="14">
        <v>141</v>
      </c>
      <c r="AB137" s="185">
        <f t="shared" ref="AB137:AV137" si="190">AA137</f>
        <v>141</v>
      </c>
      <c r="AC137" s="185">
        <f t="shared" si="190"/>
        <v>141</v>
      </c>
      <c r="AD137" s="14">
        <f t="shared" si="190"/>
        <v>141</v>
      </c>
      <c r="AE137" s="14">
        <f t="shared" si="190"/>
        <v>141</v>
      </c>
      <c r="AF137" s="14">
        <f t="shared" si="190"/>
        <v>141</v>
      </c>
      <c r="AG137" s="14">
        <f t="shared" si="190"/>
        <v>141</v>
      </c>
      <c r="AH137" s="14">
        <f t="shared" si="190"/>
        <v>141</v>
      </c>
      <c r="AI137" s="14">
        <f t="shared" si="190"/>
        <v>141</v>
      </c>
      <c r="AJ137" s="14">
        <f t="shared" si="190"/>
        <v>141</v>
      </c>
      <c r="AK137" s="14">
        <f t="shared" si="190"/>
        <v>141</v>
      </c>
      <c r="AL137" s="14">
        <f t="shared" si="190"/>
        <v>141</v>
      </c>
      <c r="AM137" s="14">
        <f t="shared" si="190"/>
        <v>141</v>
      </c>
      <c r="AN137" s="14">
        <f t="shared" si="190"/>
        <v>141</v>
      </c>
      <c r="AO137" s="14">
        <f t="shared" si="190"/>
        <v>141</v>
      </c>
      <c r="AP137" s="14">
        <f t="shared" si="190"/>
        <v>141</v>
      </c>
      <c r="AQ137" s="14">
        <f t="shared" si="190"/>
        <v>141</v>
      </c>
      <c r="AR137" s="14">
        <f t="shared" si="190"/>
        <v>141</v>
      </c>
      <c r="AS137" s="14">
        <f t="shared" si="190"/>
        <v>141</v>
      </c>
      <c r="AT137" s="14">
        <f t="shared" si="190"/>
        <v>141</v>
      </c>
      <c r="AU137" s="14">
        <f t="shared" si="190"/>
        <v>141</v>
      </c>
      <c r="AV137" s="14">
        <f t="shared" si="190"/>
        <v>141</v>
      </c>
    </row>
    <row r="138" spans="2:48">
      <c r="B138" s="5" t="s">
        <v>218</v>
      </c>
      <c r="C138" s="9" t="s">
        <v>159</v>
      </c>
      <c r="G138" s="14">
        <v>7829</v>
      </c>
      <c r="H138" s="14">
        <v>8050</v>
      </c>
      <c r="I138" s="14">
        <v>7729</v>
      </c>
      <c r="J138" s="14">
        <v>10897</v>
      </c>
      <c r="K138" s="14">
        <v>8109</v>
      </c>
      <c r="L138" s="14">
        <v>5509</v>
      </c>
      <c r="M138" s="14">
        <v>5757</v>
      </c>
      <c r="N138" s="14">
        <v>8724</v>
      </c>
      <c r="O138" s="14">
        <v>7838</v>
      </c>
      <c r="P138" s="14">
        <v>4474</v>
      </c>
      <c r="Q138" s="14">
        <v>6674</v>
      </c>
      <c r="R138" s="14">
        <v>11677</v>
      </c>
      <c r="S138" s="14">
        <v>12591</v>
      </c>
      <c r="T138" s="14">
        <v>7819</v>
      </c>
      <c r="U138" s="14">
        <v>6396</v>
      </c>
      <c r="V138" s="14">
        <v>8500</v>
      </c>
      <c r="W138" s="14">
        <v>7802</v>
      </c>
      <c r="X138" s="14">
        <v>5667</v>
      </c>
      <c r="Y138" s="14">
        <v>5713</v>
      </c>
      <c r="Z138" s="14">
        <v>7472</v>
      </c>
      <c r="AA138" s="14">
        <v>7326</v>
      </c>
      <c r="AB138" s="185">
        <f t="shared" ref="AB138:AV138" si="191">AA138</f>
        <v>7326</v>
      </c>
      <c r="AC138" s="185">
        <f t="shared" si="191"/>
        <v>7326</v>
      </c>
      <c r="AD138" s="14">
        <f t="shared" si="191"/>
        <v>7326</v>
      </c>
      <c r="AE138" s="14">
        <f t="shared" si="191"/>
        <v>7326</v>
      </c>
      <c r="AF138" s="14">
        <f t="shared" si="191"/>
        <v>7326</v>
      </c>
      <c r="AG138" s="14">
        <f t="shared" si="191"/>
        <v>7326</v>
      </c>
      <c r="AH138" s="14">
        <f t="shared" si="191"/>
        <v>7326</v>
      </c>
      <c r="AI138" s="14">
        <f t="shared" si="191"/>
        <v>7326</v>
      </c>
      <c r="AJ138" s="14">
        <f t="shared" si="191"/>
        <v>7326</v>
      </c>
      <c r="AK138" s="14">
        <f t="shared" si="191"/>
        <v>7326</v>
      </c>
      <c r="AL138" s="14">
        <f t="shared" si="191"/>
        <v>7326</v>
      </c>
      <c r="AM138" s="14">
        <f t="shared" si="191"/>
        <v>7326</v>
      </c>
      <c r="AN138" s="14">
        <f t="shared" si="191"/>
        <v>7326</v>
      </c>
      <c r="AO138" s="14">
        <f t="shared" si="191"/>
        <v>7326</v>
      </c>
      <c r="AP138" s="14">
        <f t="shared" si="191"/>
        <v>7326</v>
      </c>
      <c r="AQ138" s="14">
        <f t="shared" si="191"/>
        <v>7326</v>
      </c>
      <c r="AR138" s="14">
        <f t="shared" si="191"/>
        <v>7326</v>
      </c>
      <c r="AS138" s="14">
        <f t="shared" si="191"/>
        <v>7326</v>
      </c>
      <c r="AT138" s="14">
        <f t="shared" si="191"/>
        <v>7326</v>
      </c>
      <c r="AU138" s="14">
        <f t="shared" si="191"/>
        <v>7326</v>
      </c>
      <c r="AV138" s="14">
        <f t="shared" si="191"/>
        <v>7326</v>
      </c>
    </row>
    <row r="139" spans="2:48">
      <c r="B139" s="5" t="s">
        <v>219</v>
      </c>
      <c r="C139" s="9" t="s">
        <v>159</v>
      </c>
      <c r="G139" s="14">
        <v>3852</v>
      </c>
      <c r="H139" s="14">
        <v>3855</v>
      </c>
      <c r="I139" s="14">
        <v>3889</v>
      </c>
      <c r="J139" s="14">
        <v>3100</v>
      </c>
      <c r="K139" s="14">
        <v>3700</v>
      </c>
      <c r="L139" s="14">
        <v>3450</v>
      </c>
      <c r="M139" s="14">
        <v>3726</v>
      </c>
      <c r="N139" s="14">
        <v>4130</v>
      </c>
      <c r="O139" s="14">
        <v>4171</v>
      </c>
      <c r="P139" s="14">
        <v>5007</v>
      </c>
      <c r="Q139" s="14">
        <v>5623</v>
      </c>
      <c r="R139" s="14">
        <v>4677</v>
      </c>
      <c r="S139" s="14">
        <v>4545</v>
      </c>
      <c r="T139" s="14">
        <v>4905</v>
      </c>
      <c r="U139" s="14">
        <v>4776</v>
      </c>
      <c r="V139" s="14">
        <v>4733</v>
      </c>
      <c r="W139" s="14">
        <v>4557</v>
      </c>
      <c r="X139" s="14">
        <v>4528</v>
      </c>
      <c r="Y139" s="14">
        <v>4353</v>
      </c>
      <c r="Z139" s="14">
        <v>4294</v>
      </c>
      <c r="AA139" s="14">
        <v>4370</v>
      </c>
      <c r="AB139" s="185">
        <f t="shared" ref="AB139:AV139" si="192">AA139</f>
        <v>4370</v>
      </c>
      <c r="AC139" s="185">
        <f t="shared" si="192"/>
        <v>4370</v>
      </c>
      <c r="AD139" s="14">
        <f t="shared" si="192"/>
        <v>4370</v>
      </c>
      <c r="AE139" s="14">
        <f t="shared" si="192"/>
        <v>4370</v>
      </c>
      <c r="AF139" s="14">
        <f t="shared" si="192"/>
        <v>4370</v>
      </c>
      <c r="AG139" s="14">
        <f t="shared" si="192"/>
        <v>4370</v>
      </c>
      <c r="AH139" s="14">
        <f t="shared" si="192"/>
        <v>4370</v>
      </c>
      <c r="AI139" s="14">
        <f t="shared" si="192"/>
        <v>4370</v>
      </c>
      <c r="AJ139" s="14">
        <f t="shared" si="192"/>
        <v>4370</v>
      </c>
      <c r="AK139" s="14">
        <f t="shared" si="192"/>
        <v>4370</v>
      </c>
      <c r="AL139" s="14">
        <f t="shared" si="192"/>
        <v>4370</v>
      </c>
      <c r="AM139" s="14">
        <f t="shared" si="192"/>
        <v>4370</v>
      </c>
      <c r="AN139" s="14">
        <f t="shared" si="192"/>
        <v>4370</v>
      </c>
      <c r="AO139" s="14">
        <f t="shared" si="192"/>
        <v>4370</v>
      </c>
      <c r="AP139" s="14">
        <f t="shared" si="192"/>
        <v>4370</v>
      </c>
      <c r="AQ139" s="14">
        <f t="shared" si="192"/>
        <v>4370</v>
      </c>
      <c r="AR139" s="14">
        <f t="shared" si="192"/>
        <v>4370</v>
      </c>
      <c r="AS139" s="14">
        <f t="shared" si="192"/>
        <v>4370</v>
      </c>
      <c r="AT139" s="14">
        <f t="shared" si="192"/>
        <v>4370</v>
      </c>
      <c r="AU139" s="14">
        <f t="shared" si="192"/>
        <v>4370</v>
      </c>
      <c r="AV139" s="14">
        <f t="shared" si="192"/>
        <v>4370</v>
      </c>
    </row>
    <row r="140" spans="2:48">
      <c r="B140" s="5" t="s">
        <v>220</v>
      </c>
      <c r="C140" s="23" t="s">
        <v>159</v>
      </c>
      <c r="G140" s="14">
        <v>17614</v>
      </c>
      <c r="H140" s="14">
        <v>19617</v>
      </c>
      <c r="I140" s="14">
        <v>17896</v>
      </c>
      <c r="J140" s="14">
        <v>18532</v>
      </c>
      <c r="K140" s="14">
        <v>19641</v>
      </c>
      <c r="L140" s="14">
        <v>22508</v>
      </c>
      <c r="M140" s="14">
        <v>19290</v>
      </c>
      <c r="N140" s="14">
        <v>20144</v>
      </c>
      <c r="O140" s="14">
        <v>20829</v>
      </c>
      <c r="P140" s="14">
        <v>21981</v>
      </c>
      <c r="Q140" s="14">
        <v>20396</v>
      </c>
      <c r="R140" s="14">
        <v>23217</v>
      </c>
      <c r="S140" s="14">
        <v>24866</v>
      </c>
      <c r="T140" s="14">
        <v>26377</v>
      </c>
      <c r="U140" s="14">
        <v>21078</v>
      </c>
      <c r="V140" s="14">
        <v>23499</v>
      </c>
      <c r="W140" s="14">
        <v>24943</v>
      </c>
      <c r="X140" s="14">
        <v>26655</v>
      </c>
      <c r="Y140" s="14">
        <v>22309</v>
      </c>
      <c r="Z140" s="14">
        <v>24574</v>
      </c>
      <c r="AA140" s="14">
        <v>26261</v>
      </c>
      <c r="AB140" s="185">
        <f t="shared" ref="AB140:AV140" si="193">AA140</f>
        <v>26261</v>
      </c>
      <c r="AC140" s="185">
        <f t="shared" si="193"/>
        <v>26261</v>
      </c>
      <c r="AD140" s="14">
        <f t="shared" si="193"/>
        <v>26261</v>
      </c>
      <c r="AE140" s="14">
        <f t="shared" si="193"/>
        <v>26261</v>
      </c>
      <c r="AF140" s="14">
        <f t="shared" si="193"/>
        <v>26261</v>
      </c>
      <c r="AG140" s="14">
        <f t="shared" si="193"/>
        <v>26261</v>
      </c>
      <c r="AH140" s="14">
        <f t="shared" si="193"/>
        <v>26261</v>
      </c>
      <c r="AI140" s="14">
        <f t="shared" si="193"/>
        <v>26261</v>
      </c>
      <c r="AJ140" s="14">
        <f t="shared" si="193"/>
        <v>26261</v>
      </c>
      <c r="AK140" s="14">
        <f t="shared" si="193"/>
        <v>26261</v>
      </c>
      <c r="AL140" s="14">
        <f t="shared" si="193"/>
        <v>26261</v>
      </c>
      <c r="AM140" s="14">
        <f t="shared" si="193"/>
        <v>26261</v>
      </c>
      <c r="AN140" s="14">
        <f t="shared" si="193"/>
        <v>26261</v>
      </c>
      <c r="AO140" s="14">
        <f t="shared" si="193"/>
        <v>26261</v>
      </c>
      <c r="AP140" s="14">
        <f t="shared" si="193"/>
        <v>26261</v>
      </c>
      <c r="AQ140" s="14">
        <f t="shared" si="193"/>
        <v>26261</v>
      </c>
      <c r="AR140" s="14">
        <f t="shared" si="193"/>
        <v>26261</v>
      </c>
      <c r="AS140" s="14">
        <f t="shared" si="193"/>
        <v>26261</v>
      </c>
      <c r="AT140" s="14">
        <f t="shared" si="193"/>
        <v>26261</v>
      </c>
      <c r="AU140" s="14">
        <f t="shared" si="193"/>
        <v>26261</v>
      </c>
      <c r="AV140" s="14">
        <f t="shared" si="193"/>
        <v>26261</v>
      </c>
    </row>
    <row r="141" spans="2:48">
      <c r="B141" s="16" t="s">
        <v>221</v>
      </c>
      <c r="C141" s="22"/>
      <c r="D141" s="12"/>
      <c r="E141" s="12"/>
      <c r="F141" s="12"/>
      <c r="G141" s="13">
        <f t="shared" ref="G141" si="194">SUM(G134:G140)</f>
        <v>156092</v>
      </c>
      <c r="H141" s="13">
        <f t="shared" ref="H141" si="195">SUM(H134:H140)</f>
        <v>160648</v>
      </c>
      <c r="I141" s="13">
        <f t="shared" ref="I141" si="196">SUM(I134:I140)</f>
        <v>152160</v>
      </c>
      <c r="J141" s="13">
        <f t="shared" ref="J141" si="197">SUM(J134:J140)</f>
        <v>155857</v>
      </c>
      <c r="K141" s="13">
        <f t="shared" ref="K141" si="198">SUM(K134:K140)</f>
        <v>168282</v>
      </c>
      <c r="L141" s="13">
        <f t="shared" ref="L141" si="199">SUM(L134:L140)</f>
        <v>167960</v>
      </c>
      <c r="M141" s="13">
        <f t="shared" ref="M141" si="200">SUM(M134:M140)</f>
        <v>167424</v>
      </c>
      <c r="N141" s="13">
        <f t="shared" ref="N141" si="201">SUM(N134:N140)</f>
        <v>178317</v>
      </c>
      <c r="O141" s="13">
        <f t="shared" ref="O141" si="202">SUM(O134:O140)</f>
        <v>186607</v>
      </c>
      <c r="P141" s="13">
        <f t="shared" ref="P141" si="203">SUM(P134:P140)</f>
        <v>184756</v>
      </c>
      <c r="Q141" s="13">
        <f t="shared" ref="Q141" si="204">SUM(Q134:Q140)</f>
        <v>182433</v>
      </c>
      <c r="R141" s="13">
        <f t="shared" ref="R141" si="205">SUM(R134:R140)</f>
        <v>205847</v>
      </c>
      <c r="S141" s="13">
        <f t="shared" ref="S141" si="206">SUM(S134:S140)</f>
        <v>204768</v>
      </c>
      <c r="T141" s="13">
        <f t="shared" ref="T141" si="207">SUM(T134:T140)</f>
        <v>213495</v>
      </c>
      <c r="U141" s="13">
        <f t="shared" ref="U141" si="208">SUM(U134:U140)</f>
        <v>212744</v>
      </c>
      <c r="V141" s="13">
        <f t="shared" ref="V141" si="209">SUM(V134:V140)</f>
        <v>227886</v>
      </c>
      <c r="W141" s="13">
        <f t="shared" ref="W141" si="210">SUM(W134:W140)</f>
        <v>228451</v>
      </c>
      <c r="X141" s="13">
        <f t="shared" ref="X141" si="211">SUM(X134:X140)</f>
        <v>219592</v>
      </c>
      <c r="Y141" s="13">
        <f t="shared" ref="Y141" si="212">SUM(Y134:Y140)</f>
        <v>239224</v>
      </c>
      <c r="Z141" s="13">
        <f t="shared" ref="Z141:AB141" si="213">SUM(Z134:Z140)</f>
        <v>233697</v>
      </c>
      <c r="AA141" s="13">
        <f t="shared" si="213"/>
        <v>275343</v>
      </c>
      <c r="AB141" s="13">
        <f t="shared" si="213"/>
        <v>289869.28769450338</v>
      </c>
      <c r="AC141" s="13">
        <f t="shared" ref="AC141:AV141" si="214">SUM(AC134:AC140)</f>
        <v>280381.43890304636</v>
      </c>
      <c r="AD141" s="13">
        <f t="shared" si="214"/>
        <v>284216.13032781525</v>
      </c>
      <c r="AE141" s="13">
        <f t="shared" si="214"/>
        <v>290715.20569668792</v>
      </c>
      <c r="AF141" s="13">
        <f t="shared" si="214"/>
        <v>307173.30573575129</v>
      </c>
      <c r="AG141" s="13">
        <f t="shared" si="214"/>
        <v>298656.04607623618</v>
      </c>
      <c r="AH141" s="13">
        <f t="shared" si="214"/>
        <v>303263.21480580652</v>
      </c>
      <c r="AI141" s="13">
        <f t="shared" si="214"/>
        <v>309503.8929348283</v>
      </c>
      <c r="AJ141" s="13">
        <f t="shared" si="214"/>
        <v>327713.91769741121</v>
      </c>
      <c r="AK141" s="13">
        <f t="shared" si="214"/>
        <v>321584.26084888808</v>
      </c>
      <c r="AL141" s="13">
        <f t="shared" si="214"/>
        <v>326782.82266931527</v>
      </c>
      <c r="AM141" s="13">
        <f t="shared" si="214"/>
        <v>333465.63916546968</v>
      </c>
      <c r="AN141" s="13">
        <f t="shared" si="214"/>
        <v>358516.23102765833</v>
      </c>
      <c r="AO141" s="13">
        <f t="shared" si="214"/>
        <v>349059.51274381136</v>
      </c>
      <c r="AP141" s="13">
        <f t="shared" si="214"/>
        <v>355429.24130328395</v>
      </c>
      <c r="AQ141" s="13">
        <f t="shared" si="214"/>
        <v>363630.04281551018</v>
      </c>
      <c r="AR141" s="13">
        <f t="shared" si="214"/>
        <v>393763.79088111245</v>
      </c>
      <c r="AS141" s="13">
        <f t="shared" si="214"/>
        <v>379679.9006516966</v>
      </c>
      <c r="AT141" s="13">
        <f t="shared" si="214"/>
        <v>382807.29054207599</v>
      </c>
      <c r="AU141" s="13">
        <f t="shared" si="214"/>
        <v>396967.84628731362</v>
      </c>
      <c r="AV141" s="13">
        <f t="shared" si="214"/>
        <v>432944.60970442335</v>
      </c>
    </row>
    <row r="143" spans="2:48">
      <c r="B143" s="11" t="s">
        <v>222</v>
      </c>
    </row>
    <row r="144" spans="2:48">
      <c r="B144" s="5" t="s">
        <v>223</v>
      </c>
      <c r="C144" s="9" t="s">
        <v>159</v>
      </c>
      <c r="G144" s="14">
        <v>42099</v>
      </c>
      <c r="H144" s="14">
        <v>38283</v>
      </c>
      <c r="I144" s="14">
        <v>38415</v>
      </c>
      <c r="J144" s="14">
        <v>34832</v>
      </c>
      <c r="K144" s="14">
        <v>35400</v>
      </c>
      <c r="L144" s="14">
        <v>31673</v>
      </c>
      <c r="M144" s="14">
        <v>31301</v>
      </c>
      <c r="N144" s="14">
        <v>27806</v>
      </c>
      <c r="O144" s="14">
        <v>27084</v>
      </c>
      <c r="P144" s="14">
        <v>23272</v>
      </c>
      <c r="Q144" s="14">
        <v>24082</v>
      </c>
      <c r="R144" s="14">
        <v>20613</v>
      </c>
      <c r="S144" s="14">
        <v>24967</v>
      </c>
      <c r="T144" s="14">
        <v>21911</v>
      </c>
      <c r="U144" s="14">
        <v>21796</v>
      </c>
      <c r="V144" s="14">
        <v>19092</v>
      </c>
      <c r="W144" s="14">
        <v>82006</v>
      </c>
      <c r="X144" s="14">
        <v>77520</v>
      </c>
      <c r="Y144" s="14">
        <v>76880</v>
      </c>
      <c r="Z144" s="14">
        <v>112146</v>
      </c>
      <c r="AA144" s="14">
        <v>107035</v>
      </c>
      <c r="AB144" s="185">
        <f t="shared" ref="AB144:AV144" si="215">AA144</f>
        <v>107035</v>
      </c>
      <c r="AC144" s="185">
        <f t="shared" si="215"/>
        <v>107035</v>
      </c>
      <c r="AD144" s="14">
        <f t="shared" si="215"/>
        <v>107035</v>
      </c>
      <c r="AE144" s="14">
        <f t="shared" si="215"/>
        <v>107035</v>
      </c>
      <c r="AF144" s="14">
        <f t="shared" si="215"/>
        <v>107035</v>
      </c>
      <c r="AG144" s="14">
        <f t="shared" si="215"/>
        <v>107035</v>
      </c>
      <c r="AH144" s="14">
        <f t="shared" si="215"/>
        <v>107035</v>
      </c>
      <c r="AI144" s="14">
        <f t="shared" si="215"/>
        <v>107035</v>
      </c>
      <c r="AJ144" s="14">
        <f t="shared" si="215"/>
        <v>107035</v>
      </c>
      <c r="AK144" s="14">
        <f t="shared" si="215"/>
        <v>107035</v>
      </c>
      <c r="AL144" s="14">
        <f t="shared" si="215"/>
        <v>107035</v>
      </c>
      <c r="AM144" s="14">
        <f t="shared" si="215"/>
        <v>107035</v>
      </c>
      <c r="AN144" s="14">
        <f t="shared" si="215"/>
        <v>107035</v>
      </c>
      <c r="AO144" s="14">
        <f t="shared" si="215"/>
        <v>107035</v>
      </c>
      <c r="AP144" s="14">
        <f t="shared" si="215"/>
        <v>107035</v>
      </c>
      <c r="AQ144" s="14">
        <f t="shared" si="215"/>
        <v>107035</v>
      </c>
      <c r="AR144" s="14">
        <f t="shared" si="215"/>
        <v>107035</v>
      </c>
      <c r="AS144" s="14">
        <f t="shared" si="215"/>
        <v>107035</v>
      </c>
      <c r="AT144" s="14">
        <f t="shared" si="215"/>
        <v>107035</v>
      </c>
      <c r="AU144" s="14">
        <f t="shared" si="215"/>
        <v>107035</v>
      </c>
      <c r="AV144" s="14">
        <f t="shared" si="215"/>
        <v>107035</v>
      </c>
    </row>
    <row r="145" spans="2:48">
      <c r="B145" s="5" t="s">
        <v>224</v>
      </c>
      <c r="C145" s="9" t="s">
        <v>159</v>
      </c>
      <c r="G145" s="14">
        <v>18356</v>
      </c>
      <c r="H145" s="14">
        <v>18601</v>
      </c>
      <c r="I145" s="14">
        <v>18750</v>
      </c>
      <c r="J145" s="14">
        <v>18567</v>
      </c>
      <c r="K145" s="14">
        <v>17153</v>
      </c>
      <c r="L145" s="14">
        <v>16925</v>
      </c>
      <c r="M145" s="14">
        <v>17356</v>
      </c>
      <c r="N145" s="14">
        <v>16911</v>
      </c>
      <c r="O145" s="14">
        <v>15693</v>
      </c>
      <c r="P145" s="14">
        <v>14850</v>
      </c>
      <c r="Q145" s="14">
        <v>16188</v>
      </c>
      <c r="R145" s="14">
        <v>16996</v>
      </c>
      <c r="S145" s="14">
        <v>17109</v>
      </c>
      <c r="T145" s="14">
        <v>17037</v>
      </c>
      <c r="U145" s="14">
        <v>17251</v>
      </c>
      <c r="V145" s="14">
        <v>16553</v>
      </c>
      <c r="W145" s="14">
        <v>16812</v>
      </c>
      <c r="X145" s="14">
        <v>16007</v>
      </c>
      <c r="Y145" s="14">
        <v>15906</v>
      </c>
      <c r="Z145" s="14">
        <v>22904</v>
      </c>
      <c r="AA145" s="14">
        <v>22654</v>
      </c>
      <c r="AB145" s="185">
        <f t="shared" ref="AB145:AV145" si="216">AA145</f>
        <v>22654</v>
      </c>
      <c r="AC145" s="185">
        <f t="shared" si="216"/>
        <v>22654</v>
      </c>
      <c r="AD145" s="14">
        <f t="shared" si="216"/>
        <v>22654</v>
      </c>
      <c r="AE145" s="14">
        <f t="shared" si="216"/>
        <v>22654</v>
      </c>
      <c r="AF145" s="14">
        <f t="shared" si="216"/>
        <v>22654</v>
      </c>
      <c r="AG145" s="14">
        <f t="shared" si="216"/>
        <v>22654</v>
      </c>
      <c r="AH145" s="14">
        <f t="shared" si="216"/>
        <v>22654</v>
      </c>
      <c r="AI145" s="14">
        <f t="shared" si="216"/>
        <v>22654</v>
      </c>
      <c r="AJ145" s="14">
        <f t="shared" si="216"/>
        <v>22654</v>
      </c>
      <c r="AK145" s="14">
        <f t="shared" si="216"/>
        <v>22654</v>
      </c>
      <c r="AL145" s="14">
        <f t="shared" si="216"/>
        <v>22654</v>
      </c>
      <c r="AM145" s="14">
        <f t="shared" si="216"/>
        <v>22654</v>
      </c>
      <c r="AN145" s="14">
        <f t="shared" si="216"/>
        <v>22654</v>
      </c>
      <c r="AO145" s="14">
        <f t="shared" si="216"/>
        <v>22654</v>
      </c>
      <c r="AP145" s="14">
        <f t="shared" si="216"/>
        <v>22654</v>
      </c>
      <c r="AQ145" s="14">
        <f t="shared" si="216"/>
        <v>22654</v>
      </c>
      <c r="AR145" s="14">
        <f t="shared" si="216"/>
        <v>22654</v>
      </c>
      <c r="AS145" s="14">
        <f t="shared" si="216"/>
        <v>22654</v>
      </c>
      <c r="AT145" s="14">
        <f t="shared" si="216"/>
        <v>22654</v>
      </c>
      <c r="AU145" s="14">
        <f t="shared" si="216"/>
        <v>22654</v>
      </c>
      <c r="AV145" s="14">
        <f t="shared" si="216"/>
        <v>22654</v>
      </c>
    </row>
    <row r="146" spans="2:48">
      <c r="B146" s="5" t="s">
        <v>225</v>
      </c>
      <c r="C146" s="9" t="s">
        <v>197</v>
      </c>
      <c r="G146" s="14">
        <v>7910</v>
      </c>
      <c r="H146" s="14">
        <v>5151</v>
      </c>
      <c r="I146" s="14">
        <v>5171</v>
      </c>
      <c r="J146" s="14">
        <v>5176</v>
      </c>
      <c r="K146" s="14">
        <v>5207</v>
      </c>
      <c r="L146" s="14">
        <v>5177</v>
      </c>
      <c r="M146" s="14">
        <v>5238</v>
      </c>
      <c r="N146" s="14">
        <v>5253</v>
      </c>
      <c r="O146" s="14">
        <v>5269</v>
      </c>
      <c r="P146" s="14">
        <v>5092</v>
      </c>
      <c r="Q146" s="14">
        <v>5114</v>
      </c>
      <c r="R146" s="14">
        <v>5154</v>
      </c>
      <c r="S146" s="14">
        <v>5367</v>
      </c>
      <c r="T146" s="14">
        <v>5293</v>
      </c>
      <c r="U146" s="14">
        <v>5305</v>
      </c>
      <c r="V146" s="14">
        <v>5317</v>
      </c>
      <c r="W146" s="14">
        <v>5369</v>
      </c>
      <c r="X146" s="14">
        <v>5425</v>
      </c>
      <c r="Y146" s="14">
        <v>5312</v>
      </c>
      <c r="Z146" s="14">
        <v>5342</v>
      </c>
      <c r="AA146" s="14">
        <v>5572</v>
      </c>
      <c r="AB146" s="14">
        <f t="shared" ref="AB146:AV146" si="217">AA146+AB60</f>
        <v>5343</v>
      </c>
      <c r="AC146" s="14">
        <f t="shared" si="217"/>
        <v>5303</v>
      </c>
      <c r="AD146" s="14">
        <f t="shared" si="217"/>
        <v>5296.6</v>
      </c>
      <c r="AE146" s="14">
        <f t="shared" si="217"/>
        <v>5331.2000000000007</v>
      </c>
      <c r="AF146" s="14">
        <f t="shared" si="217"/>
        <v>5578.0000000000009</v>
      </c>
      <c r="AG146" s="14">
        <f t="shared" si="217"/>
        <v>5526.0000000000009</v>
      </c>
      <c r="AH146" s="14">
        <f t="shared" si="217"/>
        <v>5517.5200000000013</v>
      </c>
      <c r="AI146" s="14">
        <f t="shared" si="217"/>
        <v>5520.6400000000012</v>
      </c>
      <c r="AJ146" s="14">
        <f t="shared" si="217"/>
        <v>6005.2000000000016</v>
      </c>
      <c r="AK146" s="14">
        <f t="shared" si="217"/>
        <v>5917.800000000002</v>
      </c>
      <c r="AL146" s="14">
        <f t="shared" si="217"/>
        <v>5893.6240000000016</v>
      </c>
      <c r="AM146" s="14">
        <f t="shared" si="217"/>
        <v>5888.568000000002</v>
      </c>
      <c r="AN146" s="14">
        <f t="shared" si="217"/>
        <v>7039.840000000002</v>
      </c>
      <c r="AO146" s="14">
        <f t="shared" si="217"/>
        <v>6938.3600000000024</v>
      </c>
      <c r="AP146" s="14">
        <f t="shared" si="217"/>
        <v>6916.3488000000025</v>
      </c>
      <c r="AQ146" s="14">
        <f t="shared" si="217"/>
        <v>6947.0816000000023</v>
      </c>
      <c r="AR146" s="14">
        <f t="shared" si="217"/>
        <v>7380.4080000000022</v>
      </c>
      <c r="AS146" s="14">
        <f t="shared" si="217"/>
        <v>7302.032000000002</v>
      </c>
      <c r="AT146" s="14">
        <f t="shared" si="217"/>
        <v>7279.0185600000023</v>
      </c>
      <c r="AU146" s="14">
        <f t="shared" si="217"/>
        <v>7314.097920000002</v>
      </c>
      <c r="AV146" s="14">
        <f t="shared" si="217"/>
        <v>7731.4896000000017</v>
      </c>
    </row>
    <row r="147" spans="2:48">
      <c r="B147" s="5" t="s">
        <v>226</v>
      </c>
      <c r="C147" s="9" t="s">
        <v>159</v>
      </c>
      <c r="G147" s="14">
        <v>197</v>
      </c>
      <c r="H147" s="14">
        <v>203</v>
      </c>
      <c r="I147" s="14">
        <v>217</v>
      </c>
      <c r="J147" s="14">
        <v>125</v>
      </c>
      <c r="K147" s="14">
        <v>123</v>
      </c>
      <c r="L147" s="14">
        <v>268</v>
      </c>
      <c r="M147" s="14">
        <v>267</v>
      </c>
      <c r="N147" s="14">
        <v>271</v>
      </c>
      <c r="O147" s="14">
        <v>294</v>
      </c>
      <c r="P147" s="14">
        <v>484</v>
      </c>
      <c r="Q147" s="14">
        <v>513</v>
      </c>
      <c r="R147" s="14">
        <v>488</v>
      </c>
      <c r="S147" s="14">
        <v>495</v>
      </c>
      <c r="T147" s="14">
        <v>469</v>
      </c>
      <c r="U147" s="14">
        <v>421</v>
      </c>
      <c r="V147" s="14">
        <v>398</v>
      </c>
      <c r="W147" s="14">
        <v>325</v>
      </c>
      <c r="X147" s="14">
        <v>341</v>
      </c>
      <c r="Y147" s="14">
        <v>202</v>
      </c>
      <c r="Z147" s="14">
        <v>214</v>
      </c>
      <c r="AA147" s="14">
        <v>209</v>
      </c>
      <c r="AB147" s="185">
        <f t="shared" ref="AB147:AV147" si="218">AA147</f>
        <v>209</v>
      </c>
      <c r="AC147" s="185">
        <f t="shared" si="218"/>
        <v>209</v>
      </c>
      <c r="AD147" s="14">
        <f t="shared" si="218"/>
        <v>209</v>
      </c>
      <c r="AE147" s="14">
        <f t="shared" si="218"/>
        <v>209</v>
      </c>
      <c r="AF147" s="14">
        <f t="shared" si="218"/>
        <v>209</v>
      </c>
      <c r="AG147" s="14">
        <f t="shared" si="218"/>
        <v>209</v>
      </c>
      <c r="AH147" s="14">
        <f t="shared" si="218"/>
        <v>209</v>
      </c>
      <c r="AI147" s="14">
        <f t="shared" si="218"/>
        <v>209</v>
      </c>
      <c r="AJ147" s="14">
        <f t="shared" si="218"/>
        <v>209</v>
      </c>
      <c r="AK147" s="14">
        <f t="shared" si="218"/>
        <v>209</v>
      </c>
      <c r="AL147" s="14">
        <f t="shared" si="218"/>
        <v>209</v>
      </c>
      <c r="AM147" s="14">
        <f t="shared" si="218"/>
        <v>209</v>
      </c>
      <c r="AN147" s="14">
        <f t="shared" si="218"/>
        <v>209</v>
      </c>
      <c r="AO147" s="14">
        <f t="shared" si="218"/>
        <v>209</v>
      </c>
      <c r="AP147" s="14">
        <f t="shared" si="218"/>
        <v>209</v>
      </c>
      <c r="AQ147" s="14">
        <f t="shared" si="218"/>
        <v>209</v>
      </c>
      <c r="AR147" s="14">
        <f t="shared" si="218"/>
        <v>209</v>
      </c>
      <c r="AS147" s="14">
        <f t="shared" si="218"/>
        <v>209</v>
      </c>
      <c r="AT147" s="14">
        <f t="shared" si="218"/>
        <v>209</v>
      </c>
      <c r="AU147" s="14">
        <f t="shared" si="218"/>
        <v>209</v>
      </c>
      <c r="AV147" s="14">
        <f t="shared" si="218"/>
        <v>209</v>
      </c>
    </row>
    <row r="148" spans="2:48">
      <c r="B148" s="5" t="s">
        <v>227</v>
      </c>
      <c r="C148" s="9" t="s">
        <v>159</v>
      </c>
      <c r="G148" s="14">
        <v>16898</v>
      </c>
      <c r="H148" s="14">
        <v>16722</v>
      </c>
      <c r="I148" s="14">
        <v>14887</v>
      </c>
      <c r="J148" s="14">
        <v>15721</v>
      </c>
      <c r="K148" s="14">
        <v>15104</v>
      </c>
      <c r="L148" s="14">
        <v>14347</v>
      </c>
      <c r="M148" s="14">
        <v>10168</v>
      </c>
      <c r="N148" s="14">
        <v>9923</v>
      </c>
      <c r="O148" s="14">
        <v>9668</v>
      </c>
      <c r="P148" s="14">
        <v>9418</v>
      </c>
      <c r="Q148" s="14">
        <v>13701</v>
      </c>
      <c r="R148" s="14">
        <v>14078</v>
      </c>
      <c r="S148" s="14">
        <v>14454</v>
      </c>
      <c r="T148" s="14">
        <v>16408</v>
      </c>
      <c r="U148" s="14">
        <v>15837</v>
      </c>
      <c r="V148" s="14">
        <v>15153</v>
      </c>
      <c r="W148" s="14">
        <v>14659</v>
      </c>
      <c r="X148" s="14">
        <v>14892</v>
      </c>
      <c r="Y148" s="14">
        <v>15934</v>
      </c>
      <c r="Z148" s="14">
        <v>18023</v>
      </c>
      <c r="AA148" s="14">
        <v>18853</v>
      </c>
      <c r="AB148" s="185">
        <f t="shared" ref="AB148:AV148" si="219">AA148</f>
        <v>18853</v>
      </c>
      <c r="AC148" s="185">
        <f t="shared" si="219"/>
        <v>18853</v>
      </c>
      <c r="AD148" s="14">
        <f t="shared" si="219"/>
        <v>18853</v>
      </c>
      <c r="AE148" s="14">
        <f t="shared" si="219"/>
        <v>18853</v>
      </c>
      <c r="AF148" s="14">
        <f t="shared" si="219"/>
        <v>18853</v>
      </c>
      <c r="AG148" s="14">
        <f t="shared" si="219"/>
        <v>18853</v>
      </c>
      <c r="AH148" s="14">
        <f t="shared" si="219"/>
        <v>18853</v>
      </c>
      <c r="AI148" s="14">
        <f t="shared" si="219"/>
        <v>18853</v>
      </c>
      <c r="AJ148" s="14">
        <f t="shared" si="219"/>
        <v>18853</v>
      </c>
      <c r="AK148" s="14">
        <f t="shared" si="219"/>
        <v>18853</v>
      </c>
      <c r="AL148" s="14">
        <f t="shared" si="219"/>
        <v>18853</v>
      </c>
      <c r="AM148" s="14">
        <f t="shared" si="219"/>
        <v>18853</v>
      </c>
      <c r="AN148" s="14">
        <f t="shared" si="219"/>
        <v>18853</v>
      </c>
      <c r="AO148" s="14">
        <f t="shared" si="219"/>
        <v>18853</v>
      </c>
      <c r="AP148" s="14">
        <f t="shared" si="219"/>
        <v>18853</v>
      </c>
      <c r="AQ148" s="14">
        <f t="shared" si="219"/>
        <v>18853</v>
      </c>
      <c r="AR148" s="14">
        <f t="shared" si="219"/>
        <v>18853</v>
      </c>
      <c r="AS148" s="14">
        <f t="shared" si="219"/>
        <v>18853</v>
      </c>
      <c r="AT148" s="14">
        <f t="shared" si="219"/>
        <v>18853</v>
      </c>
      <c r="AU148" s="14">
        <f t="shared" si="219"/>
        <v>18853</v>
      </c>
      <c r="AV148" s="14">
        <f t="shared" si="219"/>
        <v>18853</v>
      </c>
    </row>
    <row r="149" spans="2:48">
      <c r="B149" s="5" t="s">
        <v>228</v>
      </c>
      <c r="C149" s="23" t="s">
        <v>159</v>
      </c>
      <c r="G149" s="14">
        <v>2754</v>
      </c>
      <c r="H149" s="14">
        <v>2481</v>
      </c>
      <c r="I149" s="14">
        <v>2472</v>
      </c>
      <c r="J149" s="14">
        <v>2430</v>
      </c>
      <c r="K149" s="14">
        <v>2437</v>
      </c>
      <c r="L149" s="14">
        <v>2478</v>
      </c>
      <c r="M149" s="14">
        <v>2490</v>
      </c>
      <c r="N149" s="14">
        <v>2511</v>
      </c>
      <c r="O149" s="14">
        <v>2534</v>
      </c>
      <c r="P149" s="14">
        <v>2547</v>
      </c>
      <c r="Q149" s="14">
        <v>2589</v>
      </c>
      <c r="R149" s="14">
        <v>2616</v>
      </c>
      <c r="S149" s="14">
        <v>2670</v>
      </c>
      <c r="T149" s="14">
        <v>2753</v>
      </c>
      <c r="U149" s="14">
        <v>2740</v>
      </c>
      <c r="V149" s="14">
        <v>2710</v>
      </c>
      <c r="W149" s="14">
        <v>2896</v>
      </c>
      <c r="X149" s="14">
        <v>2777</v>
      </c>
      <c r="Y149" s="14">
        <v>2793</v>
      </c>
      <c r="Z149" s="14">
        <v>2788</v>
      </c>
      <c r="AA149" s="14">
        <v>4197</v>
      </c>
      <c r="AB149" s="185">
        <f t="shared" ref="AB149:AV149" si="220">AA149</f>
        <v>4197</v>
      </c>
      <c r="AC149" s="185">
        <f t="shared" si="220"/>
        <v>4197</v>
      </c>
      <c r="AD149" s="14">
        <f t="shared" si="220"/>
        <v>4197</v>
      </c>
      <c r="AE149" s="14">
        <f t="shared" si="220"/>
        <v>4197</v>
      </c>
      <c r="AF149" s="14">
        <f t="shared" si="220"/>
        <v>4197</v>
      </c>
      <c r="AG149" s="14">
        <f t="shared" si="220"/>
        <v>4197</v>
      </c>
      <c r="AH149" s="14">
        <f t="shared" si="220"/>
        <v>4197</v>
      </c>
      <c r="AI149" s="14">
        <f t="shared" si="220"/>
        <v>4197</v>
      </c>
      <c r="AJ149" s="14">
        <f t="shared" si="220"/>
        <v>4197</v>
      </c>
      <c r="AK149" s="14">
        <f t="shared" si="220"/>
        <v>4197</v>
      </c>
      <c r="AL149" s="14">
        <f t="shared" si="220"/>
        <v>4197</v>
      </c>
      <c r="AM149" s="14">
        <f t="shared" si="220"/>
        <v>4197</v>
      </c>
      <c r="AN149" s="14">
        <f t="shared" si="220"/>
        <v>4197</v>
      </c>
      <c r="AO149" s="14">
        <f t="shared" si="220"/>
        <v>4197</v>
      </c>
      <c r="AP149" s="14">
        <f t="shared" si="220"/>
        <v>4197</v>
      </c>
      <c r="AQ149" s="14">
        <f t="shared" si="220"/>
        <v>4197</v>
      </c>
      <c r="AR149" s="14">
        <f t="shared" si="220"/>
        <v>4197</v>
      </c>
      <c r="AS149" s="14">
        <f t="shared" si="220"/>
        <v>4197</v>
      </c>
      <c r="AT149" s="14">
        <f t="shared" si="220"/>
        <v>4197</v>
      </c>
      <c r="AU149" s="14">
        <f t="shared" si="220"/>
        <v>4197</v>
      </c>
      <c r="AV149" s="14">
        <f t="shared" si="220"/>
        <v>4197</v>
      </c>
    </row>
    <row r="150" spans="2:48">
      <c r="B150" s="16" t="s">
        <v>229</v>
      </c>
      <c r="C150" s="22"/>
      <c r="D150" s="12"/>
      <c r="E150" s="12"/>
      <c r="F150" s="12"/>
      <c r="G150" s="13">
        <f t="shared" ref="G150:X150" si="221">SUM(G144:G149)</f>
        <v>88214</v>
      </c>
      <c r="H150" s="13">
        <f t="shared" si="221"/>
        <v>81441</v>
      </c>
      <c r="I150" s="13">
        <f t="shared" si="221"/>
        <v>79912</v>
      </c>
      <c r="J150" s="13">
        <f t="shared" si="221"/>
        <v>76851</v>
      </c>
      <c r="K150" s="13">
        <f t="shared" si="221"/>
        <v>75424</v>
      </c>
      <c r="L150" s="13">
        <f t="shared" si="221"/>
        <v>70868</v>
      </c>
      <c r="M150" s="13">
        <f t="shared" si="221"/>
        <v>66820</v>
      </c>
      <c r="N150" s="13">
        <f t="shared" si="221"/>
        <v>62675</v>
      </c>
      <c r="O150" s="13">
        <f t="shared" si="221"/>
        <v>60542</v>
      </c>
      <c r="P150" s="13">
        <f t="shared" si="221"/>
        <v>55663</v>
      </c>
      <c r="Q150" s="13">
        <f t="shared" si="221"/>
        <v>62187</v>
      </c>
      <c r="R150" s="13">
        <f t="shared" si="221"/>
        <v>59945</v>
      </c>
      <c r="S150" s="13">
        <f t="shared" si="221"/>
        <v>65062</v>
      </c>
      <c r="T150" s="13">
        <f t="shared" si="221"/>
        <v>63871</v>
      </c>
      <c r="U150" s="13">
        <f t="shared" si="221"/>
        <v>63350</v>
      </c>
      <c r="V150" s="13">
        <f t="shared" si="221"/>
        <v>59223</v>
      </c>
      <c r="W150" s="13">
        <f t="shared" si="221"/>
        <v>122067</v>
      </c>
      <c r="X150" s="13">
        <f t="shared" si="221"/>
        <v>116962</v>
      </c>
      <c r="Y150" s="13">
        <f>SUM(Y144:Y149)</f>
        <v>117027</v>
      </c>
      <c r="Z150" s="13">
        <f t="shared" ref="Z150:AB150" si="222">SUM(Z144:Z149)</f>
        <v>161417</v>
      </c>
      <c r="AA150" s="13">
        <f t="shared" si="222"/>
        <v>158520</v>
      </c>
      <c r="AB150" s="13">
        <f t="shared" si="222"/>
        <v>158291</v>
      </c>
      <c r="AC150" s="13">
        <f t="shared" ref="AC150:AV150" si="223">SUM(AC144:AC149)</f>
        <v>158251</v>
      </c>
      <c r="AD150" s="13">
        <f t="shared" si="223"/>
        <v>158244.6</v>
      </c>
      <c r="AE150" s="13">
        <f t="shared" si="223"/>
        <v>158279.20000000001</v>
      </c>
      <c r="AF150" s="13">
        <f t="shared" si="223"/>
        <v>158526</v>
      </c>
      <c r="AG150" s="13">
        <f t="shared" si="223"/>
        <v>158474</v>
      </c>
      <c r="AH150" s="13">
        <f t="shared" si="223"/>
        <v>158465.51999999999</v>
      </c>
      <c r="AI150" s="13">
        <f t="shared" si="223"/>
        <v>158468.64000000001</v>
      </c>
      <c r="AJ150" s="13">
        <f t="shared" si="223"/>
        <v>158953.20000000001</v>
      </c>
      <c r="AK150" s="13">
        <f t="shared" si="223"/>
        <v>158865.79999999999</v>
      </c>
      <c r="AL150" s="13">
        <f t="shared" si="223"/>
        <v>158841.62400000001</v>
      </c>
      <c r="AM150" s="13">
        <f t="shared" si="223"/>
        <v>158836.568</v>
      </c>
      <c r="AN150" s="13">
        <f t="shared" si="223"/>
        <v>159987.84</v>
      </c>
      <c r="AO150" s="13">
        <f t="shared" si="223"/>
        <v>159886.36000000002</v>
      </c>
      <c r="AP150" s="13">
        <f t="shared" si="223"/>
        <v>159864.34880000001</v>
      </c>
      <c r="AQ150" s="13">
        <f t="shared" si="223"/>
        <v>159895.0816</v>
      </c>
      <c r="AR150" s="13">
        <f t="shared" si="223"/>
        <v>160328.408</v>
      </c>
      <c r="AS150" s="13">
        <f t="shared" si="223"/>
        <v>160250.03200000001</v>
      </c>
      <c r="AT150" s="13">
        <f t="shared" si="223"/>
        <v>160227.01856</v>
      </c>
      <c r="AU150" s="13">
        <f t="shared" si="223"/>
        <v>160262.09792</v>
      </c>
      <c r="AV150" s="13">
        <f t="shared" si="223"/>
        <v>160679.4896</v>
      </c>
    </row>
    <row r="151" spans="2:48">
      <c r="B151" s="28" t="s">
        <v>230</v>
      </c>
      <c r="C151" s="30"/>
      <c r="D151" s="29"/>
      <c r="E151" s="29"/>
      <c r="F151" s="29"/>
      <c r="G151" s="31">
        <f t="shared" ref="G151:X151" si="224">SUM(G141,G150)</f>
        <v>244306</v>
      </c>
      <c r="H151" s="31">
        <f t="shared" si="224"/>
        <v>242089</v>
      </c>
      <c r="I151" s="31">
        <f t="shared" si="224"/>
        <v>232072</v>
      </c>
      <c r="J151" s="31">
        <f t="shared" si="224"/>
        <v>232708</v>
      </c>
      <c r="K151" s="31">
        <f t="shared" si="224"/>
        <v>243706</v>
      </c>
      <c r="L151" s="31">
        <f t="shared" si="224"/>
        <v>238828</v>
      </c>
      <c r="M151" s="31">
        <f t="shared" si="224"/>
        <v>234244</v>
      </c>
      <c r="N151" s="31">
        <f t="shared" si="224"/>
        <v>240992</v>
      </c>
      <c r="O151" s="31">
        <f t="shared" si="224"/>
        <v>247149</v>
      </c>
      <c r="P151" s="31">
        <f t="shared" si="224"/>
        <v>240419</v>
      </c>
      <c r="Q151" s="31">
        <f t="shared" si="224"/>
        <v>244620</v>
      </c>
      <c r="R151" s="31">
        <f t="shared" si="224"/>
        <v>265792</v>
      </c>
      <c r="S151" s="31">
        <f t="shared" si="224"/>
        <v>269830</v>
      </c>
      <c r="T151" s="31">
        <f t="shared" si="224"/>
        <v>277366</v>
      </c>
      <c r="U151" s="31">
        <f t="shared" si="224"/>
        <v>276094</v>
      </c>
      <c r="V151" s="31">
        <f t="shared" si="224"/>
        <v>287109</v>
      </c>
      <c r="W151" s="31">
        <f t="shared" si="224"/>
        <v>350518</v>
      </c>
      <c r="X151" s="31">
        <f t="shared" si="224"/>
        <v>336554</v>
      </c>
      <c r="Y151" s="31">
        <f>SUM(Y141,Y150)</f>
        <v>356251</v>
      </c>
      <c r="Z151" s="31">
        <f t="shared" ref="Z151:AB151" si="225">SUM(Z141,Z150)</f>
        <v>395114</v>
      </c>
      <c r="AA151" s="31">
        <f t="shared" si="225"/>
        <v>433863</v>
      </c>
      <c r="AB151" s="31">
        <f t="shared" si="225"/>
        <v>448160.28769450338</v>
      </c>
      <c r="AC151" s="31">
        <f t="shared" ref="AC151:AV151" si="226">SUM(AC141,AC150)</f>
        <v>438632.43890304636</v>
      </c>
      <c r="AD151" s="31">
        <f t="shared" si="226"/>
        <v>442460.73032781528</v>
      </c>
      <c r="AE151" s="31">
        <f t="shared" si="226"/>
        <v>448994.40569668793</v>
      </c>
      <c r="AF151" s="31">
        <f t="shared" si="226"/>
        <v>465699.30573575129</v>
      </c>
      <c r="AG151" s="31">
        <f t="shared" si="226"/>
        <v>457130.04607623618</v>
      </c>
      <c r="AH151" s="31">
        <f t="shared" si="226"/>
        <v>461728.73480580654</v>
      </c>
      <c r="AI151" s="31">
        <f t="shared" si="226"/>
        <v>467972.53293482831</v>
      </c>
      <c r="AJ151" s="31">
        <f t="shared" si="226"/>
        <v>486667.11769741122</v>
      </c>
      <c r="AK151" s="31">
        <f t="shared" si="226"/>
        <v>480450.06084888807</v>
      </c>
      <c r="AL151" s="31">
        <f t="shared" si="226"/>
        <v>485624.44666931528</v>
      </c>
      <c r="AM151" s="31">
        <f t="shared" si="226"/>
        <v>492302.20716546965</v>
      </c>
      <c r="AN151" s="31">
        <f t="shared" si="226"/>
        <v>518504.0710276583</v>
      </c>
      <c r="AO151" s="31">
        <f t="shared" si="226"/>
        <v>508945.87274381134</v>
      </c>
      <c r="AP151" s="31">
        <f t="shared" si="226"/>
        <v>515293.59010328399</v>
      </c>
      <c r="AQ151" s="31">
        <f t="shared" si="226"/>
        <v>523525.12441551022</v>
      </c>
      <c r="AR151" s="31">
        <f t="shared" si="226"/>
        <v>554092.1988811125</v>
      </c>
      <c r="AS151" s="31">
        <f t="shared" si="226"/>
        <v>539929.93265169661</v>
      </c>
      <c r="AT151" s="31">
        <f t="shared" si="226"/>
        <v>543034.30910207599</v>
      </c>
      <c r="AU151" s="31">
        <f t="shared" si="226"/>
        <v>557229.94420731359</v>
      </c>
      <c r="AV151" s="31">
        <f t="shared" si="226"/>
        <v>593624.09930442332</v>
      </c>
    </row>
    <row r="154" spans="2:48">
      <c r="B154" s="1" t="s">
        <v>231</v>
      </c>
      <c r="AC154" s="14"/>
      <c r="AD154" s="14"/>
      <c r="AE154" s="14"/>
      <c r="AF154" s="14"/>
    </row>
    <row r="155" spans="2:48">
      <c r="B155" s="5" t="s">
        <v>232</v>
      </c>
      <c r="C155" s="9" t="s">
        <v>159</v>
      </c>
      <c r="G155" s="14">
        <v>25122</v>
      </c>
      <c r="H155" s="14">
        <v>25122</v>
      </c>
      <c r="I155" s="14">
        <v>25122</v>
      </c>
      <c r="J155" s="14">
        <v>25122</v>
      </c>
      <c r="K155" s="14">
        <v>25122</v>
      </c>
      <c r="L155" s="14">
        <v>25122</v>
      </c>
      <c r="M155" s="14">
        <v>25122</v>
      </c>
      <c r="N155" s="14">
        <v>25122</v>
      </c>
      <c r="O155" s="14">
        <v>25122</v>
      </c>
      <c r="P155" s="14">
        <v>25122</v>
      </c>
      <c r="Q155" s="14">
        <v>25122</v>
      </c>
      <c r="R155" s="14">
        <v>25122</v>
      </c>
      <c r="S155" s="14">
        <v>25122</v>
      </c>
      <c r="T155" s="14">
        <v>25122</v>
      </c>
      <c r="U155" s="14">
        <v>25122</v>
      </c>
      <c r="V155" s="14">
        <v>25122</v>
      </c>
      <c r="W155" s="14">
        <v>25122</v>
      </c>
      <c r="X155" s="14">
        <v>25122</v>
      </c>
      <c r="Y155" s="14">
        <f>X155</f>
        <v>25122</v>
      </c>
      <c r="Z155" s="14">
        <v>25122</v>
      </c>
      <c r="AA155" s="14">
        <v>25122</v>
      </c>
      <c r="AB155" s="184">
        <f t="shared" ref="AB155:AV155" si="227">AA155</f>
        <v>25122</v>
      </c>
      <c r="AC155" s="184">
        <f t="shared" si="227"/>
        <v>25122</v>
      </c>
      <c r="AD155" s="14">
        <f t="shared" si="227"/>
        <v>25122</v>
      </c>
      <c r="AE155" s="14">
        <f t="shared" si="227"/>
        <v>25122</v>
      </c>
      <c r="AF155" s="14">
        <f t="shared" si="227"/>
        <v>25122</v>
      </c>
      <c r="AG155" s="14">
        <f t="shared" si="227"/>
        <v>25122</v>
      </c>
      <c r="AH155" s="14">
        <f t="shared" si="227"/>
        <v>25122</v>
      </c>
      <c r="AI155" s="14">
        <f t="shared" si="227"/>
        <v>25122</v>
      </c>
      <c r="AJ155" s="14">
        <f t="shared" si="227"/>
        <v>25122</v>
      </c>
      <c r="AK155" s="14">
        <f t="shared" si="227"/>
        <v>25122</v>
      </c>
      <c r="AL155" s="14">
        <f t="shared" si="227"/>
        <v>25122</v>
      </c>
      <c r="AM155" s="14">
        <f t="shared" si="227"/>
        <v>25122</v>
      </c>
      <c r="AN155" s="14">
        <f t="shared" si="227"/>
        <v>25122</v>
      </c>
      <c r="AO155" s="14">
        <f t="shared" si="227"/>
        <v>25122</v>
      </c>
      <c r="AP155" s="14">
        <f t="shared" si="227"/>
        <v>25122</v>
      </c>
      <c r="AQ155" s="14">
        <f t="shared" si="227"/>
        <v>25122</v>
      </c>
      <c r="AR155" s="14">
        <f t="shared" si="227"/>
        <v>25122</v>
      </c>
      <c r="AS155" s="14">
        <f t="shared" si="227"/>
        <v>25122</v>
      </c>
      <c r="AT155" s="14">
        <f t="shared" si="227"/>
        <v>25122</v>
      </c>
      <c r="AU155" s="14">
        <f t="shared" si="227"/>
        <v>25122</v>
      </c>
      <c r="AV155" s="14">
        <f t="shared" si="227"/>
        <v>25122</v>
      </c>
    </row>
    <row r="156" spans="2:48">
      <c r="B156" s="5" t="s">
        <v>233</v>
      </c>
      <c r="C156" s="9" t="s">
        <v>159</v>
      </c>
      <c r="G156" s="14">
        <v>50638</v>
      </c>
      <c r="H156" s="14">
        <v>50636</v>
      </c>
      <c r="I156" s="14">
        <v>50389</v>
      </c>
      <c r="J156" s="14">
        <v>50271</v>
      </c>
      <c r="K156" s="14">
        <v>50023</v>
      </c>
      <c r="L156" s="14">
        <v>49862</v>
      </c>
      <c r="M156" s="14">
        <v>49272</v>
      </c>
      <c r="N156" s="14">
        <v>49293</v>
      </c>
      <c r="O156" s="14">
        <v>43546</v>
      </c>
      <c r="P156" s="14">
        <v>43585</v>
      </c>
      <c r="Q156" s="14">
        <v>43624</v>
      </c>
      <c r="R156" s="14">
        <v>43476</v>
      </c>
      <c r="S156" s="14">
        <v>43518</v>
      </c>
      <c r="T156" s="14">
        <v>44054</v>
      </c>
      <c r="U156" s="14">
        <v>44059</v>
      </c>
      <c r="V156" s="14">
        <v>44083</v>
      </c>
      <c r="W156" s="14">
        <v>39804</v>
      </c>
      <c r="X156" s="14">
        <v>39662</v>
      </c>
      <c r="Y156" s="14">
        <v>39767</v>
      </c>
      <c r="Z156" s="14">
        <v>39751</v>
      </c>
      <c r="AA156" s="14">
        <v>39768</v>
      </c>
      <c r="AB156" s="184">
        <f t="shared" ref="AB156:AV156" si="228">AA156</f>
        <v>39768</v>
      </c>
      <c r="AC156" s="184">
        <f t="shared" si="228"/>
        <v>39768</v>
      </c>
      <c r="AD156" s="14">
        <f t="shared" si="228"/>
        <v>39768</v>
      </c>
      <c r="AE156" s="14">
        <f t="shared" si="228"/>
        <v>39768</v>
      </c>
      <c r="AF156" s="14">
        <f t="shared" si="228"/>
        <v>39768</v>
      </c>
      <c r="AG156" s="14">
        <f t="shared" si="228"/>
        <v>39768</v>
      </c>
      <c r="AH156" s="14">
        <f t="shared" si="228"/>
        <v>39768</v>
      </c>
      <c r="AI156" s="14">
        <f t="shared" si="228"/>
        <v>39768</v>
      </c>
      <c r="AJ156" s="14">
        <f t="shared" si="228"/>
        <v>39768</v>
      </c>
      <c r="AK156" s="14">
        <f t="shared" si="228"/>
        <v>39768</v>
      </c>
      <c r="AL156" s="14">
        <f t="shared" si="228"/>
        <v>39768</v>
      </c>
      <c r="AM156" s="14">
        <f t="shared" si="228"/>
        <v>39768</v>
      </c>
      <c r="AN156" s="14">
        <f t="shared" si="228"/>
        <v>39768</v>
      </c>
      <c r="AO156" s="14">
        <f t="shared" si="228"/>
        <v>39768</v>
      </c>
      <c r="AP156" s="14">
        <f t="shared" si="228"/>
        <v>39768</v>
      </c>
      <c r="AQ156" s="14">
        <f t="shared" si="228"/>
        <v>39768</v>
      </c>
      <c r="AR156" s="14">
        <f t="shared" si="228"/>
        <v>39768</v>
      </c>
      <c r="AS156" s="14">
        <f t="shared" si="228"/>
        <v>39768</v>
      </c>
      <c r="AT156" s="14">
        <f t="shared" si="228"/>
        <v>39768</v>
      </c>
      <c r="AU156" s="14">
        <f t="shared" si="228"/>
        <v>39768</v>
      </c>
      <c r="AV156" s="14">
        <f t="shared" si="228"/>
        <v>39768</v>
      </c>
    </row>
    <row r="157" spans="2:48">
      <c r="B157" s="5" t="s">
        <v>234</v>
      </c>
      <c r="C157" s="9" t="s">
        <v>159</v>
      </c>
      <c r="G157" s="14">
        <v>-6656</v>
      </c>
      <c r="H157" s="14">
        <v>-6658</v>
      </c>
      <c r="I157" s="14">
        <v>-11833</v>
      </c>
      <c r="J157" s="14">
        <v>-15682</v>
      </c>
      <c r="K157" s="14">
        <v>-18393</v>
      </c>
      <c r="L157" s="14">
        <v>-11828</v>
      </c>
      <c r="M157" s="14">
        <v>-18099</v>
      </c>
      <c r="N157" s="14">
        <v>-21594</v>
      </c>
      <c r="O157" s="14">
        <v>-11428</v>
      </c>
      <c r="P157" s="14">
        <v>-11431</v>
      </c>
      <c r="Q157" s="14">
        <v>-11379</v>
      </c>
      <c r="R157" s="14">
        <v>-11383</v>
      </c>
      <c r="S157" s="14">
        <v>-11387</v>
      </c>
      <c r="T157" s="14">
        <v>-11341</v>
      </c>
      <c r="U157" s="14">
        <v>-23277</v>
      </c>
      <c r="V157" s="14">
        <v>-31716</v>
      </c>
      <c r="W157" s="14">
        <v>-22299</v>
      </c>
      <c r="X157" s="14">
        <v>-31049</v>
      </c>
      <c r="Y157" s="14">
        <v>-22481</v>
      </c>
      <c r="Z157" s="14">
        <v>-33658</v>
      </c>
      <c r="AA157" s="14">
        <v>-33659</v>
      </c>
      <c r="AB157" s="184">
        <f t="shared" ref="AB157:AV157" si="229">AA157</f>
        <v>-33659</v>
      </c>
      <c r="AC157" s="184">
        <f t="shared" si="229"/>
        <v>-33659</v>
      </c>
      <c r="AD157" s="14">
        <f t="shared" si="229"/>
        <v>-33659</v>
      </c>
      <c r="AE157" s="14">
        <f t="shared" si="229"/>
        <v>-33659</v>
      </c>
      <c r="AF157" s="14">
        <f t="shared" si="229"/>
        <v>-33659</v>
      </c>
      <c r="AG157" s="14">
        <f t="shared" si="229"/>
        <v>-33659</v>
      </c>
      <c r="AH157" s="14">
        <f t="shared" si="229"/>
        <v>-33659</v>
      </c>
      <c r="AI157" s="14">
        <f t="shared" si="229"/>
        <v>-33659</v>
      </c>
      <c r="AJ157" s="14">
        <f t="shared" si="229"/>
        <v>-33659</v>
      </c>
      <c r="AK157" s="14">
        <f t="shared" si="229"/>
        <v>-33659</v>
      </c>
      <c r="AL157" s="14">
        <f t="shared" si="229"/>
        <v>-33659</v>
      </c>
      <c r="AM157" s="14">
        <f t="shared" si="229"/>
        <v>-33659</v>
      </c>
      <c r="AN157" s="14">
        <f t="shared" si="229"/>
        <v>-33659</v>
      </c>
      <c r="AO157" s="14">
        <f t="shared" si="229"/>
        <v>-33659</v>
      </c>
      <c r="AP157" s="14">
        <f t="shared" si="229"/>
        <v>-33659</v>
      </c>
      <c r="AQ157" s="14">
        <f t="shared" si="229"/>
        <v>-33659</v>
      </c>
      <c r="AR157" s="14">
        <f t="shared" si="229"/>
        <v>-33659</v>
      </c>
      <c r="AS157" s="14">
        <f t="shared" si="229"/>
        <v>-33659</v>
      </c>
      <c r="AT157" s="14">
        <f t="shared" si="229"/>
        <v>-33659</v>
      </c>
      <c r="AU157" s="14">
        <f t="shared" si="229"/>
        <v>-33659</v>
      </c>
      <c r="AV157" s="14">
        <f t="shared" si="229"/>
        <v>-33659</v>
      </c>
    </row>
    <row r="158" spans="2:48">
      <c r="B158" s="5" t="s">
        <v>235</v>
      </c>
      <c r="C158" s="9" t="s">
        <v>236</v>
      </c>
      <c r="G158" s="14">
        <v>29014</v>
      </c>
      <c r="H158" s="14">
        <v>34217</v>
      </c>
      <c r="I158" s="14">
        <v>33479</v>
      </c>
      <c r="J158" s="14">
        <v>34128</v>
      </c>
      <c r="K158" s="14">
        <v>33642</v>
      </c>
      <c r="L158" s="14">
        <v>45221</v>
      </c>
      <c r="M158" s="14">
        <v>34822</v>
      </c>
      <c r="N158" s="14">
        <v>46378</v>
      </c>
      <c r="O158" s="14">
        <v>37559</v>
      </c>
      <c r="P158" s="14">
        <v>34003</v>
      </c>
      <c r="Q158" s="14">
        <v>51127</v>
      </c>
      <c r="R158" s="14">
        <v>60413</v>
      </c>
      <c r="S158" s="14">
        <v>53329</v>
      </c>
      <c r="T158" s="14">
        <v>65570</v>
      </c>
      <c r="U158" s="14">
        <v>72688</v>
      </c>
      <c r="V158" s="14">
        <v>62072</v>
      </c>
      <c r="W158" s="14">
        <v>64381</v>
      </c>
      <c r="X158" s="14">
        <v>59899</v>
      </c>
      <c r="Y158" s="14">
        <v>59852</v>
      </c>
      <c r="Z158" s="14">
        <v>73724</v>
      </c>
      <c r="AA158" s="14">
        <v>85364</v>
      </c>
      <c r="AB158" s="14">
        <f t="shared" ref="AB158:AV158" si="230">AA158+AB47-AB50</f>
        <v>87656.444104688198</v>
      </c>
      <c r="AC158" s="14">
        <f t="shared" si="230"/>
        <v>94114.807638174912</v>
      </c>
      <c r="AD158" s="14">
        <f t="shared" si="230"/>
        <v>97404.353489525558</v>
      </c>
      <c r="AE158" s="14">
        <f t="shared" si="230"/>
        <v>94683.863860766985</v>
      </c>
      <c r="AF158" s="14">
        <f t="shared" si="230"/>
        <v>95377.309623014589</v>
      </c>
      <c r="AG158" s="14">
        <f t="shared" si="230"/>
        <v>102783.13931430415</v>
      </c>
      <c r="AH158" s="14">
        <f t="shared" si="230"/>
        <v>106380.55909157512</v>
      </c>
      <c r="AI158" s="14">
        <f t="shared" si="230"/>
        <v>102872.03672634225</v>
      </c>
      <c r="AJ158" s="14">
        <f t="shared" si="230"/>
        <v>100638.34331322052</v>
      </c>
      <c r="AK158" s="14">
        <f t="shared" si="230"/>
        <v>106976.27108703527</v>
      </c>
      <c r="AL158" s="14">
        <f t="shared" si="230"/>
        <v>109057.17815594008</v>
      </c>
      <c r="AM158" s="14">
        <f t="shared" si="230"/>
        <v>106744.07070069712</v>
      </c>
      <c r="AN158" s="14">
        <f t="shared" si="230"/>
        <v>105365.84149987956</v>
      </c>
      <c r="AO158" s="14">
        <f t="shared" si="230"/>
        <v>109429.08783963988</v>
      </c>
      <c r="AP158" s="14">
        <f t="shared" si="230"/>
        <v>109996.66912455796</v>
      </c>
      <c r="AQ158" s="14">
        <f t="shared" si="230"/>
        <v>109605.63985543746</v>
      </c>
      <c r="AR158" s="14">
        <f t="shared" si="230"/>
        <v>106711.24696870492</v>
      </c>
      <c r="AS158" s="14">
        <f t="shared" si="230"/>
        <v>110361.65782223833</v>
      </c>
      <c r="AT158" s="14">
        <f t="shared" si="230"/>
        <v>113616.46779424328</v>
      </c>
      <c r="AU158" s="14">
        <f t="shared" si="230"/>
        <v>112060.88273794918</v>
      </c>
      <c r="AV158" s="14">
        <f t="shared" si="230"/>
        <v>110169.88544236755</v>
      </c>
    </row>
    <row r="159" spans="2:48">
      <c r="B159" s="5" t="s">
        <v>237</v>
      </c>
      <c r="C159" s="9" t="s">
        <v>238</v>
      </c>
      <c r="G159" s="14">
        <v>271476</v>
      </c>
      <c r="H159" s="14">
        <v>280697</v>
      </c>
      <c r="I159" s="14">
        <v>284768</v>
      </c>
      <c r="J159" s="14">
        <v>294013</v>
      </c>
      <c r="K159" s="14">
        <v>300785</v>
      </c>
      <c r="L159" s="14">
        <v>299281</v>
      </c>
      <c r="M159" s="14">
        <v>323327</v>
      </c>
      <c r="N159" s="14">
        <v>333178</v>
      </c>
      <c r="O159" s="14">
        <v>334086</v>
      </c>
      <c r="P159" s="14">
        <v>339147</v>
      </c>
      <c r="Q159" s="14">
        <v>345926</v>
      </c>
      <c r="R159" s="14">
        <v>364907</v>
      </c>
      <c r="S159" s="14">
        <v>369361</v>
      </c>
      <c r="T159" s="14">
        <v>369779</v>
      </c>
      <c r="U159" s="14">
        <v>373234</v>
      </c>
      <c r="V159" s="14">
        <v>386403</v>
      </c>
      <c r="W159" s="14">
        <v>371998</v>
      </c>
      <c r="X159" s="14">
        <v>381893</v>
      </c>
      <c r="Y159" s="14">
        <v>365503</v>
      </c>
      <c r="Z159" s="14">
        <v>376815</v>
      </c>
      <c r="AA159" s="14">
        <v>380065</v>
      </c>
      <c r="AB159" s="14">
        <f t="shared" ref="AB159:AV159" si="231">AA159+AB45</f>
        <v>400648.93822818028</v>
      </c>
      <c r="AC159" s="14">
        <f t="shared" si="231"/>
        <v>419314.3279893265</v>
      </c>
      <c r="AD159" s="14">
        <f t="shared" si="231"/>
        <v>437609.51424210216</v>
      </c>
      <c r="AE159" s="14">
        <f t="shared" si="231"/>
        <v>458760.21234719746</v>
      </c>
      <c r="AF159" s="14">
        <f t="shared" si="231"/>
        <v>483825.75218385749</v>
      </c>
      <c r="AG159" s="14">
        <f t="shared" si="231"/>
        <v>505937.51523125981</v>
      </c>
      <c r="AH159" s="14">
        <f t="shared" si="231"/>
        <v>529836.26919538237</v>
      </c>
      <c r="AI159" s="14">
        <f t="shared" si="231"/>
        <v>557014.01937861438</v>
      </c>
      <c r="AJ159" s="14">
        <f t="shared" si="231"/>
        <v>587556.59536431811</v>
      </c>
      <c r="AK159" s="14">
        <f t="shared" si="231"/>
        <v>614000.39334038878</v>
      </c>
      <c r="AL159" s="14">
        <f t="shared" si="231"/>
        <v>643010.02783045219</v>
      </c>
      <c r="AM159" s="14">
        <f t="shared" si="231"/>
        <v>675691.2956687212</v>
      </c>
      <c r="AN159" s="14">
        <f t="shared" si="231"/>
        <v>713621.03650632477</v>
      </c>
      <c r="AO159" s="14">
        <f t="shared" si="231"/>
        <v>746216.13889007876</v>
      </c>
      <c r="AP159" s="14">
        <f t="shared" si="231"/>
        <v>780066.8418629464</v>
      </c>
      <c r="AQ159" s="14">
        <f t="shared" si="231"/>
        <v>818079.80641475378</v>
      </c>
      <c r="AR159" s="14">
        <f t="shared" si="231"/>
        <v>858959.25134502875</v>
      </c>
      <c r="AS159" s="14">
        <f t="shared" si="231"/>
        <v>893696.87263717782</v>
      </c>
      <c r="AT159" s="14">
        <f t="shared" si="231"/>
        <v>932606.12875562231</v>
      </c>
      <c r="AU159" s="14">
        <f t="shared" si="231"/>
        <v>976290.0819229933</v>
      </c>
      <c r="AV159" s="14">
        <f t="shared" si="231"/>
        <v>1022554.8433920988</v>
      </c>
    </row>
    <row r="160" spans="2:48">
      <c r="B160" s="18" t="s">
        <v>239</v>
      </c>
      <c r="C160" s="22"/>
      <c r="D160" s="12"/>
      <c r="E160" s="12"/>
      <c r="F160" s="12"/>
      <c r="G160" s="13">
        <f t="shared" ref="G160:X160" si="232">SUM(G155:G159)</f>
        <v>369594</v>
      </c>
      <c r="H160" s="13">
        <f t="shared" si="232"/>
        <v>384014</v>
      </c>
      <c r="I160" s="13">
        <f t="shared" si="232"/>
        <v>381925</v>
      </c>
      <c r="J160" s="13">
        <f t="shared" si="232"/>
        <v>387852</v>
      </c>
      <c r="K160" s="13">
        <f t="shared" si="232"/>
        <v>391179</v>
      </c>
      <c r="L160" s="13">
        <f t="shared" si="232"/>
        <v>407658</v>
      </c>
      <c r="M160" s="13">
        <f t="shared" si="232"/>
        <v>414444</v>
      </c>
      <c r="N160" s="13">
        <f t="shared" si="232"/>
        <v>432377</v>
      </c>
      <c r="O160" s="13">
        <f t="shared" si="232"/>
        <v>428885</v>
      </c>
      <c r="P160" s="13">
        <f t="shared" si="232"/>
        <v>430426</v>
      </c>
      <c r="Q160" s="13">
        <f t="shared" si="232"/>
        <v>454420</v>
      </c>
      <c r="R160" s="13">
        <f t="shared" si="232"/>
        <v>482535</v>
      </c>
      <c r="S160" s="13">
        <f t="shared" si="232"/>
        <v>479943</v>
      </c>
      <c r="T160" s="13">
        <f t="shared" si="232"/>
        <v>493184</v>
      </c>
      <c r="U160" s="13">
        <f t="shared" si="232"/>
        <v>491826</v>
      </c>
      <c r="V160" s="13">
        <f t="shared" si="232"/>
        <v>485964</v>
      </c>
      <c r="W160" s="13">
        <f t="shared" si="232"/>
        <v>479006</v>
      </c>
      <c r="X160" s="13">
        <f t="shared" si="232"/>
        <v>475527</v>
      </c>
      <c r="Y160" s="13">
        <f>SUM(Y155:Y159)</f>
        <v>467763</v>
      </c>
      <c r="Z160" s="13">
        <f t="shared" ref="Z160:AB160" si="233">SUM(Z155:Z159)</f>
        <v>481754</v>
      </c>
      <c r="AA160" s="13">
        <f t="shared" si="233"/>
        <v>496660</v>
      </c>
      <c r="AB160" s="13">
        <f t="shared" si="233"/>
        <v>519536.38233286847</v>
      </c>
      <c r="AC160" s="13">
        <f t="shared" ref="AC160:AV160" si="234">SUM(AC155:AC159)</f>
        <v>544660.13562750141</v>
      </c>
      <c r="AD160" s="13">
        <f t="shared" si="234"/>
        <v>566244.86773162778</v>
      </c>
      <c r="AE160" s="13">
        <f t="shared" si="234"/>
        <v>584675.07620796445</v>
      </c>
      <c r="AF160" s="13">
        <f t="shared" si="234"/>
        <v>610434.06180687202</v>
      </c>
      <c r="AG160" s="13">
        <f t="shared" si="234"/>
        <v>639951.65454556397</v>
      </c>
      <c r="AH160" s="13">
        <f t="shared" si="234"/>
        <v>667447.82828695746</v>
      </c>
      <c r="AI160" s="13">
        <f t="shared" si="234"/>
        <v>691117.05610495666</v>
      </c>
      <c r="AJ160" s="13">
        <f t="shared" si="234"/>
        <v>719425.93867753865</v>
      </c>
      <c r="AK160" s="13">
        <f t="shared" si="234"/>
        <v>752207.66442742408</v>
      </c>
      <c r="AL160" s="13">
        <f t="shared" si="234"/>
        <v>783298.20598639222</v>
      </c>
      <c r="AM160" s="13">
        <f t="shared" si="234"/>
        <v>813666.36636941833</v>
      </c>
      <c r="AN160" s="13">
        <f t="shared" si="234"/>
        <v>850217.87800620426</v>
      </c>
      <c r="AO160" s="13">
        <f t="shared" si="234"/>
        <v>886876.22672971862</v>
      </c>
      <c r="AP160" s="13">
        <f t="shared" si="234"/>
        <v>921294.51098750439</v>
      </c>
      <c r="AQ160" s="13">
        <f t="shared" si="234"/>
        <v>958916.44627019123</v>
      </c>
      <c r="AR160" s="13">
        <f t="shared" si="234"/>
        <v>996901.49831373361</v>
      </c>
      <c r="AS160" s="13">
        <f t="shared" si="234"/>
        <v>1035289.5304594161</v>
      </c>
      <c r="AT160" s="13">
        <f t="shared" si="234"/>
        <v>1077453.5965498656</v>
      </c>
      <c r="AU160" s="13">
        <f t="shared" si="234"/>
        <v>1119581.9646609426</v>
      </c>
      <c r="AV160" s="13">
        <f t="shared" si="234"/>
        <v>1163955.7288344663</v>
      </c>
    </row>
    <row r="161" spans="1:48">
      <c r="B161" s="5" t="s">
        <v>240</v>
      </c>
      <c r="C161" s="9" t="s">
        <v>238</v>
      </c>
      <c r="G161" s="14">
        <v>35839</v>
      </c>
      <c r="H161" s="14">
        <v>37419</v>
      </c>
      <c r="I161" s="14">
        <v>33890</v>
      </c>
      <c r="J161" s="14">
        <v>34404</v>
      </c>
      <c r="K161" s="14">
        <v>35637</v>
      </c>
      <c r="L161" s="14">
        <v>36930</v>
      </c>
      <c r="M161" s="14">
        <v>37156</v>
      </c>
      <c r="N161" s="14">
        <v>37444</v>
      </c>
      <c r="O161" s="14">
        <v>36134</v>
      </c>
      <c r="P161" s="14">
        <v>37522</v>
      </c>
      <c r="Q161" s="14">
        <v>38931</v>
      </c>
      <c r="R161" s="14">
        <v>40889</v>
      </c>
      <c r="S161" s="14">
        <v>41158</v>
      </c>
      <c r="T161" s="14">
        <v>41824</v>
      </c>
      <c r="U161" s="14">
        <v>43201</v>
      </c>
      <c r="V161" s="14">
        <v>41556</v>
      </c>
      <c r="W161" s="14">
        <v>38920</v>
      </c>
      <c r="X161" s="14">
        <v>36372</v>
      </c>
      <c r="Y161" s="14">
        <v>35220</v>
      </c>
      <c r="Z161" s="14">
        <v>36709</v>
      </c>
      <c r="AA161" s="14">
        <v>38804</v>
      </c>
      <c r="AB161" s="14">
        <f t="shared" ref="AB161:AV161" si="235">AA161+AB50</f>
        <v>40732.755895311799</v>
      </c>
      <c r="AC161" s="14">
        <f t="shared" si="235"/>
        <v>42850.99236182509</v>
      </c>
      <c r="AD161" s="14">
        <f t="shared" si="235"/>
        <v>44670.846510474439</v>
      </c>
      <c r="AE161" s="14">
        <f t="shared" si="235"/>
        <v>46224.736139233006</v>
      </c>
      <c r="AF161" s="14">
        <f t="shared" si="235"/>
        <v>48396.530376985414</v>
      </c>
      <c r="AG161" s="14">
        <f t="shared" si="235"/>
        <v>50885.220685695858</v>
      </c>
      <c r="AH161" s="14">
        <f t="shared" si="235"/>
        <v>53203.480908424885</v>
      </c>
      <c r="AI161" s="14">
        <f t="shared" si="235"/>
        <v>55199.08327365775</v>
      </c>
      <c r="AJ161" s="14">
        <f t="shared" si="235"/>
        <v>57585.864686779481</v>
      </c>
      <c r="AK161" s="14">
        <f t="shared" si="235"/>
        <v>60349.760912964724</v>
      </c>
      <c r="AL161" s="14">
        <f t="shared" si="235"/>
        <v>62971.069844059908</v>
      </c>
      <c r="AM161" s="14">
        <f t="shared" si="235"/>
        <v>65531.473299302874</v>
      </c>
      <c r="AN161" s="14">
        <f t="shared" si="235"/>
        <v>68613.208100120435</v>
      </c>
      <c r="AO161" s="14">
        <f t="shared" si="235"/>
        <v>71703.950560360128</v>
      </c>
      <c r="AP161" s="14">
        <f t="shared" si="235"/>
        <v>74605.828475442046</v>
      </c>
      <c r="AQ161" s="14">
        <f t="shared" si="235"/>
        <v>77777.812944562538</v>
      </c>
      <c r="AR161" s="14">
        <f t="shared" si="235"/>
        <v>80980.412551295085</v>
      </c>
      <c r="AS161" s="14">
        <f t="shared" si="235"/>
        <v>84216.988257761681</v>
      </c>
      <c r="AT161" s="14">
        <f t="shared" si="235"/>
        <v>87771.929325756733</v>
      </c>
      <c r="AU161" s="14">
        <f t="shared" si="235"/>
        <v>91323.860622050823</v>
      </c>
      <c r="AV161" s="14">
        <f t="shared" si="235"/>
        <v>95065.105981632456</v>
      </c>
    </row>
    <row r="162" spans="1:48">
      <c r="B162" s="28" t="s">
        <v>241</v>
      </c>
      <c r="C162" s="30"/>
      <c r="D162" s="29"/>
      <c r="E162" s="29"/>
      <c r="F162" s="29"/>
      <c r="G162" s="31">
        <f t="shared" ref="G162:W162" si="236">SUM(G160:G161)</f>
        <v>405433</v>
      </c>
      <c r="H162" s="31">
        <f t="shared" si="236"/>
        <v>421433</v>
      </c>
      <c r="I162" s="31">
        <f t="shared" si="236"/>
        <v>415815</v>
      </c>
      <c r="J162" s="31">
        <f t="shared" si="236"/>
        <v>422256</v>
      </c>
      <c r="K162" s="31">
        <f t="shared" si="236"/>
        <v>426816</v>
      </c>
      <c r="L162" s="31">
        <f t="shared" si="236"/>
        <v>444588</v>
      </c>
      <c r="M162" s="31">
        <f t="shared" si="236"/>
        <v>451600</v>
      </c>
      <c r="N162" s="31">
        <f t="shared" si="236"/>
        <v>469821</v>
      </c>
      <c r="O162" s="31">
        <f t="shared" si="236"/>
        <v>465019</v>
      </c>
      <c r="P162" s="31">
        <f t="shared" si="236"/>
        <v>467948</v>
      </c>
      <c r="Q162" s="31">
        <f t="shared" si="236"/>
        <v>493351</v>
      </c>
      <c r="R162" s="31">
        <f t="shared" si="236"/>
        <v>523424</v>
      </c>
      <c r="S162" s="31">
        <f t="shared" si="236"/>
        <v>521101</v>
      </c>
      <c r="T162" s="31">
        <f t="shared" si="236"/>
        <v>535008</v>
      </c>
      <c r="U162" s="31">
        <f t="shared" si="236"/>
        <v>535027</v>
      </c>
      <c r="V162" s="31">
        <f t="shared" si="236"/>
        <v>527520</v>
      </c>
      <c r="W162" s="31">
        <f t="shared" si="236"/>
        <v>517926</v>
      </c>
      <c r="X162" s="31">
        <f>SUM(X160:X161)</f>
        <v>511899</v>
      </c>
      <c r="Y162" s="31">
        <f>SUM(Y160:Y161)</f>
        <v>502983</v>
      </c>
      <c r="Z162" s="31">
        <f t="shared" ref="Z162:AB162" si="237">SUM(Z160:Z161)</f>
        <v>518463</v>
      </c>
      <c r="AA162" s="31">
        <f t="shared" si="237"/>
        <v>535464</v>
      </c>
      <c r="AB162" s="31">
        <f t="shared" si="237"/>
        <v>560269.13822818024</v>
      </c>
      <c r="AC162" s="31">
        <f t="shared" ref="AC162:AV162" si="238">SUM(AC160:AC161)</f>
        <v>587511.12798932649</v>
      </c>
      <c r="AD162" s="31">
        <f t="shared" si="238"/>
        <v>610915.71424210223</v>
      </c>
      <c r="AE162" s="31">
        <f t="shared" si="238"/>
        <v>630899.81234719744</v>
      </c>
      <c r="AF162" s="31">
        <f t="shared" si="238"/>
        <v>658830.59218385746</v>
      </c>
      <c r="AG162" s="31">
        <f t="shared" si="238"/>
        <v>690836.87523125985</v>
      </c>
      <c r="AH162" s="31">
        <f t="shared" si="238"/>
        <v>720651.30919538229</v>
      </c>
      <c r="AI162" s="31">
        <f t="shared" si="238"/>
        <v>746316.13937861437</v>
      </c>
      <c r="AJ162" s="31">
        <f t="shared" si="238"/>
        <v>777011.8033643181</v>
      </c>
      <c r="AK162" s="31">
        <f t="shared" si="238"/>
        <v>812557.42534038879</v>
      </c>
      <c r="AL162" s="31">
        <f t="shared" si="238"/>
        <v>846269.2758304521</v>
      </c>
      <c r="AM162" s="31">
        <f t="shared" si="238"/>
        <v>879197.83966872119</v>
      </c>
      <c r="AN162" s="31">
        <f t="shared" si="238"/>
        <v>918831.08610632468</v>
      </c>
      <c r="AO162" s="31">
        <f t="shared" si="238"/>
        <v>958580.17729007872</v>
      </c>
      <c r="AP162" s="31">
        <f t="shared" si="238"/>
        <v>995900.3394629464</v>
      </c>
      <c r="AQ162" s="31">
        <f t="shared" si="238"/>
        <v>1036694.2592147538</v>
      </c>
      <c r="AR162" s="31">
        <f t="shared" si="238"/>
        <v>1077881.9108650286</v>
      </c>
      <c r="AS162" s="31">
        <f t="shared" si="238"/>
        <v>1119506.5187171777</v>
      </c>
      <c r="AT162" s="31">
        <f t="shared" si="238"/>
        <v>1165225.5258756224</v>
      </c>
      <c r="AU162" s="31">
        <f t="shared" si="238"/>
        <v>1210905.8252829933</v>
      </c>
      <c r="AV162" s="31">
        <f t="shared" si="238"/>
        <v>1259020.8348160987</v>
      </c>
    </row>
    <row r="163" spans="1:48"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</row>
    <row r="164" spans="1:48">
      <c r="B164" s="25" t="s">
        <v>242</v>
      </c>
      <c r="C164" s="26"/>
      <c r="D164" s="25"/>
      <c r="E164" s="25"/>
      <c r="F164" s="25"/>
      <c r="G164" s="27">
        <f t="shared" ref="G164:W164" si="239">SUM(G151,G162)</f>
        <v>649739</v>
      </c>
      <c r="H164" s="27">
        <f t="shared" si="239"/>
        <v>663522</v>
      </c>
      <c r="I164" s="27">
        <f t="shared" si="239"/>
        <v>647887</v>
      </c>
      <c r="J164" s="27">
        <f t="shared" si="239"/>
        <v>654964</v>
      </c>
      <c r="K164" s="27">
        <f t="shared" si="239"/>
        <v>670522</v>
      </c>
      <c r="L164" s="27">
        <f t="shared" si="239"/>
        <v>683416</v>
      </c>
      <c r="M164" s="27">
        <f t="shared" si="239"/>
        <v>685844</v>
      </c>
      <c r="N164" s="27">
        <f t="shared" si="239"/>
        <v>710813</v>
      </c>
      <c r="O164" s="27">
        <f t="shared" si="239"/>
        <v>712168</v>
      </c>
      <c r="P164" s="27">
        <f t="shared" si="239"/>
        <v>708367</v>
      </c>
      <c r="Q164" s="27">
        <f t="shared" si="239"/>
        <v>737971</v>
      </c>
      <c r="R164" s="27">
        <f t="shared" si="239"/>
        <v>789216</v>
      </c>
      <c r="S164" s="27">
        <f t="shared" si="239"/>
        <v>790931</v>
      </c>
      <c r="T164" s="27">
        <f t="shared" si="239"/>
        <v>812374</v>
      </c>
      <c r="U164" s="27">
        <f t="shared" si="239"/>
        <v>811121</v>
      </c>
      <c r="V164" s="27">
        <f t="shared" si="239"/>
        <v>814629</v>
      </c>
      <c r="W164" s="27">
        <f t="shared" si="239"/>
        <v>868444</v>
      </c>
      <c r="X164" s="27">
        <f>SUM(X151,X162)</f>
        <v>848453</v>
      </c>
      <c r="Y164" s="27">
        <f>SUM(Y151,Y162)</f>
        <v>859234</v>
      </c>
      <c r="Z164" s="27">
        <f t="shared" ref="Z164:AB164" si="240">SUM(Z151,Z162)</f>
        <v>913577</v>
      </c>
      <c r="AA164" s="27">
        <f t="shared" si="240"/>
        <v>969327</v>
      </c>
      <c r="AB164" s="27">
        <f t="shared" si="240"/>
        <v>1008429.4259226837</v>
      </c>
      <c r="AC164" s="27">
        <f t="shared" ref="AC164:AV164" si="241">SUM(AC151,AC162)</f>
        <v>1026143.5668923729</v>
      </c>
      <c r="AD164" s="27">
        <f t="shared" si="241"/>
        <v>1053376.4445699174</v>
      </c>
      <c r="AE164" s="27">
        <f t="shared" si="241"/>
        <v>1079894.2180438854</v>
      </c>
      <c r="AF164" s="27">
        <f t="shared" si="241"/>
        <v>1124529.8979196087</v>
      </c>
      <c r="AG164" s="27">
        <f t="shared" si="241"/>
        <v>1147966.921307496</v>
      </c>
      <c r="AH164" s="27">
        <f t="shared" si="241"/>
        <v>1182380.0440011888</v>
      </c>
      <c r="AI164" s="27">
        <f t="shared" si="241"/>
        <v>1214288.6723134427</v>
      </c>
      <c r="AJ164" s="27">
        <f t="shared" si="241"/>
        <v>1263678.9210617293</v>
      </c>
      <c r="AK164" s="27">
        <f t="shared" si="241"/>
        <v>1293007.4861892769</v>
      </c>
      <c r="AL164" s="27">
        <f t="shared" si="241"/>
        <v>1331893.7224997673</v>
      </c>
      <c r="AM164" s="27">
        <f t="shared" si="241"/>
        <v>1371500.0468341908</v>
      </c>
      <c r="AN164" s="27">
        <f t="shared" si="241"/>
        <v>1437335.157133983</v>
      </c>
      <c r="AO164" s="27">
        <f t="shared" si="241"/>
        <v>1467526.0500338902</v>
      </c>
      <c r="AP164" s="27">
        <f t="shared" si="241"/>
        <v>1511193.9295662304</v>
      </c>
      <c r="AQ164" s="27">
        <f t="shared" si="241"/>
        <v>1560219.3836302641</v>
      </c>
      <c r="AR164" s="27">
        <f t="shared" si="241"/>
        <v>1631974.1097461411</v>
      </c>
      <c r="AS164" s="27">
        <f t="shared" si="241"/>
        <v>1659436.4513688744</v>
      </c>
      <c r="AT164" s="27">
        <f t="shared" si="241"/>
        <v>1708259.8349776985</v>
      </c>
      <c r="AU164" s="27">
        <f t="shared" si="241"/>
        <v>1768135.7694903067</v>
      </c>
      <c r="AV164" s="27">
        <f t="shared" si="241"/>
        <v>1852644.9341205219</v>
      </c>
    </row>
    <row r="166" spans="1:48">
      <c r="B166" t="s">
        <v>243</v>
      </c>
      <c r="G166" s="135">
        <f>G129-G164</f>
        <v>-1</v>
      </c>
      <c r="H166" s="135">
        <f t="shared" ref="H166:Z166" si="242">H129-H164</f>
        <v>-3</v>
      </c>
      <c r="I166" s="135">
        <f t="shared" si="242"/>
        <v>-2</v>
      </c>
      <c r="J166" s="135">
        <f t="shared" si="242"/>
        <v>-8</v>
      </c>
      <c r="K166" s="135">
        <f t="shared" si="242"/>
        <v>-6</v>
      </c>
      <c r="L166" s="135">
        <f t="shared" si="242"/>
        <v>-8</v>
      </c>
      <c r="M166" s="135">
        <f t="shared" si="242"/>
        <v>-12</v>
      </c>
      <c r="N166" s="135">
        <f t="shared" si="242"/>
        <v>-10</v>
      </c>
      <c r="O166" s="135">
        <f t="shared" si="242"/>
        <v>-22</v>
      </c>
      <c r="P166" s="135">
        <f t="shared" si="242"/>
        <v>-19</v>
      </c>
      <c r="Q166" s="135">
        <f t="shared" si="242"/>
        <v>-22</v>
      </c>
      <c r="R166" s="135">
        <f t="shared" si="242"/>
        <v>-28</v>
      </c>
      <c r="S166" s="135">
        <f t="shared" si="242"/>
        <v>-30</v>
      </c>
      <c r="T166" s="135">
        <f t="shared" si="242"/>
        <v>-30</v>
      </c>
      <c r="U166" s="135">
        <f t="shared" si="242"/>
        <v>2</v>
      </c>
      <c r="V166" s="135">
        <f t="shared" si="242"/>
        <v>-5</v>
      </c>
      <c r="W166" s="135">
        <f t="shared" si="242"/>
        <v>-6</v>
      </c>
      <c r="X166" s="135">
        <f t="shared" si="242"/>
        <v>-3</v>
      </c>
      <c r="Y166" s="135">
        <f t="shared" si="242"/>
        <v>2</v>
      </c>
      <c r="Z166" s="135">
        <f t="shared" si="242"/>
        <v>-2</v>
      </c>
      <c r="AA166" s="135">
        <f t="shared" ref="AA166" si="243">AA129-AA164</f>
        <v>-1</v>
      </c>
      <c r="AB166" s="135">
        <f t="shared" ref="AB166:AV166" si="244">AB129-AB164</f>
        <v>0</v>
      </c>
      <c r="AC166" s="135">
        <f t="shared" si="244"/>
        <v>0</v>
      </c>
      <c r="AD166" s="135">
        <f t="shared" si="244"/>
        <v>0</v>
      </c>
      <c r="AE166" s="135">
        <f t="shared" si="244"/>
        <v>0</v>
      </c>
      <c r="AF166" s="135">
        <f t="shared" si="244"/>
        <v>0</v>
      </c>
      <c r="AG166" s="135">
        <f t="shared" si="244"/>
        <v>0</v>
      </c>
      <c r="AH166" s="135">
        <f t="shared" si="244"/>
        <v>0</v>
      </c>
      <c r="AI166" s="135">
        <f t="shared" si="244"/>
        <v>0</v>
      </c>
      <c r="AJ166" s="135">
        <f t="shared" si="244"/>
        <v>0</v>
      </c>
      <c r="AK166" s="135">
        <f t="shared" si="244"/>
        <v>0</v>
      </c>
      <c r="AL166" s="135">
        <f t="shared" si="244"/>
        <v>0</v>
      </c>
      <c r="AM166" s="135">
        <f t="shared" si="244"/>
        <v>0</v>
      </c>
      <c r="AN166" s="135">
        <f t="shared" si="244"/>
        <v>0</v>
      </c>
      <c r="AO166" s="135">
        <f t="shared" si="244"/>
        <v>0</v>
      </c>
      <c r="AP166" s="135">
        <f t="shared" si="244"/>
        <v>0</v>
      </c>
      <c r="AQ166" s="135">
        <f t="shared" si="244"/>
        <v>0</v>
      </c>
      <c r="AR166" s="135">
        <f t="shared" si="244"/>
        <v>0</v>
      </c>
      <c r="AS166" s="135">
        <f t="shared" si="244"/>
        <v>0</v>
      </c>
      <c r="AT166" s="135">
        <f t="shared" si="244"/>
        <v>0</v>
      </c>
      <c r="AU166" s="135">
        <f t="shared" si="244"/>
        <v>0</v>
      </c>
      <c r="AV166" s="135">
        <f t="shared" si="244"/>
        <v>0</v>
      </c>
    </row>
    <row r="167" spans="1:48" s="109" customFormat="1">
      <c r="A167" s="113">
        <f>SUM(G167:Y167)</f>
        <v>0</v>
      </c>
      <c r="B167" s="109" t="s">
        <v>244</v>
      </c>
      <c r="C167" s="110"/>
      <c r="G167" s="111">
        <f t="shared" ref="G167:AA167" si="245">IF(ROUND(ABS(G166/G164),2)&lt;=0,0,1)</f>
        <v>0</v>
      </c>
      <c r="H167" s="111">
        <f t="shared" si="245"/>
        <v>0</v>
      </c>
      <c r="I167" s="111">
        <f t="shared" si="245"/>
        <v>0</v>
      </c>
      <c r="J167" s="111">
        <f t="shared" si="245"/>
        <v>0</v>
      </c>
      <c r="K167" s="111">
        <f t="shared" si="245"/>
        <v>0</v>
      </c>
      <c r="L167" s="111">
        <f t="shared" si="245"/>
        <v>0</v>
      </c>
      <c r="M167" s="111">
        <f t="shared" si="245"/>
        <v>0</v>
      </c>
      <c r="N167" s="111">
        <f t="shared" si="245"/>
        <v>0</v>
      </c>
      <c r="O167" s="111">
        <f t="shared" si="245"/>
        <v>0</v>
      </c>
      <c r="P167" s="111">
        <f t="shared" si="245"/>
        <v>0</v>
      </c>
      <c r="Q167" s="111">
        <f t="shared" si="245"/>
        <v>0</v>
      </c>
      <c r="R167" s="111">
        <f t="shared" si="245"/>
        <v>0</v>
      </c>
      <c r="S167" s="111">
        <f t="shared" si="245"/>
        <v>0</v>
      </c>
      <c r="T167" s="111">
        <f t="shared" si="245"/>
        <v>0</v>
      </c>
      <c r="U167" s="111">
        <f t="shared" si="245"/>
        <v>0</v>
      </c>
      <c r="V167" s="111">
        <f t="shared" si="245"/>
        <v>0</v>
      </c>
      <c r="W167" s="111">
        <f t="shared" si="245"/>
        <v>0</v>
      </c>
      <c r="X167" s="111">
        <f t="shared" si="245"/>
        <v>0</v>
      </c>
      <c r="Y167" s="111">
        <f t="shared" si="245"/>
        <v>0</v>
      </c>
      <c r="Z167" s="111">
        <f t="shared" si="245"/>
        <v>0</v>
      </c>
      <c r="AA167" s="111">
        <f t="shared" si="245"/>
        <v>0</v>
      </c>
      <c r="AB167" s="112"/>
    </row>
    <row r="168" spans="1:48"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</row>
    <row r="169" spans="1:48"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</row>
    <row r="170" spans="1:48"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</row>
  </sheetData>
  <conditionalFormatting sqref="G4:AV4">
    <cfRule type="containsText" dxfId="1" priority="1" operator="containsText" text="Forecast">
      <formula>NOT(ISERROR(SEARCH("Forecast",G4)))</formula>
    </cfRule>
    <cfRule type="containsText" dxfId="0" priority="2" operator="containsText" text="Actual">
      <formula>NOT(ISERROR(SEARCH("Actual",G4)))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7C956-3D20-4450-AC82-5701061F8E93}">
  <dimension ref="A2:Z55"/>
  <sheetViews>
    <sheetView showGridLines="0" workbookViewId="0">
      <selection activeCell="F36" sqref="F36"/>
    </sheetView>
  </sheetViews>
  <sheetFormatPr defaultRowHeight="14.65"/>
  <cols>
    <col min="2" max="2" width="27.7109375" bestFit="1" customWidth="1"/>
    <col min="4" max="4" width="10.7109375" bestFit="1" customWidth="1"/>
    <col min="5" max="5" width="10.42578125" bestFit="1" customWidth="1"/>
    <col min="6" max="7" width="9.5703125" bestFit="1" customWidth="1"/>
    <col min="8" max="8" width="9.42578125" bestFit="1" customWidth="1"/>
    <col min="9" max="9" width="10.5703125" bestFit="1" customWidth="1"/>
    <col min="10" max="10" width="9.5703125" bestFit="1" customWidth="1"/>
    <col min="11" max="11" width="12.42578125" bestFit="1" customWidth="1"/>
    <col min="12" max="12" width="13.42578125" bestFit="1" customWidth="1"/>
    <col min="13" max="13" width="10.5703125" bestFit="1" customWidth="1"/>
    <col min="14" max="16" width="9.5703125" bestFit="1" customWidth="1"/>
    <col min="17" max="17" width="10.5703125" bestFit="1" customWidth="1"/>
    <col min="18" max="20" width="9.5703125" bestFit="1" customWidth="1"/>
    <col min="21" max="21" width="10.5703125" bestFit="1" customWidth="1"/>
    <col min="22" max="24" width="9.5703125" bestFit="1" customWidth="1"/>
    <col min="25" max="25" width="10.5703125" bestFit="1" customWidth="1"/>
    <col min="26" max="26" width="9.5703125" bestFit="1" customWidth="1"/>
  </cols>
  <sheetData>
    <row r="2" spans="1:26" s="2" customFormat="1" ht="15" thickBot="1">
      <c r="B2" s="2" t="s">
        <v>3</v>
      </c>
      <c r="C2" s="20"/>
    </row>
    <row r="3" spans="1:26" ht="15" thickTop="1">
      <c r="B3" s="1" t="s">
        <v>4</v>
      </c>
      <c r="C3" s="9"/>
    </row>
    <row r="5" spans="1:26" s="3" customFormat="1">
      <c r="A5" s="4"/>
      <c r="B5" s="3" t="s">
        <v>245</v>
      </c>
      <c r="C5" s="21"/>
    </row>
    <row r="7" spans="1:26">
      <c r="B7" s="156" t="s">
        <v>246</v>
      </c>
      <c r="L7" s="19" t="s">
        <v>247</v>
      </c>
    </row>
    <row r="8" spans="1:26">
      <c r="D8" s="7" t="s">
        <v>5</v>
      </c>
      <c r="E8" s="76">
        <v>45931</v>
      </c>
      <c r="F8" s="77">
        <v>46023</v>
      </c>
      <c r="G8" s="77">
        <f>F9+1</f>
        <v>46113</v>
      </c>
      <c r="H8" s="77">
        <f>G9+1</f>
        <v>46478</v>
      </c>
      <c r="I8" s="77">
        <f>H9+1</f>
        <v>46844</v>
      </c>
      <c r="J8" s="77">
        <f>I9+1</f>
        <v>47209</v>
      </c>
      <c r="K8" s="78">
        <f>J9+1</f>
        <v>47574</v>
      </c>
      <c r="L8" s="189">
        <v>47574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>
      <c r="D9" s="7" t="s">
        <v>6</v>
      </c>
      <c r="E9" s="79">
        <f>'Operating Model'!AA6</f>
        <v>46022</v>
      </c>
      <c r="F9" s="8">
        <v>46112</v>
      </c>
      <c r="G9" s="8">
        <f>EOMONTH(G8,11)</f>
        <v>46477</v>
      </c>
      <c r="H9" s="8">
        <f>EOMONTH(H8,11)</f>
        <v>46843</v>
      </c>
      <c r="I9" s="8">
        <f>EOMONTH(I8,11)</f>
        <v>47208</v>
      </c>
      <c r="J9" s="8">
        <f>EOMONTH(J8,11)</f>
        <v>47573</v>
      </c>
      <c r="K9" s="80">
        <f>EOMONTH(K8,11)</f>
        <v>47938</v>
      </c>
      <c r="L9" s="189">
        <v>47938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>
      <c r="D10" s="7" t="s">
        <v>7</v>
      </c>
      <c r="E10" s="90">
        <f>'Operating Model'!AA7</f>
        <v>2026</v>
      </c>
      <c r="F10" s="91">
        <v>2026</v>
      </c>
      <c r="G10" s="91">
        <f>F10+1</f>
        <v>2027</v>
      </c>
      <c r="H10" s="91">
        <f>G10+1</f>
        <v>2028</v>
      </c>
      <c r="I10" s="91">
        <f>H10+1</f>
        <v>2029</v>
      </c>
      <c r="J10" s="91">
        <f>I10+1</f>
        <v>2030</v>
      </c>
      <c r="K10" s="92">
        <f>J10+1</f>
        <v>2031</v>
      </c>
      <c r="L10" s="9">
        <v>2031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D11" s="159" t="s">
        <v>248</v>
      </c>
      <c r="E11" s="159"/>
      <c r="F11" s="192">
        <f t="shared" ref="F11:K11" si="0">YEARFRAC(F9,E9)</f>
        <v>0.25</v>
      </c>
      <c r="G11" s="192">
        <f t="shared" si="0"/>
        <v>1</v>
      </c>
      <c r="H11" s="192">
        <f t="shared" si="0"/>
        <v>1</v>
      </c>
      <c r="I11" s="192">
        <f t="shared" si="0"/>
        <v>1</v>
      </c>
      <c r="J11" s="192">
        <f t="shared" si="0"/>
        <v>1</v>
      </c>
      <c r="K11" s="192">
        <f t="shared" si="0"/>
        <v>1</v>
      </c>
      <c r="L11" s="192">
        <f>K11</f>
        <v>1</v>
      </c>
      <c r="M11" s="192"/>
      <c r="N11" s="192"/>
      <c r="O11" s="192"/>
      <c r="P11" s="192"/>
      <c r="Q11" s="192"/>
      <c r="R11" s="192"/>
      <c r="S11" s="192"/>
      <c r="T11" s="192"/>
      <c r="U11" s="192"/>
      <c r="V11" s="192"/>
      <c r="W11" s="192"/>
      <c r="X11" s="192"/>
      <c r="Y11" s="192"/>
      <c r="Z11" s="192"/>
    </row>
    <row r="13" spans="1:26">
      <c r="B13" t="s">
        <v>249</v>
      </c>
      <c r="E13" s="190"/>
      <c r="F13" s="14">
        <f>'Operating Model'!AB35</f>
        <v>27775.164821942333</v>
      </c>
      <c r="G13" s="14">
        <f>SUM('Operating Model'!AC35:AF35)</f>
        <v>111882.23809219156</v>
      </c>
      <c r="H13" s="14">
        <f>SUM('Operating Model'!AG35:AJ35)</f>
        <v>140175.91997642833</v>
      </c>
      <c r="I13" s="14">
        <f>SUM('Operating Model'!AK35:AN35)</f>
        <v>170862.68525981286</v>
      </c>
      <c r="J13" s="14">
        <f>SUM('Operating Model'!AO35:AR35)</f>
        <v>197556.29671623849</v>
      </c>
      <c r="K13" s="14">
        <f>SUM('Operating Model'!AS35:AV35)</f>
        <v>222646.76991964958</v>
      </c>
      <c r="L13" s="190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>
      <c r="B14" t="s">
        <v>250</v>
      </c>
      <c r="E14" s="190"/>
      <c r="F14" s="14">
        <f>SUM('Operating Model'!AB72)</f>
        <v>-6249.174330490031</v>
      </c>
      <c r="G14" s="14">
        <f>SUM('Operating Model'!AC72:AF72)</f>
        <v>-25252.038987959717</v>
      </c>
      <c r="H14" s="14">
        <f>SUM('Operating Model'!AG72:AJ72)</f>
        <v>-31492.133103856842</v>
      </c>
      <c r="I14" s="14">
        <f>SUM('Operating Model'!AK72:AN72)</f>
        <v>-38272.49483743927</v>
      </c>
      <c r="J14" s="14">
        <f>SUM('Operating Model'!AO72:AR72)</f>
        <v>-44123.910174091419</v>
      </c>
      <c r="K14" s="14">
        <f>SUM('Operating Model'!AS72:AV72)</f>
        <v>-49666.752934686003</v>
      </c>
      <c r="L14" s="190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>
      <c r="B15" s="29" t="s">
        <v>251</v>
      </c>
      <c r="C15" s="29"/>
      <c r="D15" s="29"/>
      <c r="E15" s="191"/>
      <c r="F15" s="31">
        <f t="shared" ref="F15:K15" si="1">SUM(F13:F14)</f>
        <v>21525.990491452303</v>
      </c>
      <c r="G15" s="31">
        <f t="shared" si="1"/>
        <v>86630.19910423184</v>
      </c>
      <c r="H15" s="31">
        <f t="shared" si="1"/>
        <v>108683.78687257148</v>
      </c>
      <c r="I15" s="31">
        <f t="shared" si="1"/>
        <v>132590.19042237359</v>
      </c>
      <c r="J15" s="31">
        <f t="shared" si="1"/>
        <v>153432.38654214708</v>
      </c>
      <c r="K15" s="31">
        <f t="shared" si="1"/>
        <v>172980.01698496359</v>
      </c>
      <c r="L15" s="190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spans="1:26">
      <c r="B16" t="s">
        <v>252</v>
      </c>
      <c r="E16" s="190"/>
      <c r="F16" s="14">
        <f>'Operating Model'!AB59</f>
        <v>9531.8664030898708</v>
      </c>
      <c r="G16" s="14">
        <f>SUM('Operating Model'!AC59:AF59)</f>
        <v>46511.461535345545</v>
      </c>
      <c r="H16" s="14">
        <f>SUM('Operating Model'!AG59:AJ59)</f>
        <v>54117.816213559752</v>
      </c>
      <c r="I16" s="14">
        <f>SUM('Operating Model'!AK59:AN59)</f>
        <v>57469.345865656658</v>
      </c>
      <c r="J16" s="14">
        <f>SUM('Operating Model'!AO59:AR59)</f>
        <v>65224.508826637437</v>
      </c>
      <c r="K16" s="14">
        <f>SUM('Operating Model'!AS59:AV59)</f>
        <v>76800.275245704397</v>
      </c>
      <c r="L16" s="190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2:26">
      <c r="B17" t="s">
        <v>253</v>
      </c>
      <c r="E17" s="190"/>
      <c r="F17" s="14">
        <f>'Operating Model'!AB78</f>
        <v>-26847.664880507662</v>
      </c>
      <c r="G17" s="14">
        <f>SUM('Operating Model'!AC78:AF78)</f>
        <v>-65049.583308387111</v>
      </c>
      <c r="H17" s="14">
        <f>SUM('Operating Model'!AG78:AJ78)</f>
        <v>-58076.082433748925</v>
      </c>
      <c r="I17" s="14">
        <f>SUM('Operating Model'!AK78:AN78)</f>
        <v>-84906.213601430005</v>
      </c>
      <c r="J17" s="14">
        <f>SUM('Operating Model'!AO78:AR78)</f>
        <v>-91140.90078684628</v>
      </c>
      <c r="K17" s="14">
        <f>SUM('Operating Model'!AS78:AV78)</f>
        <v>-82417.573881825898</v>
      </c>
      <c r="L17" s="190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2:26">
      <c r="B18" t="s">
        <v>254</v>
      </c>
      <c r="E18" s="190"/>
      <c r="F18" s="14">
        <f>'Operating Model'!AB79</f>
        <v>45.6</v>
      </c>
      <c r="G18" s="14">
        <f>SUM('Operating Model'!AC79:AF79)</f>
        <v>262.52</v>
      </c>
      <c r="H18" s="14">
        <f>SUM('Operating Model'!AG79:AJ79)</f>
        <v>184.624</v>
      </c>
      <c r="I18" s="14">
        <f>SUM('Operating Model'!AK79:AN79)</f>
        <v>179.34879999999998</v>
      </c>
      <c r="J18" s="14">
        <f>SUM('Operating Model'!AO79:AR79)</f>
        <v>197.81856000000002</v>
      </c>
      <c r="K18" s="14">
        <f>SUM('Operating Model'!AS79:AV79)</f>
        <v>189.78227200000001</v>
      </c>
      <c r="L18" s="190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2:26">
      <c r="B19" t="s">
        <v>255</v>
      </c>
      <c r="E19" s="190"/>
      <c r="F19" s="14">
        <f>SUM('Operating Model'!AB64:AB66)</f>
        <v>18980.364764476108</v>
      </c>
      <c r="G19" s="14">
        <f>SUM('Operating Model'!AC64:AF66)</f>
        <v>-8555.4960649574932</v>
      </c>
      <c r="H19" s="14">
        <f>SUM('Operating Model'!AG64:AJ66)</f>
        <v>-7703.5270689247118</v>
      </c>
      <c r="I19" s="14">
        <f>SUM('Operating Model'!AK64:AN66)</f>
        <v>-9044.3213470085902</v>
      </c>
      <c r="J19" s="14">
        <f>SUM('Operating Model'!AO64:AR66)</f>
        <v>-9003.0248354535579</v>
      </c>
      <c r="K19" s="14">
        <f>SUM('Operating Model'!AS64:AV66)</f>
        <v>-9961.2983820405643</v>
      </c>
      <c r="L19" s="190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2:26">
      <c r="B20" s="29" t="s">
        <v>256</v>
      </c>
      <c r="C20" s="29"/>
      <c r="D20" s="29"/>
      <c r="E20" s="191"/>
      <c r="F20" s="31">
        <f t="shared" ref="F20:K20" si="2">SUM(F15:F19)</f>
        <v>23236.156778510616</v>
      </c>
      <c r="G20" s="31">
        <f t="shared" si="2"/>
        <v>59799.10126623277</v>
      </c>
      <c r="H20" s="31">
        <f t="shared" si="2"/>
        <v>97206.61758345757</v>
      </c>
      <c r="I20" s="31">
        <f t="shared" si="2"/>
        <v>96288.350139591654</v>
      </c>
      <c r="J20" s="31">
        <f t="shared" si="2"/>
        <v>118710.78830648468</v>
      </c>
      <c r="K20" s="31">
        <f t="shared" si="2"/>
        <v>157591.20223880152</v>
      </c>
      <c r="L20" s="31">
        <f>K20*(1+0.035)/(D55-0.035)</f>
        <v>24819281.082004581</v>
      </c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2" spans="2:26">
      <c r="B22" s="1" t="s">
        <v>257</v>
      </c>
    </row>
    <row r="23" spans="2:26">
      <c r="B23" s="12" t="s">
        <v>258</v>
      </c>
      <c r="C23" s="12"/>
      <c r="D23" s="13">
        <f>XNPV(D55,F20:L20,F9:L9)</f>
        <v>20728760.264947623</v>
      </c>
    </row>
    <row r="24" spans="2:26">
      <c r="B24" t="s">
        <v>259</v>
      </c>
      <c r="D24" s="14">
        <f>'Operating Model'!AA112</f>
        <v>93710</v>
      </c>
    </row>
    <row r="25" spans="2:26">
      <c r="B25" s="186" t="s">
        <v>260</v>
      </c>
      <c r="C25" s="186"/>
      <c r="D25" s="14">
        <f>-D43*1000</f>
        <v>-135500</v>
      </c>
    </row>
    <row r="26" spans="2:26">
      <c r="B26" s="1" t="s">
        <v>261</v>
      </c>
      <c r="D26" s="13">
        <f>SUM(D23:D25)</f>
        <v>20686970.264947623</v>
      </c>
    </row>
    <row r="27" spans="2:26">
      <c r="B27" t="s">
        <v>262</v>
      </c>
      <c r="D27" s="188">
        <f>10527344/1000</f>
        <v>10527.343999999999</v>
      </c>
      <c r="E27" s="188"/>
    </row>
    <row r="28" spans="2:26">
      <c r="B28" s="1" t="s">
        <v>263</v>
      </c>
      <c r="D28" s="198">
        <f>D26/D27</f>
        <v>1965.0702271102402</v>
      </c>
    </row>
    <row r="30" spans="2:26" s="193" customFormat="1">
      <c r="B30" s="47" t="s">
        <v>264</v>
      </c>
      <c r="C30" s="47"/>
      <c r="D30" s="47"/>
      <c r="E30" s="47"/>
      <c r="F30" s="47"/>
      <c r="G30" s="47"/>
      <c r="H30" s="47"/>
      <c r="I30" s="47"/>
      <c r="J30" s="47"/>
      <c r="K30" s="47"/>
    </row>
    <row r="31" spans="2:26" s="1" customFormat="1">
      <c r="B31" s="1" t="s">
        <v>265</v>
      </c>
      <c r="D31" s="1" t="s">
        <v>266</v>
      </c>
      <c r="G31" s="1" t="s">
        <v>267</v>
      </c>
      <c r="H31" s="1" t="s">
        <v>268</v>
      </c>
      <c r="I31" s="1" t="s">
        <v>269</v>
      </c>
      <c r="K31" s="1" t="s">
        <v>270</v>
      </c>
    </row>
    <row r="32" spans="2:26">
      <c r="B32" s="42" t="s">
        <v>271</v>
      </c>
      <c r="C32" s="42"/>
      <c r="D32" s="115">
        <v>0.86699999999999999</v>
      </c>
      <c r="E32" s="115"/>
      <c r="G32" s="114">
        <v>3534.5</v>
      </c>
      <c r="H32">
        <f>'Relative Valuation'!AO11</f>
        <v>43.95</v>
      </c>
      <c r="I32" s="187">
        <v>0.22</v>
      </c>
      <c r="K32" s="199">
        <f t="shared" ref="K32:K37" si="3">D32/(1+(1-I32)*H32)</f>
        <v>2.4574133386241884E-2</v>
      </c>
    </row>
    <row r="33" spans="2:11">
      <c r="B33" s="42" t="s">
        <v>272</v>
      </c>
      <c r="C33" s="42"/>
      <c r="D33" s="115">
        <v>0.77600000000000002</v>
      </c>
      <c r="E33" s="115"/>
      <c r="G33" s="114">
        <v>1467.7</v>
      </c>
      <c r="H33">
        <f>'Relative Valuation'!AO13</f>
        <v>-10.47</v>
      </c>
      <c r="I33" s="187">
        <v>0.22</v>
      </c>
      <c r="K33" s="199">
        <f t="shared" si="3"/>
        <v>-0.10828007702397231</v>
      </c>
    </row>
    <row r="34" spans="2:11">
      <c r="B34" s="42" t="s">
        <v>273</v>
      </c>
      <c r="C34" s="42"/>
      <c r="D34" s="115">
        <v>0.54800000000000004</v>
      </c>
      <c r="E34" s="115"/>
      <c r="G34" s="115">
        <v>405.8</v>
      </c>
      <c r="H34">
        <f>'Relative Valuation'!AO15</f>
        <v>7.94</v>
      </c>
      <c r="I34" s="187">
        <v>0.22</v>
      </c>
      <c r="K34" s="199">
        <f t="shared" si="3"/>
        <v>7.6183061780570535E-2</v>
      </c>
    </row>
    <row r="35" spans="2:11">
      <c r="B35" s="42" t="s">
        <v>274</v>
      </c>
      <c r="C35" s="42"/>
      <c r="D35" s="115">
        <v>0.58199999999999996</v>
      </c>
      <c r="E35" s="115"/>
      <c r="G35" s="115">
        <v>611.70000000000005</v>
      </c>
      <c r="H35">
        <f>'Relative Valuation'!AO17</f>
        <v>-4.99</v>
      </c>
      <c r="I35" s="187">
        <v>0.22</v>
      </c>
      <c r="K35" s="199">
        <f t="shared" si="3"/>
        <v>-0.20123089689509713</v>
      </c>
    </row>
    <row r="36" spans="2:11">
      <c r="B36" s="42" t="s">
        <v>275</v>
      </c>
      <c r="C36" s="42"/>
      <c r="D36" s="115">
        <v>0.51600000000000001</v>
      </c>
      <c r="E36" s="115"/>
      <c r="G36" s="115">
        <v>394</v>
      </c>
      <c r="H36">
        <f>'Relative Valuation'!AO19</f>
        <v>-19.149999999999999</v>
      </c>
      <c r="I36" s="187">
        <v>0.22</v>
      </c>
      <c r="K36" s="199">
        <f t="shared" si="3"/>
        <v>-3.7023749730932053E-2</v>
      </c>
    </row>
    <row r="37" spans="2:11">
      <c r="B37" s="42" t="s">
        <v>276</v>
      </c>
      <c r="C37" s="42"/>
      <c r="D37" s="115">
        <v>0.48699999999999999</v>
      </c>
      <c r="E37" s="115"/>
      <c r="G37" s="115">
        <v>305.39999999999998</v>
      </c>
      <c r="H37">
        <f>'Relative Valuation'!AO21</f>
        <v>-20.100000000000001</v>
      </c>
      <c r="I37" s="187">
        <v>0.22</v>
      </c>
      <c r="K37" s="199">
        <f t="shared" si="3"/>
        <v>-3.3178907208066488E-2</v>
      </c>
    </row>
    <row r="38" spans="2:11" s="1" customFormat="1">
      <c r="B38" s="45" t="s">
        <v>277</v>
      </c>
      <c r="D38" s="194"/>
      <c r="E38" s="194"/>
      <c r="K38" s="200">
        <f>AVERAGE(K32:K37)</f>
        <v>-4.6492739281875937E-2</v>
      </c>
    </row>
    <row r="39" spans="2:11">
      <c r="D39" s="115"/>
      <c r="E39" s="115"/>
      <c r="K39" s="1"/>
    </row>
    <row r="40" spans="2:11" s="1" customFormat="1">
      <c r="B40" s="47" t="s">
        <v>278</v>
      </c>
      <c r="C40" s="47"/>
      <c r="D40" s="120"/>
      <c r="E40" s="120"/>
      <c r="F40" s="47"/>
      <c r="G40" s="47"/>
      <c r="H40" s="47"/>
      <c r="I40" s="47"/>
      <c r="J40" s="47"/>
      <c r="K40" s="47"/>
    </row>
    <row r="41" spans="2:11">
      <c r="D41" s="195"/>
      <c r="E41" s="195"/>
      <c r="G41" t="s">
        <v>279</v>
      </c>
    </row>
    <row r="42" spans="2:11">
      <c r="B42" t="s">
        <v>280</v>
      </c>
      <c r="D42" s="196">
        <v>0.22</v>
      </c>
      <c r="E42" s="195"/>
      <c r="G42" t="s">
        <v>281</v>
      </c>
    </row>
    <row r="43" spans="2:11">
      <c r="B43" t="s">
        <v>282</v>
      </c>
      <c r="D43" s="197">
        <f>42.5+93</f>
        <v>135.5</v>
      </c>
      <c r="E43" s="195"/>
    </row>
    <row r="44" spans="2:11">
      <c r="B44" t="s">
        <v>283</v>
      </c>
      <c r="D44">
        <f>'Relative Valuation'!G5</f>
        <v>951.7</v>
      </c>
    </row>
    <row r="45" spans="2:11">
      <c r="B45" t="s">
        <v>284</v>
      </c>
      <c r="D45">
        <f>'Relative Valuation'!AO5</f>
        <v>15.22</v>
      </c>
    </row>
    <row r="46" spans="2:11">
      <c r="B46" t="s">
        <v>285</v>
      </c>
      <c r="D46">
        <f>'Relative Valuation'!AE5</f>
        <v>0.57899999999999996</v>
      </c>
    </row>
    <row r="48" spans="2:11">
      <c r="B48" t="s">
        <v>286</v>
      </c>
      <c r="D48" s="36">
        <v>4.9590000000000002E-2</v>
      </c>
    </row>
    <row r="49" spans="2:4">
      <c r="B49" t="s">
        <v>287</v>
      </c>
      <c r="D49" s="36">
        <v>1.6500000000000001E-2</v>
      </c>
    </row>
    <row r="50" spans="2:4">
      <c r="B50" t="s">
        <v>288</v>
      </c>
      <c r="D50" s="36">
        <f>D49+D46*D48</f>
        <v>4.521261E-2</v>
      </c>
    </row>
    <row r="52" spans="2:4">
      <c r="B52" t="s">
        <v>289</v>
      </c>
      <c r="D52" s="36">
        <f>D53/(1-D42)</f>
        <v>2.0512820512820513E-2</v>
      </c>
    </row>
    <row r="53" spans="2:4">
      <c r="B53" t="s">
        <v>290</v>
      </c>
      <c r="D53" s="36">
        <v>1.6E-2</v>
      </c>
    </row>
    <row r="55" spans="2:4">
      <c r="B55" t="s">
        <v>278</v>
      </c>
      <c r="D55" s="36">
        <f>(D43/(D43+D44))*D53+(D44/(D44+D43))*D50</f>
        <v>4.1571781582965414E-2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82C74-FE83-4A14-868E-86FB8781FD13}">
  <dimension ref="A2:DO119"/>
  <sheetViews>
    <sheetView tabSelected="1" zoomScaleNormal="100" workbookViewId="0">
      <pane xSplit="6" ySplit="10" topLeftCell="AY14" activePane="bottomRight" state="frozen"/>
      <selection pane="bottomRight" activeCell="BL23" sqref="BL23"/>
      <selection pane="bottomLeft" activeCell="A11" sqref="A11"/>
      <selection pane="topRight" activeCell="G1" sqref="G1"/>
    </sheetView>
  </sheetViews>
  <sheetFormatPr defaultColWidth="9" defaultRowHeight="14.65"/>
  <cols>
    <col min="1" max="1" width="9" style="42"/>
    <col min="2" max="2" width="10.28515625" style="42" customWidth="1"/>
    <col min="3" max="5" width="9" style="42"/>
    <col min="6" max="6" width="14.7109375" style="42" customWidth="1"/>
    <col min="7" max="7" width="9" style="42"/>
    <col min="8" max="8" width="11.42578125" style="42" customWidth="1"/>
    <col min="9" max="9" width="9.28515625" style="42" bestFit="1" customWidth="1"/>
    <col min="10" max="10" width="10" style="42" customWidth="1"/>
    <col min="11" max="11" width="10.28515625" style="42" bestFit="1" customWidth="1"/>
    <col min="12" max="12" width="9.28515625" style="42" bestFit="1" customWidth="1"/>
    <col min="13" max="14" width="10.28515625" style="42" bestFit="1" customWidth="1"/>
    <col min="15" max="18" width="9" style="42"/>
    <col min="19" max="19" width="2.5703125" style="42" customWidth="1"/>
    <col min="20" max="20" width="9.28515625" style="42" bestFit="1" customWidth="1"/>
    <col min="21" max="21" width="10.28515625" style="42" bestFit="1" customWidth="1"/>
    <col min="22" max="22" width="11" style="42" customWidth="1"/>
    <col min="23" max="23" width="10.28515625" style="42" bestFit="1" customWidth="1"/>
    <col min="24" max="24" width="2.7109375" style="42" customWidth="1"/>
    <col min="25" max="26" width="10.5703125" style="42" bestFit="1" customWidth="1"/>
    <col min="27" max="38" width="9" style="42"/>
    <col min="39" max="39" width="9.28515625" style="42" customWidth="1"/>
    <col min="40" max="42" width="9" style="42"/>
    <col min="43" max="43" width="18.7109375" style="42" customWidth="1"/>
    <col min="44" max="61" width="9" style="42"/>
    <col min="62" max="62" width="9.7109375" style="42" customWidth="1"/>
    <col min="63" max="63" width="10.42578125" style="42" customWidth="1"/>
    <col min="64" max="74" width="9" style="42"/>
    <col min="75" max="75" width="10.7109375" style="42" customWidth="1"/>
    <col min="76" max="84" width="9" style="42"/>
    <col min="85" max="85" width="11.7109375" style="42" customWidth="1"/>
    <col min="86" max="86" width="10.42578125" style="42" customWidth="1"/>
    <col min="87" max="105" width="9" style="42"/>
    <col min="106" max="106" width="15.28515625" style="42" customWidth="1"/>
    <col min="107" max="107" width="12.7109375" style="42" customWidth="1"/>
    <col min="108" max="16384" width="9" style="42"/>
  </cols>
  <sheetData>
    <row r="2" spans="1:119">
      <c r="A2" s="43"/>
      <c r="B2" s="43"/>
      <c r="C2" s="43"/>
      <c r="D2" s="43"/>
      <c r="E2" s="43"/>
      <c r="F2" s="43"/>
      <c r="G2" s="204" t="s">
        <v>291</v>
      </c>
      <c r="H2" s="204"/>
      <c r="I2" s="43"/>
      <c r="J2" s="204" t="s">
        <v>292</v>
      </c>
      <c r="K2" s="204"/>
      <c r="L2" s="204"/>
      <c r="M2" s="204"/>
      <c r="N2" s="43"/>
      <c r="O2" s="204" t="s">
        <v>293</v>
      </c>
      <c r="P2" s="204"/>
      <c r="Q2" s="204"/>
      <c r="R2" s="204"/>
      <c r="S2" s="43"/>
      <c r="T2" s="204" t="s">
        <v>294</v>
      </c>
      <c r="U2" s="204"/>
      <c r="V2" s="204"/>
      <c r="W2" s="204"/>
      <c r="X2" s="204"/>
      <c r="Y2" s="204"/>
      <c r="Z2" s="204"/>
      <c r="AA2" s="204"/>
      <c r="AB2" s="204"/>
      <c r="AC2" s="43"/>
      <c r="AD2" s="43"/>
      <c r="AE2" s="44" t="s">
        <v>295</v>
      </c>
      <c r="AF2" s="43"/>
      <c r="AG2" s="204" t="s">
        <v>296</v>
      </c>
      <c r="AH2" s="204"/>
      <c r="AI2" s="204"/>
      <c r="AJ2" s="204"/>
      <c r="AK2" s="43"/>
      <c r="AL2" s="204" t="s">
        <v>297</v>
      </c>
      <c r="AM2" s="204"/>
      <c r="AN2" s="204"/>
      <c r="AO2" s="204"/>
      <c r="AP2" s="43"/>
      <c r="AQ2" s="44" t="s">
        <v>298</v>
      </c>
      <c r="AR2" s="43"/>
      <c r="AS2" s="43"/>
      <c r="AT2" s="43"/>
      <c r="AU2" s="204" t="s">
        <v>299</v>
      </c>
      <c r="AV2" s="204"/>
      <c r="AW2" s="204"/>
      <c r="AX2" s="204"/>
      <c r="AY2" s="204"/>
      <c r="AZ2" s="204"/>
      <c r="BA2" s="204"/>
      <c r="BB2" s="204"/>
      <c r="BC2" s="204"/>
      <c r="BD2" s="204"/>
      <c r="BE2" s="204"/>
      <c r="BF2" s="204"/>
      <c r="BJ2" s="204" t="s">
        <v>300</v>
      </c>
      <c r="BK2" s="204"/>
      <c r="BL2" s="204"/>
      <c r="BQ2" s="204" t="s">
        <v>301</v>
      </c>
      <c r="BR2" s="204"/>
      <c r="BS2" s="204"/>
      <c r="BT2" s="45"/>
      <c r="BU2" s="45"/>
      <c r="BV2" s="45"/>
      <c r="BW2" s="45"/>
      <c r="BX2" s="45"/>
      <c r="BY2" s="45"/>
      <c r="BZ2" s="45"/>
      <c r="CA2" s="204" t="s">
        <v>302</v>
      </c>
      <c r="CB2" s="204"/>
      <c r="CC2" s="204"/>
      <c r="CD2" s="46"/>
      <c r="CE2" s="45"/>
      <c r="CF2" s="45"/>
      <c r="CG2" s="44" t="s">
        <v>303</v>
      </c>
      <c r="CH2" s="45"/>
      <c r="CI2" s="45"/>
      <c r="CJ2" s="44" t="s">
        <v>304</v>
      </c>
    </row>
    <row r="3" spans="1:119" ht="15" thickBot="1">
      <c r="A3" s="45"/>
      <c r="B3" s="45"/>
      <c r="C3" s="45"/>
      <c r="D3" s="45"/>
      <c r="E3" s="45" t="s">
        <v>305</v>
      </c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205" t="s">
        <v>306</v>
      </c>
      <c r="U3" s="205"/>
      <c r="V3" s="205" t="s">
        <v>307</v>
      </c>
      <c r="W3" s="205"/>
      <c r="X3" s="48"/>
      <c r="Y3" s="206" t="s">
        <v>308</v>
      </c>
      <c r="Z3" s="206"/>
      <c r="AA3" s="206"/>
      <c r="AB3" s="206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207" t="s">
        <v>301</v>
      </c>
      <c r="BR3" s="207"/>
      <c r="BS3" s="207"/>
      <c r="BT3" s="45"/>
      <c r="BU3" s="45"/>
      <c r="BV3" s="45"/>
      <c r="BW3" s="45"/>
      <c r="BX3" s="45"/>
      <c r="BY3" s="45"/>
      <c r="BZ3" s="45"/>
      <c r="CA3" s="207" t="s">
        <v>302</v>
      </c>
      <c r="CB3" s="207"/>
      <c r="CC3" s="207"/>
      <c r="CD3" s="46"/>
      <c r="CE3" s="45"/>
      <c r="CF3" s="45"/>
      <c r="CG3" s="46" t="s">
        <v>303</v>
      </c>
      <c r="CH3" s="45"/>
      <c r="CI3" s="45"/>
      <c r="CJ3" s="43" t="s">
        <v>304</v>
      </c>
    </row>
    <row r="4" spans="1:119" ht="43.7">
      <c r="A4" s="50"/>
      <c r="B4" s="51" t="s">
        <v>309</v>
      </c>
      <c r="C4" s="51"/>
      <c r="D4" s="51"/>
      <c r="E4" s="51" t="s">
        <v>310</v>
      </c>
      <c r="F4" s="51" t="s">
        <v>311</v>
      </c>
      <c r="G4" s="51" t="s">
        <v>312</v>
      </c>
      <c r="H4" s="51" t="s">
        <v>258</v>
      </c>
      <c r="I4" s="50"/>
      <c r="J4" s="51" t="s">
        <v>306</v>
      </c>
      <c r="K4" s="51" t="s">
        <v>29</v>
      </c>
      <c r="L4" s="51" t="s">
        <v>313</v>
      </c>
      <c r="M4" s="51" t="s">
        <v>314</v>
      </c>
      <c r="N4" s="50"/>
      <c r="O4" s="51" t="s">
        <v>315</v>
      </c>
      <c r="P4" s="51" t="s">
        <v>316</v>
      </c>
      <c r="Q4" s="51" t="s">
        <v>317</v>
      </c>
      <c r="R4" s="51" t="s">
        <v>318</v>
      </c>
      <c r="S4" s="50"/>
      <c r="T4" s="52" t="s">
        <v>319</v>
      </c>
      <c r="U4" s="52" t="s">
        <v>320</v>
      </c>
      <c r="V4" s="52" t="s">
        <v>321</v>
      </c>
      <c r="W4" s="52" t="s">
        <v>320</v>
      </c>
      <c r="X4" s="52"/>
      <c r="Y4" s="52" t="s">
        <v>322</v>
      </c>
      <c r="Z4" s="52" t="s">
        <v>323</v>
      </c>
      <c r="AA4" s="52" t="s">
        <v>324</v>
      </c>
      <c r="AB4" s="52" t="s">
        <v>325</v>
      </c>
      <c r="AC4" s="50"/>
      <c r="AD4" s="50"/>
      <c r="AE4" s="51" t="s">
        <v>326</v>
      </c>
      <c r="AF4" s="50"/>
      <c r="AG4" s="51" t="s">
        <v>327</v>
      </c>
      <c r="AH4" s="51" t="s">
        <v>328</v>
      </c>
      <c r="AI4" s="51" t="s">
        <v>329</v>
      </c>
      <c r="AJ4" s="51" t="s">
        <v>330</v>
      </c>
      <c r="AK4" s="50"/>
      <c r="AL4" s="51" t="s">
        <v>331</v>
      </c>
      <c r="AM4" s="51" t="s">
        <v>332</v>
      </c>
      <c r="AN4" s="51" t="s">
        <v>333</v>
      </c>
      <c r="AO4" s="51" t="s">
        <v>334</v>
      </c>
      <c r="AP4" s="50"/>
      <c r="AQ4" s="51" t="s">
        <v>335</v>
      </c>
      <c r="AR4" s="50"/>
      <c r="AS4" s="50"/>
      <c r="AT4" s="50"/>
      <c r="AU4" s="50"/>
      <c r="AV4" s="51" t="s">
        <v>336</v>
      </c>
      <c r="AW4" s="51" t="s">
        <v>337</v>
      </c>
      <c r="AX4" s="51" t="s">
        <v>338</v>
      </c>
      <c r="AY4" s="51"/>
      <c r="AZ4" s="51" t="s">
        <v>339</v>
      </c>
      <c r="BA4" s="51" t="s">
        <v>340</v>
      </c>
      <c r="BB4" s="51" t="s">
        <v>341</v>
      </c>
      <c r="BC4" s="51"/>
      <c r="BD4" s="51" t="s">
        <v>342</v>
      </c>
      <c r="BE4" s="51" t="s">
        <v>343</v>
      </c>
      <c r="BF4" s="51" t="s">
        <v>344</v>
      </c>
      <c r="BG4" s="50"/>
      <c r="BH4" s="51" t="s">
        <v>345</v>
      </c>
      <c r="BI4" s="50"/>
      <c r="BJ4" s="51" t="s">
        <v>346</v>
      </c>
      <c r="BK4" s="51" t="s">
        <v>347</v>
      </c>
      <c r="BL4" s="51" t="s">
        <v>348</v>
      </c>
      <c r="BM4" s="50"/>
      <c r="BN4" s="51" t="s">
        <v>349</v>
      </c>
      <c r="BO4" s="53"/>
      <c r="BP4" s="45"/>
      <c r="BQ4" s="54" t="s">
        <v>322</v>
      </c>
      <c r="BR4" s="55" t="s">
        <v>350</v>
      </c>
      <c r="BS4" s="55" t="s">
        <v>351</v>
      </c>
      <c r="BT4" s="53"/>
      <c r="BU4" s="55" t="s">
        <v>352</v>
      </c>
      <c r="BV4" s="55" t="s">
        <v>353</v>
      </c>
      <c r="BW4" s="55" t="s">
        <v>354</v>
      </c>
      <c r="BX4" s="55" t="s">
        <v>355</v>
      </c>
      <c r="BY4" s="55" t="s">
        <v>356</v>
      </c>
      <c r="BZ4" s="53"/>
      <c r="CA4" s="55" t="s">
        <v>322</v>
      </c>
      <c r="CB4" s="55" t="s">
        <v>350</v>
      </c>
      <c r="CC4" s="55" t="s">
        <v>351</v>
      </c>
      <c r="CD4" s="53"/>
      <c r="CE4" s="55" t="s">
        <v>357</v>
      </c>
      <c r="CF4" s="53"/>
      <c r="CG4" s="51" t="s">
        <v>358</v>
      </c>
      <c r="CH4" s="51" t="s">
        <v>359</v>
      </c>
      <c r="CI4" s="45"/>
      <c r="CJ4" s="49" t="s">
        <v>350</v>
      </c>
    </row>
    <row r="5" spans="1:119" s="69" customFormat="1">
      <c r="A5" s="48"/>
      <c r="B5" s="133" t="s">
        <v>360</v>
      </c>
      <c r="C5" s="48"/>
      <c r="D5" s="48"/>
      <c r="E5" s="48" t="s">
        <v>361</v>
      </c>
      <c r="F5" s="48" t="s">
        <v>362</v>
      </c>
      <c r="G5" s="56">
        <v>951.7</v>
      </c>
      <c r="H5" s="131">
        <v>1072</v>
      </c>
      <c r="I5" s="57"/>
      <c r="J5" s="131">
        <v>780.9</v>
      </c>
      <c r="K5" s="131">
        <v>268.3</v>
      </c>
      <c r="L5" s="131">
        <v>89.5</v>
      </c>
      <c r="M5" s="131">
        <v>51</v>
      </c>
      <c r="N5" s="48"/>
      <c r="O5" s="58">
        <f>K5/J5</f>
        <v>0.34357792290946348</v>
      </c>
      <c r="P5" s="58">
        <f>L5/J5</f>
        <v>0.11461134588295557</v>
      </c>
      <c r="Q5" s="58">
        <f>BD5/J5</f>
        <v>7.0431553335894487E-2</v>
      </c>
      <c r="R5" s="58">
        <f>M5/J5</f>
        <v>6.530925854782943E-2</v>
      </c>
      <c r="S5" s="48"/>
      <c r="T5" s="131">
        <v>732.9</v>
      </c>
      <c r="U5" s="131">
        <v>790.5</v>
      </c>
      <c r="V5" s="131">
        <v>92.4</v>
      </c>
      <c r="W5" s="131">
        <v>100.5</v>
      </c>
      <c r="X5" s="131"/>
      <c r="Y5" s="131">
        <v>174.92</v>
      </c>
      <c r="Z5" s="131">
        <v>178.99</v>
      </c>
      <c r="AA5" s="131">
        <v>159.76</v>
      </c>
      <c r="AB5" s="131">
        <v>177.71</v>
      </c>
      <c r="AC5" s="48"/>
      <c r="AD5" s="48"/>
      <c r="AE5" s="61">
        <v>0.57899999999999996</v>
      </c>
      <c r="AF5" s="48"/>
      <c r="AG5" s="58">
        <v>6.1100000000000002E-2</v>
      </c>
      <c r="AH5" s="58">
        <v>0.1046</v>
      </c>
      <c r="AI5" s="58">
        <v>5.5500000000000001E-2</v>
      </c>
      <c r="AJ5" s="58">
        <f>CH5</f>
        <v>2.1899999999999999E-2</v>
      </c>
      <c r="AK5" s="48"/>
      <c r="AL5" s="132">
        <v>0.15959999999999999</v>
      </c>
      <c r="AM5" s="132">
        <v>2.11</v>
      </c>
      <c r="AN5" s="132">
        <v>0.91</v>
      </c>
      <c r="AO5" s="132">
        <v>15.22</v>
      </c>
      <c r="AP5" s="48"/>
      <c r="AQ5" s="132">
        <v>75.489999999999995</v>
      </c>
      <c r="AR5" s="48"/>
      <c r="AS5" s="48"/>
      <c r="AT5" s="48"/>
      <c r="AU5" s="48"/>
      <c r="AV5" s="131">
        <v>780.9</v>
      </c>
      <c r="AW5" s="131">
        <v>790.5</v>
      </c>
      <c r="AX5" s="131">
        <v>826.6</v>
      </c>
      <c r="AY5" s="131"/>
      <c r="AZ5" s="131">
        <v>89.5</v>
      </c>
      <c r="BA5" s="131">
        <v>100.5</v>
      </c>
      <c r="BB5" s="131">
        <v>110.3</v>
      </c>
      <c r="BC5" s="131"/>
      <c r="BD5" s="131">
        <v>55</v>
      </c>
      <c r="BE5" s="131">
        <v>64.8</v>
      </c>
      <c r="BF5" s="131">
        <v>70.900000000000006</v>
      </c>
      <c r="BG5" s="48"/>
      <c r="BH5" s="58">
        <f>AZ5/AV5</f>
        <v>0.11461134588295557</v>
      </c>
      <c r="BI5" s="48"/>
      <c r="BJ5" s="131">
        <f>Y5</f>
        <v>174.92</v>
      </c>
      <c r="BK5" s="131">
        <f>AA5</f>
        <v>159.76</v>
      </c>
      <c r="BL5" s="131">
        <f>AB5</f>
        <v>177.71</v>
      </c>
      <c r="BM5" s="48"/>
      <c r="BN5" s="58">
        <f>(BL5/BJ5)-1</f>
        <v>1.5950148639378048E-2</v>
      </c>
      <c r="BO5" s="48"/>
      <c r="BP5" s="48"/>
      <c r="BQ5" s="132">
        <v>11.98</v>
      </c>
      <c r="BR5" s="132">
        <v>10.67</v>
      </c>
      <c r="BS5" s="132">
        <v>9.7200000000000006</v>
      </c>
      <c r="BT5" s="48"/>
      <c r="BU5" s="132">
        <f>BA5/AW5</f>
        <v>0.12713472485768501</v>
      </c>
      <c r="BV5" s="132">
        <f>AM5</f>
        <v>2.11</v>
      </c>
      <c r="BW5" s="132">
        <f>1/AQ5</f>
        <v>1.3246787653993907E-2</v>
      </c>
      <c r="BX5" s="132">
        <f>H5/AV5</f>
        <v>1.3727750032014343</v>
      </c>
      <c r="BY5" s="132">
        <f>H5/BD5</f>
        <v>19.490909090909092</v>
      </c>
      <c r="BZ5" s="48"/>
      <c r="CA5" s="132">
        <v>18.36</v>
      </c>
      <c r="CB5" s="132">
        <v>20.02</v>
      </c>
      <c r="CC5" s="132">
        <v>18</v>
      </c>
      <c r="CD5" s="48"/>
      <c r="CE5" s="58">
        <f>BN5</f>
        <v>1.5950148639378048E-2</v>
      </c>
      <c r="CF5" s="48"/>
      <c r="CG5" s="48">
        <f>CC5/1.6</f>
        <v>11.25</v>
      </c>
      <c r="CH5" s="58">
        <v>2.1899999999999999E-2</v>
      </c>
      <c r="CI5" s="48"/>
      <c r="CJ5" s="48">
        <v>-1.35</v>
      </c>
    </row>
    <row r="6" spans="1:119">
      <c r="A6" s="59"/>
      <c r="B6" s="60" t="s">
        <v>363</v>
      </c>
      <c r="C6" s="59"/>
      <c r="D6" s="59"/>
      <c r="E6" s="61"/>
      <c r="F6" s="61"/>
      <c r="G6" s="62"/>
      <c r="H6" s="62"/>
      <c r="I6" s="62"/>
      <c r="J6" s="62"/>
      <c r="K6" s="62"/>
      <c r="L6" s="62"/>
      <c r="M6" s="62"/>
      <c r="N6" s="61"/>
      <c r="O6" s="63"/>
      <c r="P6" s="63"/>
      <c r="Q6" s="63"/>
      <c r="R6" s="63"/>
      <c r="S6" s="61"/>
      <c r="T6" s="63"/>
      <c r="U6" s="63"/>
      <c r="V6" s="63"/>
      <c r="W6" s="63"/>
      <c r="X6" s="63"/>
      <c r="Y6" s="64">
        <v>-8.6999999999999994E-3</v>
      </c>
      <c r="Z6" s="65">
        <v>-1.1785699999999999</v>
      </c>
      <c r="AA6" s="65">
        <v>-0.45</v>
      </c>
      <c r="AB6" s="65">
        <v>-0.26833000000000001</v>
      </c>
      <c r="AC6" s="59"/>
      <c r="AD6" s="59"/>
      <c r="AF6" s="59"/>
      <c r="AG6" s="59"/>
      <c r="AH6" s="59"/>
      <c r="AI6" s="59"/>
      <c r="AJ6" s="59"/>
      <c r="AK6" s="59"/>
      <c r="AL6" s="59"/>
      <c r="AM6" s="66" t="s">
        <v>364</v>
      </c>
      <c r="AN6" s="183">
        <f>AN5*L5</f>
        <v>81.445000000000007</v>
      </c>
      <c r="AO6" s="59"/>
      <c r="AP6" s="59"/>
      <c r="AQ6" s="59"/>
      <c r="AR6" s="59"/>
      <c r="AS6" s="59"/>
      <c r="AT6" s="59"/>
      <c r="AU6" s="59"/>
      <c r="AV6" s="59"/>
      <c r="AW6" s="59"/>
      <c r="AX6" s="59"/>
    </row>
    <row r="7" spans="1:119">
      <c r="Z7" s="67">
        <v>-1.1785699999999999</v>
      </c>
      <c r="AA7" s="67">
        <v>-0.45</v>
      </c>
      <c r="AB7" s="67">
        <v>-0.26833000000000001</v>
      </c>
    </row>
    <row r="8" spans="1:119">
      <c r="A8" s="43"/>
      <c r="B8" s="47" t="s">
        <v>365</v>
      </c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3"/>
      <c r="AD8" s="43"/>
      <c r="AE8" s="47" t="s">
        <v>365</v>
      </c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3"/>
      <c r="AT8" s="43"/>
      <c r="AU8" s="47" t="s">
        <v>365</v>
      </c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3"/>
      <c r="BP8" s="47" t="s">
        <v>365</v>
      </c>
      <c r="BQ8" s="47"/>
      <c r="BR8" s="47"/>
      <c r="BS8" s="47"/>
      <c r="BT8" s="47"/>
      <c r="BU8" s="47"/>
      <c r="BV8" s="47"/>
      <c r="BW8" s="47"/>
      <c r="BX8" s="47"/>
      <c r="BY8" s="47"/>
      <c r="BZ8" s="47"/>
      <c r="CA8" s="47"/>
      <c r="CB8" s="47"/>
      <c r="CC8" s="47"/>
      <c r="CD8" s="47"/>
      <c r="CE8" s="47"/>
      <c r="CF8" s="47"/>
      <c r="CG8" s="47"/>
      <c r="CH8" s="47"/>
      <c r="CI8" s="47"/>
      <c r="CJ8" s="47"/>
    </row>
    <row r="11" spans="1:119">
      <c r="B11" s="42" t="s">
        <v>271</v>
      </c>
      <c r="E11" s="42" t="s">
        <v>366</v>
      </c>
      <c r="F11" s="48" t="s">
        <v>362</v>
      </c>
      <c r="G11" s="114">
        <v>3534.5</v>
      </c>
      <c r="H11" s="114">
        <v>3970.4</v>
      </c>
      <c r="I11" s="115"/>
      <c r="J11" s="114">
        <v>1543.7</v>
      </c>
      <c r="K11" s="115">
        <v>574.1</v>
      </c>
      <c r="L11" s="115">
        <v>241.1</v>
      </c>
      <c r="M11" s="115">
        <v>110.9</v>
      </c>
      <c r="N11" s="115"/>
      <c r="O11" s="116">
        <f>K11/$J$11</f>
        <v>0.37189868497765111</v>
      </c>
      <c r="P11" s="116">
        <f>L11/$J$11</f>
        <v>0.15618319621688151</v>
      </c>
      <c r="Q11" s="116">
        <f>BD11/J11</f>
        <v>9.9501198419382E-2</v>
      </c>
      <c r="R11" s="116">
        <f>M11/J11</f>
        <v>7.1840383494202242E-2</v>
      </c>
      <c r="S11" s="115"/>
      <c r="T11" s="114">
        <v>1439.2</v>
      </c>
      <c r="U11" s="114">
        <v>1567.6</v>
      </c>
      <c r="V11" s="115">
        <v>214.3</v>
      </c>
      <c r="W11" s="115">
        <v>269.5</v>
      </c>
      <c r="X11" s="115"/>
      <c r="Y11" s="115">
        <v>113.12</v>
      </c>
      <c r="Z11" s="115">
        <v>79.760000000000005</v>
      </c>
      <c r="AA11" s="115">
        <v>122.6</v>
      </c>
      <c r="AB11" s="115">
        <v>138.97999999999999</v>
      </c>
      <c r="AC11" s="115"/>
      <c r="AD11" s="115"/>
      <c r="AE11" s="115">
        <v>0.86699999999999999</v>
      </c>
      <c r="AF11" s="115"/>
      <c r="AG11" s="116">
        <v>6.0999999999999999E-2</v>
      </c>
      <c r="AH11" s="116">
        <v>0.1047</v>
      </c>
      <c r="AI11" s="116">
        <v>4.3999999999999997E-2</v>
      </c>
      <c r="AJ11" s="116">
        <v>1.2200000000000001E-2</v>
      </c>
      <c r="AK11" s="115"/>
      <c r="AL11" s="116">
        <v>0.28820000000000001</v>
      </c>
      <c r="AM11" s="125">
        <v>2.33</v>
      </c>
      <c r="AN11" s="125">
        <v>1.49</v>
      </c>
      <c r="AO11" s="125">
        <v>43.95</v>
      </c>
      <c r="AP11" s="115"/>
      <c r="AQ11" s="125">
        <v>27.17</v>
      </c>
      <c r="AR11" s="115"/>
      <c r="AS11" s="115"/>
      <c r="AT11" s="115"/>
      <c r="AU11" s="115"/>
      <c r="AV11" s="114">
        <v>1543.7</v>
      </c>
      <c r="AW11" s="114">
        <v>1567.6</v>
      </c>
      <c r="AX11" s="114">
        <v>1655.9</v>
      </c>
      <c r="AY11" s="115"/>
      <c r="AZ11" s="115">
        <v>241.1</v>
      </c>
      <c r="BA11" s="115">
        <v>269.5</v>
      </c>
      <c r="BB11" s="115">
        <v>294.39999999999998</v>
      </c>
      <c r="BC11" s="115"/>
      <c r="BD11" s="115">
        <v>153.6</v>
      </c>
      <c r="BE11" s="115">
        <v>181.5</v>
      </c>
      <c r="BF11" s="115">
        <v>202.3</v>
      </c>
      <c r="BG11" s="115"/>
      <c r="BH11" s="116">
        <f>AZ11/AV11</f>
        <v>0.15618319621688151</v>
      </c>
      <c r="BI11" s="115"/>
      <c r="BJ11" s="115">
        <v>79.66</v>
      </c>
      <c r="BK11" s="115">
        <v>121.69</v>
      </c>
      <c r="BL11" s="115">
        <v>138.47</v>
      </c>
      <c r="BM11" s="115"/>
      <c r="BN11" s="116">
        <f>(BL11/BJ11)-1</f>
        <v>0.73826261611850374</v>
      </c>
      <c r="BO11" s="115"/>
      <c r="BP11" s="115"/>
      <c r="BQ11" s="125">
        <f>H11/AZ11</f>
        <v>16.467855661551223</v>
      </c>
      <c r="BR11" s="125">
        <v>14.73</v>
      </c>
      <c r="BS11" s="125">
        <v>13.49</v>
      </c>
      <c r="BT11" s="115"/>
      <c r="BU11" s="125">
        <f>BA11/AW11</f>
        <v>0.17191885685123756</v>
      </c>
      <c r="BV11" s="125">
        <f>AN11</f>
        <v>1.49</v>
      </c>
      <c r="BW11" s="125">
        <f>1/AQ11</f>
        <v>3.6805299963194697E-2</v>
      </c>
      <c r="BX11" s="125">
        <f>H11/J11</f>
        <v>2.5720023320593381</v>
      </c>
      <c r="BY11" s="125">
        <f>H11/BD11</f>
        <v>25.848958333333336</v>
      </c>
      <c r="BZ11" s="115"/>
      <c r="CA11" s="125">
        <v>45.38</v>
      </c>
      <c r="CB11" s="125">
        <v>29.49</v>
      </c>
      <c r="CC11" s="125">
        <v>26.01</v>
      </c>
      <c r="CD11" s="115"/>
      <c r="CE11" s="116">
        <f>BN11</f>
        <v>0.73826261611850374</v>
      </c>
      <c r="CF11" s="115"/>
      <c r="CG11" s="125">
        <f>CC11/78.83</f>
        <v>0.32995052644932132</v>
      </c>
      <c r="CH11" s="116">
        <v>1.2200000000000001E-2</v>
      </c>
      <c r="CI11" s="115"/>
      <c r="CJ11" s="115">
        <v>3.37</v>
      </c>
    </row>
    <row r="12" spans="1:119">
      <c r="F12" s="48"/>
      <c r="G12" s="114"/>
      <c r="H12" s="114"/>
      <c r="I12" s="115"/>
      <c r="J12" s="114"/>
      <c r="K12" s="115"/>
      <c r="L12" s="115"/>
      <c r="M12" s="115"/>
      <c r="N12" s="115"/>
      <c r="O12" s="115"/>
      <c r="P12" s="115"/>
      <c r="Q12" s="115"/>
      <c r="R12" s="115"/>
      <c r="S12" s="115"/>
      <c r="T12" s="114"/>
      <c r="U12" s="114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6"/>
      <c r="AH12" s="116"/>
      <c r="AI12" s="116"/>
      <c r="AJ12" s="116"/>
      <c r="AK12" s="115"/>
      <c r="AL12" s="116"/>
      <c r="AM12" s="115"/>
      <c r="AN12" s="125"/>
      <c r="AO12" s="125"/>
      <c r="AP12" s="115"/>
      <c r="AQ12" s="125"/>
      <c r="AR12" s="115"/>
      <c r="AS12" s="115"/>
      <c r="AT12" s="115"/>
      <c r="AU12" s="115"/>
      <c r="AV12" s="114"/>
      <c r="AW12" s="114"/>
      <c r="AX12" s="114"/>
      <c r="AY12" s="115"/>
      <c r="AZ12" s="115"/>
      <c r="BA12" s="115"/>
      <c r="BB12" s="115"/>
      <c r="BC12" s="115"/>
      <c r="BD12" s="115"/>
      <c r="BE12" s="115"/>
      <c r="BF12" s="115"/>
      <c r="BG12" s="115"/>
      <c r="BH12" s="116"/>
      <c r="BI12" s="115"/>
      <c r="BJ12" s="115"/>
      <c r="BK12" s="115"/>
      <c r="BL12" s="115"/>
      <c r="BM12" s="115"/>
      <c r="BN12" s="116"/>
      <c r="BO12" s="115"/>
      <c r="BP12" s="115"/>
      <c r="BQ12" s="125"/>
      <c r="BR12" s="125"/>
      <c r="BS12" s="125"/>
      <c r="BT12" s="115"/>
      <c r="BU12" s="125"/>
      <c r="BV12" s="125"/>
      <c r="BW12" s="125"/>
      <c r="BX12" s="125"/>
      <c r="BY12" s="125"/>
      <c r="BZ12" s="115"/>
      <c r="CA12" s="125"/>
      <c r="CB12" s="125"/>
      <c r="CC12" s="125"/>
      <c r="CD12" s="115"/>
      <c r="CE12" s="116"/>
      <c r="CF12" s="115"/>
      <c r="CG12" s="125"/>
      <c r="CH12" s="116"/>
      <c r="CI12" s="115"/>
      <c r="CJ12" s="115"/>
    </row>
    <row r="13" spans="1:119" ht="14.65" customHeight="1">
      <c r="B13" s="42" t="s">
        <v>272</v>
      </c>
      <c r="E13" s="42" t="s">
        <v>367</v>
      </c>
      <c r="F13" s="48" t="s">
        <v>362</v>
      </c>
      <c r="G13" s="114">
        <v>1467.7</v>
      </c>
      <c r="H13" s="114">
        <v>1417.3</v>
      </c>
      <c r="I13" s="115"/>
      <c r="J13" s="115">
        <v>726.3</v>
      </c>
      <c r="K13" s="115">
        <v>244.4</v>
      </c>
      <c r="L13" s="115">
        <v>102.2</v>
      </c>
      <c r="M13" s="115">
        <v>60.8</v>
      </c>
      <c r="N13" s="115"/>
      <c r="O13" s="116">
        <f>K13/J13</f>
        <v>0.33650006884207628</v>
      </c>
      <c r="P13" s="116">
        <f>L13/J13</f>
        <v>0.14071320391022996</v>
      </c>
      <c r="Q13" s="116">
        <f>BD13/J13</f>
        <v>0.10395153517830098</v>
      </c>
      <c r="R13" s="116">
        <f>M13/J13</f>
        <v>8.3711964752856943E-2</v>
      </c>
      <c r="S13" s="115"/>
      <c r="T13" s="115">
        <v>660.8</v>
      </c>
      <c r="U13" s="115">
        <v>732.9</v>
      </c>
      <c r="V13" s="115">
        <v>94.1</v>
      </c>
      <c r="W13" s="115">
        <v>104.4</v>
      </c>
      <c r="X13" s="115"/>
      <c r="Y13" s="115">
        <v>64.92</v>
      </c>
      <c r="Z13" s="115">
        <v>60.5</v>
      </c>
      <c r="AA13" s="115">
        <v>65.010000000000005</v>
      </c>
      <c r="AB13" s="115">
        <v>68.27</v>
      </c>
      <c r="AC13" s="115"/>
      <c r="AD13" s="115"/>
      <c r="AE13" s="115">
        <v>0.77600000000000002</v>
      </c>
      <c r="AF13" s="115"/>
      <c r="AG13" s="116">
        <v>7.9200000000000007E-2</v>
      </c>
      <c r="AH13" s="116">
        <v>0.10920000000000001</v>
      </c>
      <c r="AI13" s="116">
        <v>5.3900000000000003E-2</v>
      </c>
      <c r="AJ13" s="116">
        <v>1.6500000000000001E-2</v>
      </c>
      <c r="AK13" s="115"/>
      <c r="AL13" s="116">
        <v>8.6900000000000005E-2</v>
      </c>
      <c r="AM13" s="125">
        <v>0.59</v>
      </c>
      <c r="AN13" s="125">
        <v>-0.56999999999999995</v>
      </c>
      <c r="AO13" s="125">
        <v>-10.47</v>
      </c>
      <c r="AP13" s="115"/>
      <c r="AQ13" s="125">
        <v>60.27</v>
      </c>
      <c r="AR13" s="115"/>
      <c r="AS13" s="115"/>
      <c r="AT13" s="115"/>
      <c r="AU13" s="115"/>
      <c r="AV13" s="114">
        <f>J11</f>
        <v>1543.7</v>
      </c>
      <c r="AW13" s="115">
        <f>U13</f>
        <v>732.9</v>
      </c>
      <c r="AX13" s="115">
        <v>773.5</v>
      </c>
      <c r="AY13" s="115"/>
      <c r="AZ13" s="115">
        <f>L13</f>
        <v>102.2</v>
      </c>
      <c r="BA13" s="115">
        <f>W13</f>
        <v>104.4</v>
      </c>
      <c r="BB13" s="115">
        <v>112.2</v>
      </c>
      <c r="BC13" s="115"/>
      <c r="BD13" s="115">
        <v>75.5</v>
      </c>
      <c r="BE13" s="115">
        <v>75.900000000000006</v>
      </c>
      <c r="BF13" s="115">
        <v>80</v>
      </c>
      <c r="BG13" s="115"/>
      <c r="BH13" s="116">
        <f>AZ13/AV13</f>
        <v>6.620457342747943E-2</v>
      </c>
      <c r="BI13" s="115"/>
      <c r="BJ13" s="115">
        <f>Y13</f>
        <v>64.92</v>
      </c>
      <c r="BK13" s="115">
        <f>AA13</f>
        <v>65.010000000000005</v>
      </c>
      <c r="BL13" s="115">
        <f>AB13</f>
        <v>68.27</v>
      </c>
      <c r="BM13" s="115"/>
      <c r="BN13" s="116">
        <f>(BL13/BJ13)-1</f>
        <v>5.1601971657424528E-2</v>
      </c>
      <c r="BO13" s="115"/>
      <c r="BP13" s="115"/>
      <c r="BQ13" s="125">
        <f>H13/AZ13</f>
        <v>13.867906066536202</v>
      </c>
      <c r="BR13" s="125">
        <v>13.57</v>
      </c>
      <c r="BS13" s="125">
        <v>12.64</v>
      </c>
      <c r="BT13" s="115"/>
      <c r="BU13" s="125">
        <f t="shared" ref="BU13:BU21" si="0">BA13/AW13</f>
        <v>0.14244781006958659</v>
      </c>
      <c r="BV13" s="125">
        <f>AN13</f>
        <v>-0.56999999999999995</v>
      </c>
      <c r="BW13" s="125">
        <f>1/AQ13</f>
        <v>1.6592002654720425E-2</v>
      </c>
      <c r="BX13" s="125">
        <f>H13/J13</f>
        <v>1.9513974941484236</v>
      </c>
      <c r="BY13" s="125">
        <f>H13/BD13</f>
        <v>18.772185430463576</v>
      </c>
      <c r="BZ13" s="115"/>
      <c r="CA13" s="125">
        <v>23.86</v>
      </c>
      <c r="CB13" s="125">
        <v>23.29</v>
      </c>
      <c r="CC13" s="125">
        <v>22.18</v>
      </c>
      <c r="CD13" s="115"/>
      <c r="CE13" s="116">
        <f t="shared" ref="CE13:CE21" si="1">BN13</f>
        <v>5.1601971657424528E-2</v>
      </c>
      <c r="CF13" s="115"/>
      <c r="CG13" s="125">
        <f>CC13/5.16</f>
        <v>4.2984496124031004</v>
      </c>
      <c r="CH13" s="116">
        <v>1.6500000000000001E-2</v>
      </c>
      <c r="CI13" s="115"/>
      <c r="CJ13" s="115" t="s">
        <v>368</v>
      </c>
      <c r="CS13" s="213" t="s">
        <v>301</v>
      </c>
      <c r="CT13" s="213"/>
      <c r="CU13" s="213"/>
      <c r="CV13" s="213"/>
      <c r="CW13" s="213"/>
      <c r="CX13" s="213"/>
      <c r="CY13" s="213"/>
      <c r="CZ13" s="213"/>
      <c r="DA13" s="213"/>
      <c r="DB13" s="213"/>
      <c r="DC13" s="213"/>
      <c r="DD13" s="213"/>
      <c r="DE13" s="213"/>
      <c r="DF13" s="213"/>
      <c r="DG13" s="213"/>
      <c r="DH13" s="213"/>
      <c r="DI13" s="213"/>
      <c r="DJ13" s="213"/>
      <c r="DK13" s="213"/>
      <c r="DL13" s="213"/>
      <c r="DM13" s="213"/>
    </row>
    <row r="14" spans="1:119">
      <c r="F14" s="48"/>
      <c r="G14" s="114"/>
      <c r="H14" s="114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6"/>
      <c r="AH14" s="116"/>
      <c r="AI14" s="116"/>
      <c r="AJ14" s="116"/>
      <c r="AK14" s="115"/>
      <c r="AL14" s="116"/>
      <c r="AM14" s="125"/>
      <c r="AN14" s="125"/>
      <c r="AO14" s="125"/>
      <c r="AP14" s="115"/>
      <c r="AQ14" s="125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5"/>
      <c r="BF14" s="115"/>
      <c r="BG14" s="115"/>
      <c r="BH14" s="116"/>
      <c r="BI14" s="115"/>
      <c r="BJ14" s="115"/>
      <c r="BK14" s="115"/>
      <c r="BL14" s="115"/>
      <c r="BM14" s="115"/>
      <c r="BN14" s="116"/>
      <c r="BO14" s="115"/>
      <c r="BP14" s="115"/>
      <c r="BQ14" s="125"/>
      <c r="BR14" s="125"/>
      <c r="BS14" s="125"/>
      <c r="BT14" s="115"/>
      <c r="BU14" s="125"/>
      <c r="BV14" s="125"/>
      <c r="BW14" s="125"/>
      <c r="BX14" s="125"/>
      <c r="BY14" s="125"/>
      <c r="BZ14" s="115"/>
      <c r="CA14" s="125"/>
      <c r="CB14" s="125"/>
      <c r="CC14" s="125"/>
      <c r="CD14" s="115"/>
      <c r="CE14" s="116"/>
      <c r="CF14" s="115"/>
      <c r="CG14" s="125"/>
      <c r="CH14" s="116"/>
      <c r="CI14" s="115"/>
      <c r="CJ14" s="115"/>
      <c r="CS14" s="45" t="s">
        <v>7</v>
      </c>
      <c r="CT14" s="45"/>
      <c r="CU14" s="45" t="s">
        <v>307</v>
      </c>
      <c r="CV14" s="45"/>
      <c r="CW14" s="45" t="s">
        <v>369</v>
      </c>
      <c r="CX14" s="45"/>
      <c r="CY14" s="45" t="s">
        <v>370</v>
      </c>
      <c r="CZ14" s="45" t="s">
        <v>371</v>
      </c>
      <c r="DA14" s="45" t="s">
        <v>372</v>
      </c>
      <c r="DB14" s="205" t="s">
        <v>258</v>
      </c>
      <c r="DC14" s="205"/>
      <c r="DD14" s="205"/>
      <c r="DE14" s="45" t="s">
        <v>373</v>
      </c>
      <c r="DF14" s="205" t="s">
        <v>261</v>
      </c>
      <c r="DG14" s="205"/>
      <c r="DH14" s="205"/>
      <c r="DI14" s="45" t="s">
        <v>374</v>
      </c>
      <c r="DJ14" s="45"/>
      <c r="DK14" s="45" t="s">
        <v>375</v>
      </c>
      <c r="DL14" s="45" t="s">
        <v>371</v>
      </c>
      <c r="DM14" s="45" t="s">
        <v>376</v>
      </c>
      <c r="DN14" s="42" t="s">
        <v>30</v>
      </c>
    </row>
    <row r="15" spans="1:119">
      <c r="B15" s="42" t="s">
        <v>273</v>
      </c>
      <c r="E15" s="42" t="s">
        <v>377</v>
      </c>
      <c r="F15" s="48" t="s">
        <v>362</v>
      </c>
      <c r="G15" s="115">
        <v>405.8</v>
      </c>
      <c r="H15" s="115">
        <v>434.2</v>
      </c>
      <c r="I15" s="115"/>
      <c r="J15" s="115">
        <v>335.5</v>
      </c>
      <c r="K15" s="115">
        <v>108.4</v>
      </c>
      <c r="L15" s="115">
        <v>40.700000000000003</v>
      </c>
      <c r="M15" s="115">
        <v>16.8</v>
      </c>
      <c r="N15" s="115"/>
      <c r="O15" s="116">
        <f>K15/J15</f>
        <v>0.32309985096870342</v>
      </c>
      <c r="P15" s="116">
        <f>L15/J15</f>
        <v>0.12131147540983607</v>
      </c>
      <c r="Q15" s="116">
        <f>BD15/J15</f>
        <v>7.0938897168405374E-2</v>
      </c>
      <c r="R15" s="116">
        <f>M15/J15</f>
        <v>5.007451564828614E-2</v>
      </c>
      <c r="S15" s="115"/>
      <c r="T15" s="115">
        <v>303</v>
      </c>
      <c r="U15" s="115">
        <v>337.3</v>
      </c>
      <c r="V15" s="115">
        <v>40</v>
      </c>
      <c r="W15" s="115">
        <v>42.5</v>
      </c>
      <c r="X15" s="115"/>
      <c r="Y15" s="115">
        <v>135.35</v>
      </c>
      <c r="Z15" s="115">
        <v>163.75</v>
      </c>
      <c r="AA15" s="115">
        <v>141.86000000000001</v>
      </c>
      <c r="AB15" s="115">
        <v>160.08000000000001</v>
      </c>
      <c r="AC15" s="115"/>
      <c r="AD15" s="115"/>
      <c r="AE15" s="115">
        <v>0.54800000000000004</v>
      </c>
      <c r="AF15" s="115"/>
      <c r="AG15" s="116">
        <v>6.54E-2</v>
      </c>
      <c r="AH15" s="116">
        <v>8.2000000000000003E-2</v>
      </c>
      <c r="AI15" s="116">
        <v>5.2200000000000003E-2</v>
      </c>
      <c r="AJ15" s="116">
        <f>CH15</f>
        <v>1.9099999999999999E-2</v>
      </c>
      <c r="AK15" s="115"/>
      <c r="AL15" s="116">
        <v>0.1145</v>
      </c>
      <c r="AM15" s="125">
        <v>1.28</v>
      </c>
      <c r="AN15" s="125">
        <v>0.42</v>
      </c>
      <c r="AO15" s="125">
        <v>7.94</v>
      </c>
      <c r="AP15" s="115"/>
      <c r="AQ15" s="125">
        <v>121.46</v>
      </c>
      <c r="AR15" s="115"/>
      <c r="AS15" s="115"/>
      <c r="AT15" s="115"/>
      <c r="AU15" s="115"/>
      <c r="AV15" s="115">
        <f>J15</f>
        <v>335.5</v>
      </c>
      <c r="AW15" s="115">
        <f>U15</f>
        <v>337.3</v>
      </c>
      <c r="AX15" s="115">
        <v>352.3</v>
      </c>
      <c r="AY15" s="115"/>
      <c r="AZ15" s="115">
        <f>L15</f>
        <v>40.700000000000003</v>
      </c>
      <c r="BA15" s="115">
        <f>W15</f>
        <v>42.5</v>
      </c>
      <c r="BB15" s="115">
        <v>45.9</v>
      </c>
      <c r="BC15" s="115"/>
      <c r="BD15" s="115">
        <v>23.8</v>
      </c>
      <c r="BE15" s="115">
        <v>26</v>
      </c>
      <c r="BF15" s="115">
        <v>29</v>
      </c>
      <c r="BG15" s="115"/>
      <c r="BH15" s="116">
        <f>AZ15/AV15</f>
        <v>0.12131147540983607</v>
      </c>
      <c r="BI15" s="115"/>
      <c r="BJ15" s="115">
        <f>Y15</f>
        <v>135.35</v>
      </c>
      <c r="BK15" s="115">
        <f>AA15</f>
        <v>141.86000000000001</v>
      </c>
      <c r="BL15" s="115">
        <f>AB15</f>
        <v>160.08000000000001</v>
      </c>
      <c r="BM15" s="115"/>
      <c r="BN15" s="116">
        <f>(BL15/BJ15)-1</f>
        <v>0.18271148873291487</v>
      </c>
      <c r="BO15" s="115"/>
      <c r="BP15" s="115"/>
      <c r="BQ15" s="125">
        <f>H15/AZ15</f>
        <v>10.668304668304668</v>
      </c>
      <c r="BR15" s="125">
        <v>10.210000000000001</v>
      </c>
      <c r="BS15" s="125">
        <v>9.4600000000000009</v>
      </c>
      <c r="BT15" s="115"/>
      <c r="BU15" s="125">
        <f t="shared" si="0"/>
        <v>0.12600059294396679</v>
      </c>
      <c r="BV15" s="125">
        <f>AN15</f>
        <v>0.42</v>
      </c>
      <c r="BW15" s="125">
        <f>1/AQ15</f>
        <v>8.2331631812942539E-3</v>
      </c>
      <c r="BX15" s="125">
        <f>H15/J15</f>
        <v>1.2941877794336811</v>
      </c>
      <c r="BY15" s="125">
        <f>H15/BD15</f>
        <v>18.243697478991596</v>
      </c>
      <c r="BZ15" s="115"/>
      <c r="CA15" s="125">
        <v>23.35</v>
      </c>
      <c r="CB15" s="125">
        <v>21.36</v>
      </c>
      <c r="CC15" s="125">
        <v>18.93</v>
      </c>
      <c r="CD15" s="115"/>
      <c r="CE15" s="116">
        <f t="shared" si="1"/>
        <v>0.18271148873291487</v>
      </c>
      <c r="CF15" s="115"/>
      <c r="CG15" s="125">
        <f>CC15/18.27</f>
        <v>1.0361247947454844</v>
      </c>
      <c r="CH15" s="116">
        <v>1.9099999999999999E-2</v>
      </c>
      <c r="CI15" s="115"/>
      <c r="CJ15" s="115">
        <v>2.65</v>
      </c>
      <c r="CS15" s="42" t="s">
        <v>378</v>
      </c>
      <c r="CU15" s="173">
        <f>AZ5</f>
        <v>89.5</v>
      </c>
      <c r="CW15" s="42" t="s">
        <v>379</v>
      </c>
      <c r="CY15" s="42">
        <v>9.18</v>
      </c>
      <c r="CZ15" s="42">
        <f t="shared" ref="CZ15:CZ23" si="2">DA15-CY15</f>
        <v>4.43</v>
      </c>
      <c r="DA15" s="42">
        <v>13.61</v>
      </c>
      <c r="DB15" s="181">
        <f t="shared" ref="DB15:DB23" si="3">CU15*CY15</f>
        <v>821.61</v>
      </c>
      <c r="DC15" s="182">
        <f t="shared" ref="DC15:DC23" si="4">CU15*CZ15</f>
        <v>396.48499999999996</v>
      </c>
      <c r="DD15" s="181">
        <f t="shared" ref="DD15:DD23" si="5">CU15*DA15</f>
        <v>1218.095</v>
      </c>
      <c r="DE15" s="173">
        <f>AN6</f>
        <v>81.445000000000007</v>
      </c>
      <c r="DF15" s="173">
        <f t="shared" ref="DF15:DF23" si="6">DB15-DE15</f>
        <v>740.16499999999996</v>
      </c>
      <c r="DG15" s="180">
        <f t="shared" ref="DG15:DG23" si="7">DC15-DE15</f>
        <v>315.03999999999996</v>
      </c>
      <c r="DH15" s="173">
        <f t="shared" ref="DH15:DH23" si="8">DD15-DE15</f>
        <v>1136.6500000000001</v>
      </c>
      <c r="DI15" s="42">
        <v>0.30299999999999999</v>
      </c>
      <c r="DK15" s="173">
        <f t="shared" ref="DK15:DK23" si="9">DF15/DI15</f>
        <v>2442.7887788778876</v>
      </c>
      <c r="DL15" s="180">
        <f t="shared" ref="DL15:DL23" si="10">DG15/DI15</f>
        <v>1039.7359735973596</v>
      </c>
      <c r="DM15" s="173">
        <f t="shared" ref="DM15:DM23" si="11">DH15/DI15</f>
        <v>3751.3201320132016</v>
      </c>
      <c r="DN15" s="173">
        <f t="shared" ref="DN15:DN23" si="12">(DK15+DM15)/2</f>
        <v>3097.0544554455446</v>
      </c>
      <c r="DO15" s="173"/>
    </row>
    <row r="16" spans="1:119">
      <c r="F16" s="48"/>
      <c r="G16" s="115"/>
      <c r="H16" s="115"/>
      <c r="I16" s="115"/>
      <c r="J16" s="115"/>
      <c r="K16" s="115"/>
      <c r="L16" s="115"/>
      <c r="M16" s="115"/>
      <c r="N16" s="115"/>
      <c r="O16" s="116"/>
      <c r="P16" s="116"/>
      <c r="Q16" s="116"/>
      <c r="R16" s="116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6"/>
      <c r="AH16" s="116"/>
      <c r="AI16" s="116"/>
      <c r="AJ16" s="115"/>
      <c r="AK16" s="115"/>
      <c r="AL16" s="116"/>
      <c r="AM16" s="125"/>
      <c r="AN16" s="125"/>
      <c r="AO16" s="125"/>
      <c r="AP16" s="115"/>
      <c r="AQ16" s="125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5"/>
      <c r="BF16" s="115"/>
      <c r="BG16" s="115"/>
      <c r="BH16" s="116"/>
      <c r="BI16" s="115"/>
      <c r="BJ16" s="115"/>
      <c r="BK16" s="115"/>
      <c r="BL16" s="115"/>
      <c r="BM16" s="115"/>
      <c r="BN16" s="116"/>
      <c r="BO16" s="115"/>
      <c r="BP16" s="115"/>
      <c r="BQ16" s="125"/>
      <c r="BR16" s="125"/>
      <c r="BS16" s="125"/>
      <c r="BT16" s="115"/>
      <c r="BU16" s="125"/>
      <c r="BV16" s="125"/>
      <c r="BW16" s="125"/>
      <c r="BX16" s="125"/>
      <c r="BY16" s="125"/>
      <c r="BZ16" s="115"/>
      <c r="CA16" s="125"/>
      <c r="CB16" s="125"/>
      <c r="CC16" s="125"/>
      <c r="CD16" s="115"/>
      <c r="CE16" s="116"/>
      <c r="CF16" s="115"/>
      <c r="CG16" s="125"/>
      <c r="CH16" s="116"/>
      <c r="CI16" s="115"/>
      <c r="CJ16" s="115"/>
      <c r="CS16" s="42" t="s">
        <v>380</v>
      </c>
      <c r="CT16" s="171"/>
      <c r="CU16" s="173">
        <f>BA5</f>
        <v>100.5</v>
      </c>
      <c r="CW16" s="42" t="s">
        <v>381</v>
      </c>
      <c r="CY16" s="42">
        <v>8.56</v>
      </c>
      <c r="CZ16" s="42">
        <f t="shared" si="2"/>
        <v>4.59</v>
      </c>
      <c r="DA16" s="42">
        <v>13.15</v>
      </c>
      <c r="DB16" s="181">
        <f t="shared" si="3"/>
        <v>860.28000000000009</v>
      </c>
      <c r="DC16" s="182">
        <f t="shared" si="4"/>
        <v>461.29499999999996</v>
      </c>
      <c r="DD16" s="181">
        <f t="shared" si="5"/>
        <v>1321.575</v>
      </c>
      <c r="DE16" s="173">
        <v>81.445000000000007</v>
      </c>
      <c r="DF16" s="173">
        <f t="shared" si="6"/>
        <v>778.83500000000004</v>
      </c>
      <c r="DG16" s="180">
        <f t="shared" si="7"/>
        <v>379.84999999999997</v>
      </c>
      <c r="DH16" s="173">
        <f t="shared" si="8"/>
        <v>1240.1300000000001</v>
      </c>
      <c r="DI16" s="42">
        <v>0.30299999999999999</v>
      </c>
      <c r="DK16" s="173">
        <f t="shared" si="9"/>
        <v>2570.4125412541257</v>
      </c>
      <c r="DL16" s="180">
        <f t="shared" si="10"/>
        <v>1253.6303630363036</v>
      </c>
      <c r="DM16" s="173">
        <f t="shared" si="11"/>
        <v>4092.8382838283833</v>
      </c>
      <c r="DN16" s="173">
        <f t="shared" si="12"/>
        <v>3331.6254125412543</v>
      </c>
    </row>
    <row r="17" spans="1:118">
      <c r="B17" s="42" t="s">
        <v>274</v>
      </c>
      <c r="E17" s="42" t="s">
        <v>382</v>
      </c>
      <c r="F17" s="48" t="s">
        <v>362</v>
      </c>
      <c r="G17" s="115">
        <v>611.70000000000005</v>
      </c>
      <c r="H17" s="115">
        <v>604.70000000000005</v>
      </c>
      <c r="I17" s="115"/>
      <c r="J17" s="115">
        <v>858</v>
      </c>
      <c r="K17" s="115">
        <v>191</v>
      </c>
      <c r="L17" s="115">
        <v>71.400000000000006</v>
      </c>
      <c r="M17" s="115">
        <v>29.1</v>
      </c>
      <c r="N17" s="115"/>
      <c r="O17" s="116">
        <f>K17/J17</f>
        <v>0.22261072261072262</v>
      </c>
      <c r="P17" s="116">
        <f>L17/J17</f>
        <v>8.3216783216783219E-2</v>
      </c>
      <c r="Q17" s="116">
        <f>BD17/J17</f>
        <v>5.1748251748251747E-2</v>
      </c>
      <c r="R17" s="116">
        <f>M17/J17</f>
        <v>3.3916083916083917E-2</v>
      </c>
      <c r="S17" s="115"/>
      <c r="T17" s="115">
        <v>858.2</v>
      </c>
      <c r="U17" s="115">
        <v>862.7</v>
      </c>
      <c r="V17" s="115">
        <v>72.099999999999994</v>
      </c>
      <c r="W17" s="115">
        <v>75.8</v>
      </c>
      <c r="X17" s="115"/>
      <c r="Y17" s="115">
        <v>100.54</v>
      </c>
      <c r="Z17" s="115">
        <v>109.4</v>
      </c>
      <c r="AA17" s="115">
        <v>110.51</v>
      </c>
      <c r="AB17" s="115">
        <v>138.88</v>
      </c>
      <c r="AC17" s="115"/>
      <c r="AD17" s="115"/>
      <c r="AE17" s="115">
        <v>0.58199999999999996</v>
      </c>
      <c r="AF17" s="115"/>
      <c r="AG17" s="116">
        <v>4.1799999999999997E-2</v>
      </c>
      <c r="AH17" s="116">
        <v>5.7000000000000002E-2</v>
      </c>
      <c r="AI17" s="116">
        <v>3.4599999999999999E-2</v>
      </c>
      <c r="AJ17" s="116">
        <f>CH17</f>
        <v>2.8500000000000001E-2</v>
      </c>
      <c r="AK17" s="115"/>
      <c r="AL17" s="116">
        <v>0.1085</v>
      </c>
      <c r="AM17" s="125">
        <v>1.24</v>
      </c>
      <c r="AN17" s="125">
        <v>-0.37</v>
      </c>
      <c r="AO17" s="125">
        <v>-4.99</v>
      </c>
      <c r="AP17" s="115"/>
      <c r="AQ17" s="125">
        <v>18.899999999999999</v>
      </c>
      <c r="AR17" s="115"/>
      <c r="AS17" s="115"/>
      <c r="AT17" s="115"/>
      <c r="AU17" s="115"/>
      <c r="AV17" s="115">
        <f>J17</f>
        <v>858</v>
      </c>
      <c r="AW17" s="115">
        <f>U17</f>
        <v>862.7</v>
      </c>
      <c r="AX17" s="115">
        <v>885.2</v>
      </c>
      <c r="AY17" s="115"/>
      <c r="AZ17" s="115">
        <f>L17</f>
        <v>71.400000000000006</v>
      </c>
      <c r="BA17" s="115">
        <f>W17</f>
        <v>75.8</v>
      </c>
      <c r="BB17" s="115">
        <v>80.5</v>
      </c>
      <c r="BC17" s="115"/>
      <c r="BD17" s="115">
        <v>44.4</v>
      </c>
      <c r="BE17" s="115">
        <v>47</v>
      </c>
      <c r="BF17" s="115">
        <v>50.9</v>
      </c>
      <c r="BG17" s="115"/>
      <c r="BH17" s="116">
        <f>AZ17/AV17</f>
        <v>8.3216783216783219E-2</v>
      </c>
      <c r="BI17" s="115"/>
      <c r="BJ17" s="115">
        <f>Y17</f>
        <v>100.54</v>
      </c>
      <c r="BK17" s="115">
        <f>AA17</f>
        <v>110.51</v>
      </c>
      <c r="BL17" s="115">
        <f>AB17</f>
        <v>138.88</v>
      </c>
      <c r="BM17" s="115"/>
      <c r="BN17" s="116">
        <f t="shared" ref="BN17:BN21" si="13">(BL17/BJ17)-1</f>
        <v>0.38134075989655836</v>
      </c>
      <c r="BO17" s="115"/>
      <c r="BP17" s="115"/>
      <c r="BQ17" s="125">
        <f>H17/AZ17</f>
        <v>8.4691876750700281</v>
      </c>
      <c r="BR17" s="125">
        <v>7.98</v>
      </c>
      <c r="BS17" s="125">
        <v>7.51</v>
      </c>
      <c r="BT17" s="115"/>
      <c r="BU17" s="125">
        <f t="shared" si="0"/>
        <v>8.7863683783470495E-2</v>
      </c>
      <c r="BV17" s="125">
        <f>AN17</f>
        <v>-0.37</v>
      </c>
      <c r="BW17" s="125">
        <f>1/AQ17</f>
        <v>5.2910052910052914E-2</v>
      </c>
      <c r="BX17" s="125">
        <f>H17/J17</f>
        <v>0.70477855477855478</v>
      </c>
      <c r="BY17" s="125">
        <f>H17/BD17</f>
        <v>13.619369369369371</v>
      </c>
      <c r="BZ17" s="115"/>
      <c r="CA17" s="125">
        <v>22.47</v>
      </c>
      <c r="CB17" s="125">
        <v>19.04</v>
      </c>
      <c r="CC17" s="125">
        <v>15.15</v>
      </c>
      <c r="CD17" s="115"/>
      <c r="CE17" s="116">
        <f t="shared" si="1"/>
        <v>0.38134075989655836</v>
      </c>
      <c r="CF17" s="115"/>
      <c r="CG17" s="125">
        <f>CC17/38.13</f>
        <v>0.39732494099134535</v>
      </c>
      <c r="CH17" s="116">
        <v>2.8500000000000001E-2</v>
      </c>
      <c r="CI17" s="115"/>
      <c r="CJ17" s="115" t="s">
        <v>368</v>
      </c>
      <c r="CS17" s="42" t="s">
        <v>383</v>
      </c>
      <c r="CT17" s="171"/>
      <c r="CU17" s="173">
        <f>BB5</f>
        <v>110.3</v>
      </c>
      <c r="CW17" s="42" t="s">
        <v>384</v>
      </c>
      <c r="CY17" s="42">
        <v>8</v>
      </c>
      <c r="CZ17" s="42">
        <f t="shared" si="2"/>
        <v>4</v>
      </c>
      <c r="DA17" s="42">
        <v>12</v>
      </c>
      <c r="DB17" s="181">
        <f t="shared" si="3"/>
        <v>882.4</v>
      </c>
      <c r="DC17" s="182">
        <f t="shared" si="4"/>
        <v>441.2</v>
      </c>
      <c r="DD17" s="181">
        <f t="shared" si="5"/>
        <v>1323.6</v>
      </c>
      <c r="DE17" s="173">
        <v>81.445000000000007</v>
      </c>
      <c r="DF17" s="173">
        <f t="shared" si="6"/>
        <v>800.95499999999993</v>
      </c>
      <c r="DG17" s="180">
        <f t="shared" si="7"/>
        <v>359.755</v>
      </c>
      <c r="DH17" s="173">
        <f t="shared" si="8"/>
        <v>1242.155</v>
      </c>
      <c r="DI17" s="42">
        <v>0.30299999999999999</v>
      </c>
      <c r="DK17" s="173">
        <f t="shared" si="9"/>
        <v>2643.4158415841584</v>
      </c>
      <c r="DL17" s="180">
        <f t="shared" si="10"/>
        <v>1187.3102310231022</v>
      </c>
      <c r="DM17" s="173">
        <f t="shared" si="11"/>
        <v>4099.5214521452144</v>
      </c>
      <c r="DN17" s="173">
        <f t="shared" si="12"/>
        <v>3371.4686468646864</v>
      </c>
    </row>
    <row r="18" spans="1:118">
      <c r="F18" s="48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6"/>
      <c r="AH18" s="116"/>
      <c r="AI18" s="116"/>
      <c r="AJ18" s="115"/>
      <c r="AK18" s="115"/>
      <c r="AL18" s="116"/>
      <c r="AM18" s="125"/>
      <c r="AN18" s="125"/>
      <c r="AO18" s="125"/>
      <c r="AP18" s="115"/>
      <c r="AQ18" s="125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115"/>
      <c r="BC18" s="115"/>
      <c r="BD18" s="115"/>
      <c r="BE18" s="115"/>
      <c r="BF18" s="115"/>
      <c r="BG18" s="115"/>
      <c r="BH18" s="116"/>
      <c r="BI18" s="115"/>
      <c r="BJ18" s="115"/>
      <c r="BK18" s="115"/>
      <c r="BL18" s="115"/>
      <c r="BM18" s="115"/>
      <c r="BN18" s="116"/>
      <c r="BO18" s="115"/>
      <c r="BP18" s="115"/>
      <c r="BQ18" s="125"/>
      <c r="BR18" s="125"/>
      <c r="BS18" s="125"/>
      <c r="BT18" s="115"/>
      <c r="BU18" s="125"/>
      <c r="BV18" s="125"/>
      <c r="BW18" s="125"/>
      <c r="BX18" s="125"/>
      <c r="BY18" s="125"/>
      <c r="BZ18" s="115"/>
      <c r="CA18" s="125"/>
      <c r="CB18" s="125"/>
      <c r="CC18" s="125"/>
      <c r="CD18" s="115"/>
      <c r="CE18" s="116"/>
      <c r="CF18" s="115"/>
      <c r="CG18" s="125"/>
      <c r="CH18" s="116"/>
      <c r="CI18" s="115"/>
      <c r="CJ18" s="115"/>
      <c r="CS18" s="42" t="s">
        <v>385</v>
      </c>
      <c r="CU18" s="173">
        <f>CU15</f>
        <v>89.5</v>
      </c>
      <c r="CW18" s="42" t="s">
        <v>386</v>
      </c>
      <c r="CY18" s="42">
        <v>8.9</v>
      </c>
      <c r="CZ18" s="42">
        <f t="shared" si="2"/>
        <v>3.91</v>
      </c>
      <c r="DA18" s="42">
        <v>12.81</v>
      </c>
      <c r="DB18" s="181">
        <f t="shared" si="3"/>
        <v>796.55000000000007</v>
      </c>
      <c r="DC18" s="182">
        <f t="shared" si="4"/>
        <v>349.94499999999999</v>
      </c>
      <c r="DD18" s="181">
        <f t="shared" si="5"/>
        <v>1146.4950000000001</v>
      </c>
      <c r="DE18" s="173">
        <v>81.445000000000007</v>
      </c>
      <c r="DF18" s="173">
        <f t="shared" si="6"/>
        <v>715.10500000000002</v>
      </c>
      <c r="DG18" s="180">
        <f t="shared" si="7"/>
        <v>268.5</v>
      </c>
      <c r="DH18" s="173">
        <f t="shared" si="8"/>
        <v>1065.0500000000002</v>
      </c>
      <c r="DI18" s="42">
        <v>0.30299999999999999</v>
      </c>
      <c r="DK18" s="173">
        <f t="shared" si="9"/>
        <v>2360.0825082508254</v>
      </c>
      <c r="DL18" s="180">
        <f t="shared" si="10"/>
        <v>886.13861386138615</v>
      </c>
      <c r="DM18" s="173">
        <f t="shared" si="11"/>
        <v>3515.0165016501655</v>
      </c>
      <c r="DN18" s="173">
        <f t="shared" si="12"/>
        <v>2937.5495049504952</v>
      </c>
    </row>
    <row r="19" spans="1:118">
      <c r="B19" s="42" t="s">
        <v>275</v>
      </c>
      <c r="E19" s="42" t="s">
        <v>387</v>
      </c>
      <c r="F19" s="48" t="s">
        <v>362</v>
      </c>
      <c r="G19" s="115">
        <v>394</v>
      </c>
      <c r="H19" s="115">
        <v>342.4</v>
      </c>
      <c r="I19" s="115"/>
      <c r="J19" s="115">
        <v>354.7</v>
      </c>
      <c r="K19" s="115">
        <v>132.4</v>
      </c>
      <c r="L19" s="115">
        <v>26.7</v>
      </c>
      <c r="M19" s="115">
        <v>5.6</v>
      </c>
      <c r="N19" s="115"/>
      <c r="O19" s="116">
        <f>K19/J19</f>
        <v>0.37327318861009307</v>
      </c>
      <c r="P19" s="116">
        <f>L19/J19</f>
        <v>7.527488018043417E-2</v>
      </c>
      <c r="Q19" s="116">
        <f>BD19/J19</f>
        <v>2.0862700873978013E-2</v>
      </c>
      <c r="R19" s="116">
        <f>M19/J19</f>
        <v>1.5787989850577954E-2</v>
      </c>
      <c r="S19" s="115"/>
      <c r="T19" s="115">
        <v>332.6</v>
      </c>
      <c r="U19" s="115">
        <v>353.5</v>
      </c>
      <c r="V19" s="115">
        <v>32.6</v>
      </c>
      <c r="W19" s="115">
        <v>28.8</v>
      </c>
      <c r="X19" s="115"/>
      <c r="Y19" s="115">
        <v>88.64</v>
      </c>
      <c r="Z19" s="115">
        <v>238.4</v>
      </c>
      <c r="AA19" s="115">
        <v>132.31</v>
      </c>
      <c r="AB19" s="115">
        <v>179.17</v>
      </c>
      <c r="AC19" s="115"/>
      <c r="AD19" s="115"/>
      <c r="AE19" s="115">
        <v>0.51600000000000001</v>
      </c>
      <c r="AF19" s="115"/>
      <c r="AG19" s="116">
        <v>1.7299999999999999E-2</v>
      </c>
      <c r="AH19" s="116">
        <v>2.1000000000000001E-2</v>
      </c>
      <c r="AI19" s="116">
        <v>1.5299999999999999E-2</v>
      </c>
      <c r="AJ19" s="116">
        <f>CH19</f>
        <v>1.6500000000000001E-2</v>
      </c>
      <c r="AK19" s="115"/>
      <c r="AL19" s="116">
        <v>8.8999999999999999E-3</v>
      </c>
      <c r="AM19" s="125">
        <v>0.11</v>
      </c>
      <c r="AN19" s="125">
        <v>-1.95</v>
      </c>
      <c r="AO19" s="125">
        <v>-19.149999999999999</v>
      </c>
      <c r="AP19" s="115"/>
      <c r="AQ19" s="125">
        <v>302.38</v>
      </c>
      <c r="AR19" s="115"/>
      <c r="AS19" s="115"/>
      <c r="AT19" s="115"/>
      <c r="AU19" s="115"/>
      <c r="AV19" s="115">
        <f>J19</f>
        <v>354.7</v>
      </c>
      <c r="AW19" s="115">
        <f>U19</f>
        <v>353.5</v>
      </c>
      <c r="AX19" s="115">
        <v>362.8</v>
      </c>
      <c r="AY19" s="115"/>
      <c r="AZ19" s="115">
        <f>L19</f>
        <v>26.7</v>
      </c>
      <c r="BA19" s="115">
        <f>W19</f>
        <v>28.8</v>
      </c>
      <c r="BB19" s="115">
        <v>33.9</v>
      </c>
      <c r="BC19" s="115"/>
      <c r="BD19" s="115">
        <v>7.4</v>
      </c>
      <c r="BE19" s="115">
        <v>10.5</v>
      </c>
      <c r="BF19" s="115">
        <v>15.2</v>
      </c>
      <c r="BG19" s="115"/>
      <c r="BH19" s="116">
        <f>AZ19/AV19</f>
        <v>7.527488018043417E-2</v>
      </c>
      <c r="BI19" s="115"/>
      <c r="BJ19" s="115">
        <f>Y19</f>
        <v>88.64</v>
      </c>
      <c r="BK19" s="115">
        <f>AA19</f>
        <v>132.31</v>
      </c>
      <c r="BL19" s="115">
        <f>AB19</f>
        <v>179.17</v>
      </c>
      <c r="BM19" s="115"/>
      <c r="BN19" s="116">
        <f t="shared" si="13"/>
        <v>1.0213222021660648</v>
      </c>
      <c r="BO19" s="115"/>
      <c r="BP19" s="115"/>
      <c r="BQ19" s="125">
        <f>H19/AZ19</f>
        <v>12.823970037453183</v>
      </c>
      <c r="BR19" s="125">
        <v>11.89</v>
      </c>
      <c r="BS19" s="125">
        <v>10.09</v>
      </c>
      <c r="BT19" s="115"/>
      <c r="BU19" s="125">
        <f t="shared" si="0"/>
        <v>8.1471004243281478E-2</v>
      </c>
      <c r="BV19" s="125">
        <f>AN19</f>
        <v>-1.95</v>
      </c>
      <c r="BW19" s="125">
        <f>1/AQ19</f>
        <v>3.3070970302268667E-3</v>
      </c>
      <c r="BX19" s="125">
        <f>H19/J19</f>
        <v>0.96532280800676629</v>
      </c>
      <c r="BY19" s="125">
        <f>H19/BD19</f>
        <v>46.270270270270267</v>
      </c>
      <c r="BZ19" s="115"/>
      <c r="CA19" s="125">
        <v>51.12</v>
      </c>
      <c r="CB19" s="125">
        <v>43.5</v>
      </c>
      <c r="CC19" s="125">
        <v>32.119999999999997</v>
      </c>
      <c r="CD19" s="115"/>
      <c r="CE19" s="116">
        <f t="shared" si="1"/>
        <v>1.0213222021660648</v>
      </c>
      <c r="CF19" s="115"/>
      <c r="CG19" s="125">
        <f>CC19/102.13</f>
        <v>0.31450112601586211</v>
      </c>
      <c r="CH19" s="116">
        <v>1.6500000000000001E-2</v>
      </c>
      <c r="CI19" s="115"/>
      <c r="CJ19" s="115" t="s">
        <v>368</v>
      </c>
      <c r="CS19" s="42" t="s">
        <v>388</v>
      </c>
      <c r="CU19" s="173">
        <f>CU16</f>
        <v>100.5</v>
      </c>
      <c r="CW19" s="42" t="s">
        <v>389</v>
      </c>
      <c r="CY19" s="42">
        <v>7.91</v>
      </c>
      <c r="CZ19" s="42">
        <f t="shared" si="2"/>
        <v>4.42</v>
      </c>
      <c r="DA19" s="42">
        <v>12.33</v>
      </c>
      <c r="DB19" s="181">
        <f t="shared" si="3"/>
        <v>794.95500000000004</v>
      </c>
      <c r="DC19" s="182">
        <f t="shared" si="4"/>
        <v>444.21</v>
      </c>
      <c r="DD19" s="181">
        <f t="shared" si="5"/>
        <v>1239.165</v>
      </c>
      <c r="DE19" s="173">
        <v>81.445000000000007</v>
      </c>
      <c r="DF19" s="173">
        <f t="shared" si="6"/>
        <v>713.51</v>
      </c>
      <c r="DG19" s="180">
        <f t="shared" si="7"/>
        <v>362.76499999999999</v>
      </c>
      <c r="DH19" s="173">
        <f t="shared" si="8"/>
        <v>1157.72</v>
      </c>
      <c r="DI19" s="42">
        <v>0.30299999999999999</v>
      </c>
      <c r="DK19" s="173">
        <f t="shared" si="9"/>
        <v>2354.818481848185</v>
      </c>
      <c r="DL19" s="180">
        <f t="shared" si="10"/>
        <v>1197.2442244224421</v>
      </c>
      <c r="DM19" s="173">
        <f t="shared" si="11"/>
        <v>3820.8580858085811</v>
      </c>
      <c r="DN19" s="173">
        <f t="shared" si="12"/>
        <v>3087.8382838283833</v>
      </c>
    </row>
    <row r="20" spans="1:118">
      <c r="F20" s="48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6"/>
      <c r="AH20" s="116"/>
      <c r="AI20" s="116"/>
      <c r="AJ20" s="115"/>
      <c r="AK20" s="115"/>
      <c r="AL20" s="116"/>
      <c r="AM20" s="125"/>
      <c r="AN20" s="125"/>
      <c r="AO20" s="125"/>
      <c r="AP20" s="115"/>
      <c r="AQ20" s="12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5"/>
      <c r="BF20" s="115"/>
      <c r="BG20" s="115"/>
      <c r="BH20" s="116"/>
      <c r="BI20" s="115"/>
      <c r="BJ20" s="115"/>
      <c r="BK20" s="115"/>
      <c r="BL20" s="115"/>
      <c r="BM20" s="115"/>
      <c r="BN20" s="116"/>
      <c r="BO20" s="115"/>
      <c r="BP20" s="115"/>
      <c r="BQ20" s="125"/>
      <c r="BR20" s="125"/>
      <c r="BS20" s="125"/>
      <c r="BT20" s="115"/>
      <c r="BU20" s="125"/>
      <c r="BV20" s="125"/>
      <c r="BW20" s="125"/>
      <c r="BX20" s="125"/>
      <c r="BY20" s="125"/>
      <c r="BZ20" s="115"/>
      <c r="CA20" s="125"/>
      <c r="CB20" s="125"/>
      <c r="CC20" s="125"/>
      <c r="CD20" s="115"/>
      <c r="CE20" s="116"/>
      <c r="CF20" s="115"/>
      <c r="CG20" s="125"/>
      <c r="CH20" s="116"/>
      <c r="CI20" s="115"/>
      <c r="CJ20" s="115"/>
      <c r="CS20" s="42" t="s">
        <v>390</v>
      </c>
      <c r="CU20" s="173">
        <f>CU17</f>
        <v>110.3</v>
      </c>
      <c r="CW20" s="42" t="s">
        <v>391</v>
      </c>
      <c r="CY20" s="42">
        <v>7.53</v>
      </c>
      <c r="CZ20" s="42">
        <f t="shared" si="2"/>
        <v>2.1499999999999995</v>
      </c>
      <c r="DA20" s="42">
        <v>9.68</v>
      </c>
      <c r="DB20" s="181">
        <f t="shared" si="3"/>
        <v>830.55899999999997</v>
      </c>
      <c r="DC20" s="182">
        <f t="shared" si="4"/>
        <v>237.14499999999992</v>
      </c>
      <c r="DD20" s="181">
        <f t="shared" si="5"/>
        <v>1067.704</v>
      </c>
      <c r="DE20" s="173">
        <v>81.445000000000007</v>
      </c>
      <c r="DF20" s="173">
        <f t="shared" si="6"/>
        <v>749.11399999999992</v>
      </c>
      <c r="DG20" s="180">
        <f t="shared" si="7"/>
        <v>155.69999999999993</v>
      </c>
      <c r="DH20" s="173">
        <f t="shared" si="8"/>
        <v>986.2589999999999</v>
      </c>
      <c r="DI20" s="42">
        <v>0.30299999999999999</v>
      </c>
      <c r="DK20" s="173">
        <f t="shared" si="9"/>
        <v>2472.3234323432343</v>
      </c>
      <c r="DL20" s="180">
        <f t="shared" si="10"/>
        <v>513.86138613861363</v>
      </c>
      <c r="DM20" s="173">
        <f t="shared" si="11"/>
        <v>3254.9801980198017</v>
      </c>
      <c r="DN20" s="173">
        <f t="shared" si="12"/>
        <v>2863.651815181518</v>
      </c>
    </row>
    <row r="21" spans="1:118">
      <c r="B21" s="42" t="s">
        <v>276</v>
      </c>
      <c r="E21" s="42" t="s">
        <v>392</v>
      </c>
      <c r="F21" s="48" t="s">
        <v>362</v>
      </c>
      <c r="G21" s="115">
        <v>305.39999999999998</v>
      </c>
      <c r="H21" s="115">
        <v>270</v>
      </c>
      <c r="I21" s="115"/>
      <c r="J21" s="115">
        <v>318</v>
      </c>
      <c r="K21" s="115">
        <v>116.8</v>
      </c>
      <c r="L21" s="115">
        <v>31.1</v>
      </c>
      <c r="M21" s="115">
        <v>13</v>
      </c>
      <c r="N21" s="115"/>
      <c r="O21" s="116">
        <f>K21/J21</f>
        <v>0.3672955974842767</v>
      </c>
      <c r="P21" s="116">
        <f>L21/J21</f>
        <v>9.7798742138364786E-2</v>
      </c>
      <c r="Q21" s="116">
        <f>BD21/J21</f>
        <v>5.4088050314465404E-2</v>
      </c>
      <c r="R21" s="116">
        <f>M21/J21</f>
        <v>4.0880503144654086E-2</v>
      </c>
      <c r="S21" s="115"/>
      <c r="T21" s="115">
        <v>299.60000000000002</v>
      </c>
      <c r="U21" s="115">
        <v>321.3</v>
      </c>
      <c r="V21" s="115">
        <v>33.1</v>
      </c>
      <c r="W21" s="115">
        <v>33.700000000000003</v>
      </c>
      <c r="X21" s="115"/>
      <c r="Y21" s="115">
        <v>140.06</v>
      </c>
      <c r="Z21" s="115">
        <v>187.36</v>
      </c>
      <c r="AA21" s="115">
        <v>141.30000000000001</v>
      </c>
      <c r="AB21" s="115">
        <v>148.44</v>
      </c>
      <c r="AC21" s="115"/>
      <c r="AD21" s="115"/>
      <c r="AE21" s="115">
        <v>0.48699999999999999</v>
      </c>
      <c r="AF21" s="115"/>
      <c r="AG21" s="116">
        <v>3.7600000000000001E-2</v>
      </c>
      <c r="AH21" s="116">
        <v>4.48E-2</v>
      </c>
      <c r="AI21" s="116">
        <v>3.0200000000000001E-2</v>
      </c>
      <c r="AJ21" s="116">
        <f>CH21</f>
        <v>1.55E-2</v>
      </c>
      <c r="AK21" s="115"/>
      <c r="AL21" s="116">
        <v>4.7E-2</v>
      </c>
      <c r="AM21" s="125">
        <v>0.59</v>
      </c>
      <c r="AN21" s="125">
        <v>-2.08</v>
      </c>
      <c r="AO21" s="125">
        <v>-20.100000000000001</v>
      </c>
      <c r="AP21" s="115"/>
      <c r="AQ21" s="125">
        <v>347.67</v>
      </c>
      <c r="AR21" s="115"/>
      <c r="AS21" s="115"/>
      <c r="AT21" s="115"/>
      <c r="AU21" s="115"/>
      <c r="AV21" s="115">
        <f>J21</f>
        <v>318</v>
      </c>
      <c r="AW21" s="115">
        <f>U21</f>
        <v>321.3</v>
      </c>
      <c r="AX21" s="115">
        <v>322.10000000000002</v>
      </c>
      <c r="AY21" s="115"/>
      <c r="AZ21" s="115">
        <f>L21</f>
        <v>31.1</v>
      </c>
      <c r="BA21" s="115">
        <f>W21</f>
        <v>33.700000000000003</v>
      </c>
      <c r="BB21" s="115">
        <v>36</v>
      </c>
      <c r="BC21" s="115"/>
      <c r="BD21" s="115">
        <v>17.2</v>
      </c>
      <c r="BE21" s="115">
        <v>18.3</v>
      </c>
      <c r="BF21" s="115">
        <v>19.8</v>
      </c>
      <c r="BG21" s="115"/>
      <c r="BH21" s="116">
        <f>AZ21/AV21</f>
        <v>9.7798742138364786E-2</v>
      </c>
      <c r="BI21" s="115"/>
      <c r="BJ21" s="115">
        <f>Y21</f>
        <v>140.06</v>
      </c>
      <c r="BK21" s="115">
        <f>AA21</f>
        <v>141.30000000000001</v>
      </c>
      <c r="BL21" s="115">
        <f>AB21</f>
        <v>148.44</v>
      </c>
      <c r="BM21" s="115"/>
      <c r="BN21" s="116">
        <f t="shared" si="13"/>
        <v>5.9831500785377578E-2</v>
      </c>
      <c r="BO21" s="115"/>
      <c r="BP21" s="115"/>
      <c r="BQ21" s="125">
        <v>8.68</v>
      </c>
      <c r="BR21" s="125">
        <v>8.01</v>
      </c>
      <c r="BS21" s="125">
        <v>7.5</v>
      </c>
      <c r="BT21" s="115"/>
      <c r="BU21" s="125">
        <f t="shared" si="0"/>
        <v>0.10488639900404607</v>
      </c>
      <c r="BV21" s="125">
        <f>AN21</f>
        <v>-2.08</v>
      </c>
      <c r="BW21" s="125">
        <f>1/AQ21</f>
        <v>2.8762907354675411E-3</v>
      </c>
      <c r="BX21" s="125">
        <f>H21/J21</f>
        <v>0.84905660377358494</v>
      </c>
      <c r="BY21" s="125">
        <f>H21/BD21</f>
        <v>15.697674418604652</v>
      </c>
      <c r="BZ21" s="115"/>
      <c r="CA21" s="125">
        <v>23.77</v>
      </c>
      <c r="CB21" s="125">
        <v>21.95</v>
      </c>
      <c r="CC21" s="125">
        <v>20.89</v>
      </c>
      <c r="CD21" s="115"/>
      <c r="CE21" s="116">
        <f t="shared" si="1"/>
        <v>5.9831500785377578E-2</v>
      </c>
      <c r="CF21" s="115"/>
      <c r="CG21" s="125">
        <f>CC21/5.98</f>
        <v>3.4933110367892977</v>
      </c>
      <c r="CH21" s="116">
        <v>1.55E-2</v>
      </c>
      <c r="CI21" s="115"/>
      <c r="CJ21" s="115" t="s">
        <v>368</v>
      </c>
      <c r="CS21" s="42" t="s">
        <v>393</v>
      </c>
      <c r="CU21" s="173">
        <f>CU15</f>
        <v>89.5</v>
      </c>
      <c r="CW21" s="42" t="s">
        <v>394</v>
      </c>
      <c r="CY21" s="42">
        <v>5.91</v>
      </c>
      <c r="CZ21" s="42">
        <f t="shared" si="2"/>
        <v>7.0500000000000007</v>
      </c>
      <c r="DA21" s="42">
        <v>12.96</v>
      </c>
      <c r="DB21" s="181">
        <f t="shared" si="3"/>
        <v>528.94500000000005</v>
      </c>
      <c r="DC21" s="182">
        <f t="shared" si="4"/>
        <v>630.97500000000002</v>
      </c>
      <c r="DD21" s="181">
        <f t="shared" si="5"/>
        <v>1159.92</v>
      </c>
      <c r="DE21" s="173">
        <v>81.445000000000007</v>
      </c>
      <c r="DF21" s="173">
        <f t="shared" si="6"/>
        <v>447.50000000000006</v>
      </c>
      <c r="DG21" s="180">
        <f t="shared" si="7"/>
        <v>549.53</v>
      </c>
      <c r="DH21" s="173">
        <f t="shared" si="8"/>
        <v>1078.4750000000001</v>
      </c>
      <c r="DI21" s="42">
        <v>0.30299999999999999</v>
      </c>
      <c r="DK21" s="173">
        <f t="shared" si="9"/>
        <v>1476.8976897689772</v>
      </c>
      <c r="DL21" s="180">
        <f t="shared" si="10"/>
        <v>1813.6303630363036</v>
      </c>
      <c r="DM21" s="173">
        <f t="shared" si="11"/>
        <v>3559.3234323432348</v>
      </c>
      <c r="DN21" s="173">
        <f t="shared" si="12"/>
        <v>2518.1105610561062</v>
      </c>
    </row>
    <row r="22" spans="1:118">
      <c r="AM22" s="126"/>
      <c r="AN22" s="126"/>
      <c r="AO22" s="126"/>
      <c r="AQ22" s="126"/>
      <c r="BQ22" s="126"/>
      <c r="BR22" s="126"/>
      <c r="BS22" s="126"/>
      <c r="BU22" s="126"/>
      <c r="BV22" s="126"/>
      <c r="BW22" s="126"/>
      <c r="BX22" s="126"/>
      <c r="BY22" s="126"/>
      <c r="CA22" s="126"/>
      <c r="CB22" s="126"/>
      <c r="CC22" s="126"/>
      <c r="CG22" s="126"/>
      <c r="CS22" s="42" t="s">
        <v>395</v>
      </c>
      <c r="CU22" s="173">
        <f>CU16</f>
        <v>100.5</v>
      </c>
      <c r="CW22" s="42" t="s">
        <v>396</v>
      </c>
      <c r="CY22" s="42">
        <v>5.26</v>
      </c>
      <c r="CZ22" s="42">
        <f t="shared" si="2"/>
        <v>6.82</v>
      </c>
      <c r="DA22" s="42">
        <v>12.08</v>
      </c>
      <c r="DB22" s="181">
        <f t="shared" si="3"/>
        <v>528.63</v>
      </c>
      <c r="DC22" s="182">
        <f t="shared" si="4"/>
        <v>685.41000000000008</v>
      </c>
      <c r="DD22" s="181">
        <f t="shared" si="5"/>
        <v>1214.04</v>
      </c>
      <c r="DE22" s="173">
        <v>81.445000000000007</v>
      </c>
      <c r="DF22" s="173">
        <f t="shared" si="6"/>
        <v>447.185</v>
      </c>
      <c r="DG22" s="180">
        <f t="shared" si="7"/>
        <v>603.96500000000003</v>
      </c>
      <c r="DH22" s="173">
        <f t="shared" si="8"/>
        <v>1132.595</v>
      </c>
      <c r="DI22" s="42">
        <v>0.30299999999999999</v>
      </c>
      <c r="DK22" s="173">
        <f t="shared" si="9"/>
        <v>1475.8580858085809</v>
      </c>
      <c r="DL22" s="180">
        <f t="shared" si="10"/>
        <v>1993.2838283828385</v>
      </c>
      <c r="DM22" s="173">
        <f t="shared" si="11"/>
        <v>3737.9372937293733</v>
      </c>
      <c r="DN22" s="173">
        <f t="shared" si="12"/>
        <v>2606.8976897689772</v>
      </c>
    </row>
    <row r="23" spans="1:118">
      <c r="A23" s="67"/>
      <c r="B23" s="47" t="s">
        <v>30</v>
      </c>
      <c r="C23" s="70"/>
      <c r="D23" s="70"/>
      <c r="E23" s="70"/>
      <c r="F23" s="70"/>
      <c r="G23" s="117">
        <f>AVERAGE(G11:G21)</f>
        <v>1119.8499999999999</v>
      </c>
      <c r="H23" s="117">
        <f>AVERAGE(H11:H21)</f>
        <v>1173.1666666666665</v>
      </c>
      <c r="I23" s="118"/>
      <c r="J23" s="117">
        <f>AVERAGE(J11:J21)</f>
        <v>689.36666666666667</v>
      </c>
      <c r="K23" s="117">
        <f t="shared" ref="K23:M23" si="14">AVERAGE(K11:K21)</f>
        <v>227.85000000000002</v>
      </c>
      <c r="L23" s="117">
        <f t="shared" si="14"/>
        <v>85.533333333333317</v>
      </c>
      <c r="M23" s="117">
        <f t="shared" si="14"/>
        <v>39.366666666666667</v>
      </c>
      <c r="N23" s="118"/>
      <c r="O23" s="117">
        <f>AVERAGE(O11:O21)</f>
        <v>0.33244635224892055</v>
      </c>
      <c r="P23" s="117">
        <f t="shared" ref="P23:AB23" si="15">AVERAGE(P11:P21)</f>
        <v>0.11241638017875495</v>
      </c>
      <c r="Q23" s="117">
        <f t="shared" si="15"/>
        <v>6.6848438950463926E-2</v>
      </c>
      <c r="R23" s="117">
        <f t="shared" si="15"/>
        <v>4.9368573467776879E-2</v>
      </c>
      <c r="S23" s="118"/>
      <c r="T23" s="168">
        <f t="shared" si="15"/>
        <v>648.9</v>
      </c>
      <c r="U23" s="168">
        <f t="shared" si="15"/>
        <v>695.88333333333333</v>
      </c>
      <c r="V23" s="168">
        <f t="shared" si="15"/>
        <v>81.033333333333346</v>
      </c>
      <c r="W23" s="168">
        <f t="shared" si="15"/>
        <v>92.45</v>
      </c>
      <c r="X23" s="117"/>
      <c r="Y23" s="168">
        <f t="shared" si="15"/>
        <v>107.105</v>
      </c>
      <c r="Z23" s="168">
        <f t="shared" si="15"/>
        <v>139.86166666666665</v>
      </c>
      <c r="AA23" s="168">
        <f t="shared" si="15"/>
        <v>118.93166666666666</v>
      </c>
      <c r="AB23" s="168">
        <f t="shared" si="15"/>
        <v>138.97</v>
      </c>
      <c r="AC23" s="119"/>
      <c r="AD23" s="119"/>
      <c r="AE23" s="120" t="s">
        <v>30</v>
      </c>
      <c r="AF23" s="118"/>
      <c r="AG23" s="170">
        <f t="shared" ref="AG23:AQ23" si="16">AVERAGE(AG11:AG21)</f>
        <v>5.0383333333333336E-2</v>
      </c>
      <c r="AH23" s="170">
        <f t="shared" si="16"/>
        <v>6.9783333333333336E-2</v>
      </c>
      <c r="AI23" s="170">
        <f t="shared" si="16"/>
        <v>3.8366666666666667E-2</v>
      </c>
      <c r="AJ23" s="170">
        <f t="shared" si="16"/>
        <v>1.805E-2</v>
      </c>
      <c r="AK23" s="118"/>
      <c r="AL23" s="170">
        <f t="shared" si="16"/>
        <v>0.109</v>
      </c>
      <c r="AM23" s="127">
        <f t="shared" si="16"/>
        <v>1.0233333333333334</v>
      </c>
      <c r="AN23" s="127">
        <f t="shared" si="16"/>
        <v>-0.51</v>
      </c>
      <c r="AO23" s="127">
        <f t="shared" si="16"/>
        <v>-0.47000000000000003</v>
      </c>
      <c r="AP23" s="118"/>
      <c r="AQ23" s="127">
        <f t="shared" si="16"/>
        <v>146.30833333333331</v>
      </c>
      <c r="AR23" s="118"/>
      <c r="AS23" s="119"/>
      <c r="AT23" s="119"/>
      <c r="AU23" s="120" t="s">
        <v>30</v>
      </c>
      <c r="AV23" s="117">
        <f t="shared" ref="AV23:BN23" si="17">AVERAGE(AV11:AV21)</f>
        <v>825.59999999999991</v>
      </c>
      <c r="AW23" s="117">
        <f t="shared" si="17"/>
        <v>695.88333333333333</v>
      </c>
      <c r="AX23" s="117">
        <f t="shared" si="17"/>
        <v>725.30000000000018</v>
      </c>
      <c r="AY23" s="118"/>
      <c r="AZ23" s="117">
        <f t="shared" si="17"/>
        <v>85.533333333333317</v>
      </c>
      <c r="BA23" s="117">
        <f t="shared" si="17"/>
        <v>92.45</v>
      </c>
      <c r="BB23" s="117">
        <f t="shared" si="17"/>
        <v>100.48333333333333</v>
      </c>
      <c r="BC23" s="118"/>
      <c r="BD23" s="117">
        <f t="shared" si="17"/>
        <v>53.65</v>
      </c>
      <c r="BE23" s="117">
        <f t="shared" si="17"/>
        <v>59.866666666666667</v>
      </c>
      <c r="BF23" s="117">
        <f t="shared" si="17"/>
        <v>66.2</v>
      </c>
      <c r="BG23" s="118"/>
      <c r="BH23" s="170">
        <f t="shared" si="17"/>
        <v>9.9998275098296549E-2</v>
      </c>
      <c r="BI23" s="118"/>
      <c r="BJ23" s="117">
        <f t="shared" si="17"/>
        <v>101.52833333333332</v>
      </c>
      <c r="BK23" s="117">
        <f t="shared" si="17"/>
        <v>118.78000000000002</v>
      </c>
      <c r="BL23" s="117">
        <f t="shared" si="17"/>
        <v>138.88499999999999</v>
      </c>
      <c r="BM23" s="117"/>
      <c r="BN23" s="117">
        <f t="shared" si="17"/>
        <v>0.40584508989280738</v>
      </c>
      <c r="BO23" s="115"/>
      <c r="BP23" s="120" t="s">
        <v>30</v>
      </c>
      <c r="BQ23" s="127">
        <f t="shared" ref="BQ23:CJ23" si="18">AVERAGE(BQ11:BQ21)</f>
        <v>11.829537351485882</v>
      </c>
      <c r="BR23" s="127">
        <f t="shared" si="18"/>
        <v>11.065000000000003</v>
      </c>
      <c r="BS23" s="127">
        <f t="shared" si="18"/>
        <v>10.115</v>
      </c>
      <c r="BT23" s="118"/>
      <c r="BU23" s="127">
        <f t="shared" si="18"/>
        <v>0.11909805781593151</v>
      </c>
      <c r="BV23" s="127">
        <f t="shared" si="18"/>
        <v>-0.51</v>
      </c>
      <c r="BW23" s="127">
        <f t="shared" si="18"/>
        <v>2.012065107915945E-2</v>
      </c>
      <c r="BX23" s="127">
        <f t="shared" si="18"/>
        <v>1.3894575953667248</v>
      </c>
      <c r="BY23" s="127">
        <f t="shared" si="18"/>
        <v>23.075359216838802</v>
      </c>
      <c r="BZ23" s="118"/>
      <c r="CA23" s="127">
        <f t="shared" si="18"/>
        <v>31.658333333333335</v>
      </c>
      <c r="CB23" s="127">
        <f t="shared" si="18"/>
        <v>26.438333333333333</v>
      </c>
      <c r="CC23" s="127">
        <f t="shared" si="18"/>
        <v>22.54666666666667</v>
      </c>
      <c r="CD23" s="118"/>
      <c r="CE23" s="117">
        <f t="shared" si="18"/>
        <v>0.40584508989280738</v>
      </c>
      <c r="CF23" s="118"/>
      <c r="CG23" s="127">
        <f t="shared" si="18"/>
        <v>1.6449436728990685</v>
      </c>
      <c r="CH23" s="117">
        <f t="shared" si="18"/>
        <v>1.805E-2</v>
      </c>
      <c r="CI23" s="118"/>
      <c r="CJ23" s="117">
        <f t="shared" si="18"/>
        <v>3.01</v>
      </c>
      <c r="CS23" s="42" t="s">
        <v>397</v>
      </c>
      <c r="CU23" s="173">
        <f>CU17</f>
        <v>110.3</v>
      </c>
      <c r="CW23" s="42" t="s">
        <v>398</v>
      </c>
      <c r="CY23" s="42">
        <v>6.5</v>
      </c>
      <c r="CZ23" s="42">
        <f t="shared" si="2"/>
        <v>4.0999999999999996</v>
      </c>
      <c r="DA23" s="42">
        <v>10.6</v>
      </c>
      <c r="DB23" s="181">
        <f t="shared" si="3"/>
        <v>716.94999999999993</v>
      </c>
      <c r="DC23" s="182">
        <f t="shared" si="4"/>
        <v>452.22999999999996</v>
      </c>
      <c r="DD23" s="181">
        <f t="shared" si="5"/>
        <v>1169.1799999999998</v>
      </c>
      <c r="DE23" s="173">
        <v>81.445000000000007</v>
      </c>
      <c r="DF23" s="173">
        <f t="shared" si="6"/>
        <v>635.50499999999988</v>
      </c>
      <c r="DG23" s="180">
        <f t="shared" si="7"/>
        <v>370.78499999999997</v>
      </c>
      <c r="DH23" s="173">
        <f t="shared" si="8"/>
        <v>1087.7349999999999</v>
      </c>
      <c r="DI23" s="42">
        <v>0.30299999999999999</v>
      </c>
      <c r="DK23" s="173">
        <f t="shared" si="9"/>
        <v>2097.3762376237619</v>
      </c>
      <c r="DL23" s="180">
        <f t="shared" si="10"/>
        <v>1223.7128712871286</v>
      </c>
      <c r="DM23" s="173">
        <f t="shared" si="11"/>
        <v>3589.8844884488449</v>
      </c>
      <c r="DN23" s="173">
        <f t="shared" si="12"/>
        <v>2843.6303630363036</v>
      </c>
    </row>
    <row r="24" spans="1:118">
      <c r="A24" s="43"/>
      <c r="B24" s="47" t="s">
        <v>399</v>
      </c>
      <c r="C24" s="47"/>
      <c r="D24" s="47"/>
      <c r="E24" s="47"/>
      <c r="F24" s="47"/>
      <c r="G24" s="121">
        <f>MEDIAN(G11:G21)</f>
        <v>508.75</v>
      </c>
      <c r="H24" s="121">
        <f t="shared" ref="H24:AB24" si="19">MEDIAN(H11:H21)</f>
        <v>519.45000000000005</v>
      </c>
      <c r="I24" s="121"/>
      <c r="J24" s="121">
        <f t="shared" si="19"/>
        <v>540.5</v>
      </c>
      <c r="K24" s="121">
        <f t="shared" si="19"/>
        <v>161.69999999999999</v>
      </c>
      <c r="L24" s="121">
        <f t="shared" si="19"/>
        <v>56.050000000000004</v>
      </c>
      <c r="M24" s="121">
        <f t="shared" si="19"/>
        <v>22.950000000000003</v>
      </c>
      <c r="N24" s="121"/>
      <c r="O24" s="121">
        <f t="shared" si="19"/>
        <v>0.35189783316317647</v>
      </c>
      <c r="P24" s="121">
        <f t="shared" si="19"/>
        <v>0.10955510877410043</v>
      </c>
      <c r="Q24" s="121">
        <f t="shared" si="19"/>
        <v>6.2513473741435385E-2</v>
      </c>
      <c r="R24" s="121">
        <f t="shared" si="19"/>
        <v>4.5477509396470113E-2</v>
      </c>
      <c r="S24" s="121"/>
      <c r="T24" s="169">
        <f t="shared" si="19"/>
        <v>496.7</v>
      </c>
      <c r="U24" s="169">
        <f t="shared" si="19"/>
        <v>543.20000000000005</v>
      </c>
      <c r="V24" s="169">
        <f t="shared" si="19"/>
        <v>56.05</v>
      </c>
      <c r="W24" s="169">
        <f t="shared" si="19"/>
        <v>59.15</v>
      </c>
      <c r="X24" s="121"/>
      <c r="Y24" s="169">
        <f t="shared" si="19"/>
        <v>106.83000000000001</v>
      </c>
      <c r="Z24" s="169">
        <f t="shared" si="19"/>
        <v>136.57499999999999</v>
      </c>
      <c r="AA24" s="169">
        <f t="shared" si="19"/>
        <v>127.455</v>
      </c>
      <c r="AB24" s="169">
        <f t="shared" si="19"/>
        <v>143.70999999999998</v>
      </c>
      <c r="AC24" s="122"/>
      <c r="AD24" s="122"/>
      <c r="AE24" s="120" t="s">
        <v>399</v>
      </c>
      <c r="AF24" s="120"/>
      <c r="AG24" s="164">
        <f t="shared" ref="AG24:AQ24" si="20">MEDIAN(AG11:AG21)</f>
        <v>5.1400000000000001E-2</v>
      </c>
      <c r="AH24" s="164">
        <f t="shared" si="20"/>
        <v>6.9500000000000006E-2</v>
      </c>
      <c r="AI24" s="164">
        <f t="shared" si="20"/>
        <v>3.9300000000000002E-2</v>
      </c>
      <c r="AJ24" s="164">
        <f t="shared" si="20"/>
        <v>1.6500000000000001E-2</v>
      </c>
      <c r="AK24" s="121"/>
      <c r="AL24" s="164">
        <f t="shared" si="20"/>
        <v>9.7700000000000009E-2</v>
      </c>
      <c r="AM24" s="128">
        <f t="shared" si="20"/>
        <v>0.91500000000000004</v>
      </c>
      <c r="AN24" s="128">
        <f t="shared" si="20"/>
        <v>-0.47</v>
      </c>
      <c r="AO24" s="128">
        <f t="shared" si="20"/>
        <v>-7.73</v>
      </c>
      <c r="AP24" s="121"/>
      <c r="AQ24" s="128">
        <f t="shared" si="20"/>
        <v>90.864999999999995</v>
      </c>
      <c r="AR24" s="121"/>
      <c r="AS24" s="122"/>
      <c r="AT24" s="122"/>
      <c r="AU24" s="120" t="s">
        <v>399</v>
      </c>
      <c r="AV24" s="121">
        <f t="shared" ref="AV24:BN24" si="21">MEDIAN(AV11:AV21)</f>
        <v>606.35</v>
      </c>
      <c r="AW24" s="121">
        <f t="shared" si="21"/>
        <v>543.20000000000005</v>
      </c>
      <c r="AX24" s="121">
        <f t="shared" si="21"/>
        <v>568.15</v>
      </c>
      <c r="AY24" s="121"/>
      <c r="AZ24" s="121">
        <f t="shared" si="21"/>
        <v>56.050000000000004</v>
      </c>
      <c r="BA24" s="121">
        <f t="shared" si="21"/>
        <v>59.15</v>
      </c>
      <c r="BB24" s="121">
        <f t="shared" si="21"/>
        <v>63.2</v>
      </c>
      <c r="BC24" s="121"/>
      <c r="BD24" s="121">
        <f t="shared" si="21"/>
        <v>34.1</v>
      </c>
      <c r="BE24" s="121">
        <f t="shared" si="21"/>
        <v>36.5</v>
      </c>
      <c r="BF24" s="121">
        <f t="shared" si="21"/>
        <v>39.950000000000003</v>
      </c>
      <c r="BG24" s="121"/>
      <c r="BH24" s="164">
        <f t="shared" si="21"/>
        <v>9.0507762677574002E-2</v>
      </c>
      <c r="BI24" s="121"/>
      <c r="BJ24" s="121">
        <f t="shared" si="21"/>
        <v>94.59</v>
      </c>
      <c r="BK24" s="121">
        <f t="shared" si="21"/>
        <v>127</v>
      </c>
      <c r="BL24" s="121">
        <f t="shared" si="21"/>
        <v>143.66</v>
      </c>
      <c r="BM24" s="121"/>
      <c r="BN24" s="121">
        <f t="shared" si="21"/>
        <v>0.28202612431473661</v>
      </c>
      <c r="BO24" s="115"/>
      <c r="BP24" s="120" t="s">
        <v>399</v>
      </c>
      <c r="BQ24" s="128">
        <f t="shared" ref="BQ24:CJ24" si="22">MEDIAN(BQ11:BQ21)</f>
        <v>11.746137352878925</v>
      </c>
      <c r="BR24" s="128">
        <f t="shared" si="22"/>
        <v>11.05</v>
      </c>
      <c r="BS24" s="128">
        <f t="shared" si="22"/>
        <v>9.7750000000000004</v>
      </c>
      <c r="BT24" s="121"/>
      <c r="BU24" s="128">
        <f t="shared" si="22"/>
        <v>0.11544349597400644</v>
      </c>
      <c r="BV24" s="128">
        <f t="shared" si="22"/>
        <v>-0.47</v>
      </c>
      <c r="BW24" s="128">
        <f t="shared" si="22"/>
        <v>1.2412582918007339E-2</v>
      </c>
      <c r="BX24" s="128">
        <f t="shared" si="22"/>
        <v>1.1297552937202238</v>
      </c>
      <c r="BY24" s="128">
        <f t="shared" si="22"/>
        <v>18.507941454727586</v>
      </c>
      <c r="BZ24" s="121"/>
      <c r="CA24" s="128">
        <f t="shared" si="22"/>
        <v>23.814999999999998</v>
      </c>
      <c r="CB24" s="128">
        <f t="shared" si="22"/>
        <v>22.619999999999997</v>
      </c>
      <c r="CC24" s="128">
        <f t="shared" si="22"/>
        <v>21.535</v>
      </c>
      <c r="CD24" s="121"/>
      <c r="CE24" s="121">
        <f t="shared" si="22"/>
        <v>0.28202612431473661</v>
      </c>
      <c r="CF24" s="121"/>
      <c r="CG24" s="128">
        <f t="shared" si="22"/>
        <v>0.71672486786841483</v>
      </c>
      <c r="CH24" s="121">
        <f t="shared" si="22"/>
        <v>1.6500000000000001E-2</v>
      </c>
      <c r="CI24" s="121"/>
      <c r="CJ24" s="121">
        <f t="shared" si="22"/>
        <v>3.01</v>
      </c>
    </row>
    <row r="25" spans="1:118">
      <c r="A25" s="43"/>
      <c r="B25" s="47" t="s">
        <v>370</v>
      </c>
      <c r="C25" s="47"/>
      <c r="D25" s="47"/>
      <c r="E25" s="47"/>
      <c r="F25" s="47"/>
      <c r="G25" s="121">
        <f>_xlfn.PERCENTILE.INC(G11:G21,0.25)</f>
        <v>396.95</v>
      </c>
      <c r="H25" s="121">
        <f t="shared" ref="H25:AB25" si="23">_xlfn.PERCENTILE.INC(H11:H21,0.25)</f>
        <v>365.34999999999997</v>
      </c>
      <c r="I25" s="121"/>
      <c r="J25" s="121">
        <f t="shared" si="23"/>
        <v>340.3</v>
      </c>
      <c r="K25" s="121">
        <f t="shared" si="23"/>
        <v>120.7</v>
      </c>
      <c r="L25" s="121">
        <f t="shared" si="23"/>
        <v>33.5</v>
      </c>
      <c r="M25" s="121">
        <f t="shared" si="23"/>
        <v>13.95</v>
      </c>
      <c r="N25" s="121"/>
      <c r="O25" s="121">
        <f t="shared" si="23"/>
        <v>0.32644990543704666</v>
      </c>
      <c r="P25" s="121">
        <f t="shared" si="23"/>
        <v>8.6862272947178604E-2</v>
      </c>
      <c r="Q25" s="121">
        <f t="shared" si="23"/>
        <v>5.2333201389805163E-2</v>
      </c>
      <c r="R25" s="121">
        <f t="shared" si="23"/>
        <v>3.5657188723226457E-2</v>
      </c>
      <c r="S25" s="121"/>
      <c r="T25" s="169">
        <f t="shared" si="23"/>
        <v>310.39999999999998</v>
      </c>
      <c r="U25" s="169">
        <f t="shared" si="23"/>
        <v>341.35</v>
      </c>
      <c r="V25" s="169">
        <f t="shared" si="23"/>
        <v>34.825000000000003</v>
      </c>
      <c r="W25" s="169">
        <f t="shared" si="23"/>
        <v>35.900000000000006</v>
      </c>
      <c r="X25" s="121"/>
      <c r="Y25" s="169">
        <f t="shared" si="23"/>
        <v>91.615000000000009</v>
      </c>
      <c r="Z25" s="169">
        <f t="shared" si="23"/>
        <v>87.17</v>
      </c>
      <c r="AA25" s="169">
        <f t="shared" si="23"/>
        <v>113.5325</v>
      </c>
      <c r="AB25" s="169">
        <f t="shared" si="23"/>
        <v>138.905</v>
      </c>
      <c r="AC25" s="122"/>
      <c r="AD25" s="122"/>
      <c r="AE25" s="120" t="s">
        <v>370</v>
      </c>
      <c r="AF25" s="120"/>
      <c r="AG25" s="164">
        <f t="shared" ref="AG25:AQ25" si="24">_xlfn.PERCENTILE.INC(AG11:AG21,0.25)</f>
        <v>3.8650000000000004E-2</v>
      </c>
      <c r="AH25" s="164">
        <f t="shared" si="24"/>
        <v>4.7850000000000004E-2</v>
      </c>
      <c r="AI25" s="164">
        <f t="shared" si="24"/>
        <v>3.1300000000000001E-2</v>
      </c>
      <c r="AJ25" s="164">
        <f t="shared" si="24"/>
        <v>1.575E-2</v>
      </c>
      <c r="AK25" s="121"/>
      <c r="AL25" s="164">
        <f t="shared" si="24"/>
        <v>5.6974999999999998E-2</v>
      </c>
      <c r="AM25" s="128">
        <f t="shared" si="24"/>
        <v>0.59</v>
      </c>
      <c r="AN25" s="128">
        <f t="shared" si="24"/>
        <v>-1.605</v>
      </c>
      <c r="AO25" s="128">
        <f t="shared" si="24"/>
        <v>-16.98</v>
      </c>
      <c r="AP25" s="121"/>
      <c r="AQ25" s="128">
        <f t="shared" si="24"/>
        <v>35.445</v>
      </c>
      <c r="AR25" s="121"/>
      <c r="AS25" s="122"/>
      <c r="AT25" s="122"/>
      <c r="AU25" s="120" t="s">
        <v>370</v>
      </c>
      <c r="AV25" s="121">
        <f t="shared" ref="AV25:BN25" si="25">_xlfn.PERCENTILE.INC(AV11:AV21,0.25)</f>
        <v>340.3</v>
      </c>
      <c r="AW25" s="121">
        <f t="shared" si="25"/>
        <v>341.35</v>
      </c>
      <c r="AX25" s="121">
        <f t="shared" si="25"/>
        <v>354.92500000000001</v>
      </c>
      <c r="AY25" s="121"/>
      <c r="AZ25" s="121">
        <f t="shared" si="25"/>
        <v>33.5</v>
      </c>
      <c r="BA25" s="121">
        <f t="shared" si="25"/>
        <v>35.900000000000006</v>
      </c>
      <c r="BB25" s="121">
        <f t="shared" si="25"/>
        <v>38.475000000000001</v>
      </c>
      <c r="BC25" s="121"/>
      <c r="BD25" s="121">
        <f t="shared" si="25"/>
        <v>18.850000000000001</v>
      </c>
      <c r="BE25" s="121">
        <f t="shared" si="25"/>
        <v>20.225000000000001</v>
      </c>
      <c r="BF25" s="121">
        <f t="shared" si="25"/>
        <v>22.1</v>
      </c>
      <c r="BG25" s="121"/>
      <c r="BH25" s="164">
        <f t="shared" si="25"/>
        <v>7.7260355939521436E-2</v>
      </c>
      <c r="BI25" s="121"/>
      <c r="BJ25" s="121">
        <f t="shared" si="25"/>
        <v>81.905000000000001</v>
      </c>
      <c r="BK25" s="121">
        <f t="shared" si="25"/>
        <v>113.30500000000001</v>
      </c>
      <c r="BL25" s="121">
        <f t="shared" si="25"/>
        <v>138.57249999999999</v>
      </c>
      <c r="BM25" s="121"/>
      <c r="BN25" s="121">
        <f t="shared" si="25"/>
        <v>9.0551497772261902E-2</v>
      </c>
      <c r="BO25" s="115"/>
      <c r="BP25" s="120" t="s">
        <v>370</v>
      </c>
      <c r="BQ25" s="128">
        <f t="shared" ref="BQ25:CJ25" si="26">_xlfn.PERCENTILE.INC(BQ11:BQ21,0.25)</f>
        <v>9.1770761670761658</v>
      </c>
      <c r="BR25" s="128">
        <f t="shared" si="26"/>
        <v>8.56</v>
      </c>
      <c r="BS25" s="128">
        <f t="shared" si="26"/>
        <v>7.9975000000000005</v>
      </c>
      <c r="BT25" s="121"/>
      <c r="BU25" s="128">
        <f t="shared" si="26"/>
        <v>9.211936258861439E-2</v>
      </c>
      <c r="BV25" s="128">
        <f t="shared" si="26"/>
        <v>-1.605</v>
      </c>
      <c r="BW25" s="128">
        <f t="shared" si="26"/>
        <v>4.5386135679937132E-3</v>
      </c>
      <c r="BX25" s="128">
        <f t="shared" si="26"/>
        <v>0.8781231548318803</v>
      </c>
      <c r="BY25" s="128">
        <f t="shared" si="26"/>
        <v>16.334180183701388</v>
      </c>
      <c r="BZ25" s="121"/>
      <c r="CA25" s="128">
        <f t="shared" si="26"/>
        <v>23.455000000000002</v>
      </c>
      <c r="CB25" s="128">
        <f t="shared" si="26"/>
        <v>21.5075</v>
      </c>
      <c r="CC25" s="128">
        <f t="shared" si="26"/>
        <v>19.420000000000002</v>
      </c>
      <c r="CD25" s="121"/>
      <c r="CE25" s="121">
        <f t="shared" si="26"/>
        <v>9.0551497772261902E-2</v>
      </c>
      <c r="CF25" s="121"/>
      <c r="CG25" s="128">
        <f t="shared" si="26"/>
        <v>0.34679413008482735</v>
      </c>
      <c r="CH25" s="121">
        <f t="shared" si="26"/>
        <v>1.575E-2</v>
      </c>
      <c r="CI25" s="121"/>
      <c r="CJ25" s="121">
        <f t="shared" si="26"/>
        <v>2.83</v>
      </c>
    </row>
    <row r="26" spans="1:118" ht="14.65" customHeight="1">
      <c r="A26" s="43"/>
      <c r="B26" s="47" t="s">
        <v>372</v>
      </c>
      <c r="C26" s="47"/>
      <c r="D26" s="47"/>
      <c r="E26" s="47"/>
      <c r="F26" s="47"/>
      <c r="G26" s="121">
        <f>_xlfn.PERCENTILE.INC(G11:G21,0.75)</f>
        <v>1253.7</v>
      </c>
      <c r="H26" s="121">
        <f t="shared" ref="H26:BN26" si="27">_xlfn.PERCENTILE.INC(H11:H21,0.75)</f>
        <v>1214.1500000000001</v>
      </c>
      <c r="I26" s="121"/>
      <c r="J26" s="121">
        <f t="shared" si="27"/>
        <v>825.07500000000005</v>
      </c>
      <c r="K26" s="121">
        <f t="shared" si="27"/>
        <v>231.05</v>
      </c>
      <c r="L26" s="121">
        <f t="shared" si="27"/>
        <v>94.5</v>
      </c>
      <c r="M26" s="121">
        <f t="shared" si="27"/>
        <v>52.875</v>
      </c>
      <c r="N26" s="121"/>
      <c r="O26" s="121">
        <f t="shared" si="27"/>
        <v>0.37074791310430749</v>
      </c>
      <c r="P26" s="121">
        <f t="shared" si="27"/>
        <v>0.13586277178513148</v>
      </c>
      <c r="Q26" s="121">
        <f t="shared" si="27"/>
        <v>9.236062310663784E-2</v>
      </c>
      <c r="R26" s="121">
        <f t="shared" si="27"/>
        <v>6.6398916532723215E-2</v>
      </c>
      <c r="S26" s="121"/>
      <c r="T26" s="169">
        <f t="shared" si="27"/>
        <v>808.85</v>
      </c>
      <c r="U26" s="169">
        <f t="shared" si="27"/>
        <v>830.25</v>
      </c>
      <c r="V26" s="169">
        <f t="shared" si="27"/>
        <v>88.6</v>
      </c>
      <c r="W26" s="169">
        <f t="shared" si="27"/>
        <v>97.25</v>
      </c>
      <c r="X26" s="121"/>
      <c r="Y26" s="169">
        <f t="shared" si="27"/>
        <v>129.79249999999999</v>
      </c>
      <c r="Z26" s="169">
        <f t="shared" si="27"/>
        <v>181.45750000000001</v>
      </c>
      <c r="AA26" s="169">
        <f t="shared" si="27"/>
        <v>139.05250000000001</v>
      </c>
      <c r="AB26" s="169">
        <f t="shared" si="27"/>
        <v>157.17000000000002</v>
      </c>
      <c r="AC26" s="123"/>
      <c r="AD26" s="123"/>
      <c r="AE26" s="120" t="s">
        <v>372</v>
      </c>
      <c r="AF26" s="121"/>
      <c r="AG26" s="164">
        <f t="shared" si="27"/>
        <v>6.4299999999999996E-2</v>
      </c>
      <c r="AH26" s="164">
        <f t="shared" si="27"/>
        <v>9.9025000000000002E-2</v>
      </c>
      <c r="AI26" s="164">
        <f t="shared" si="27"/>
        <v>5.015E-2</v>
      </c>
      <c r="AJ26" s="164">
        <f t="shared" si="27"/>
        <v>1.8450000000000001E-2</v>
      </c>
      <c r="AK26" s="121"/>
      <c r="AL26" s="164">
        <f t="shared" si="27"/>
        <v>0.113</v>
      </c>
      <c r="AM26" s="128">
        <f t="shared" si="27"/>
        <v>1.27</v>
      </c>
      <c r="AN26" s="128">
        <f t="shared" si="27"/>
        <v>0.22250000000000003</v>
      </c>
      <c r="AO26" s="128">
        <f t="shared" si="27"/>
        <v>4.7074999999999996</v>
      </c>
      <c r="AP26" s="121"/>
      <c r="AQ26" s="128">
        <f t="shared" si="27"/>
        <v>257.14999999999998</v>
      </c>
      <c r="AR26" s="121"/>
      <c r="AS26" s="123"/>
      <c r="AT26" s="123"/>
      <c r="AU26" s="120" t="s">
        <v>372</v>
      </c>
      <c r="AV26" s="121">
        <f t="shared" si="27"/>
        <v>1372.2750000000001</v>
      </c>
      <c r="AW26" s="121">
        <f t="shared" si="27"/>
        <v>830.25</v>
      </c>
      <c r="AX26" s="121">
        <f t="shared" si="27"/>
        <v>857.27500000000009</v>
      </c>
      <c r="AY26" s="121"/>
      <c r="AZ26" s="121">
        <f t="shared" si="27"/>
        <v>94.5</v>
      </c>
      <c r="BA26" s="121">
        <f t="shared" si="27"/>
        <v>97.25</v>
      </c>
      <c r="BB26" s="121">
        <f t="shared" si="27"/>
        <v>104.27500000000001</v>
      </c>
      <c r="BC26" s="121"/>
      <c r="BD26" s="121">
        <f t="shared" si="27"/>
        <v>67.724999999999994</v>
      </c>
      <c r="BE26" s="121">
        <f t="shared" si="27"/>
        <v>68.675000000000011</v>
      </c>
      <c r="BF26" s="121">
        <f t="shared" si="27"/>
        <v>72.724999999999994</v>
      </c>
      <c r="BG26" s="121"/>
      <c r="BH26" s="164">
        <f t="shared" si="27"/>
        <v>0.11543329209196825</v>
      </c>
      <c r="BI26" s="121"/>
      <c r="BJ26" s="121">
        <f t="shared" si="27"/>
        <v>126.64749999999999</v>
      </c>
      <c r="BK26" s="121">
        <f t="shared" si="27"/>
        <v>139.05250000000001</v>
      </c>
      <c r="BL26" s="121">
        <f t="shared" si="27"/>
        <v>157.17000000000002</v>
      </c>
      <c r="BM26" s="121"/>
      <c r="BN26" s="121">
        <f t="shared" si="27"/>
        <v>0.64903215206301734</v>
      </c>
      <c r="BO26" s="123"/>
      <c r="BP26" s="120" t="s">
        <v>372</v>
      </c>
      <c r="BQ26" s="128">
        <f t="shared" ref="BQ26:CJ26" si="28">_xlfn.PERCENTILE.INC(BQ11:BQ21,0.75)</f>
        <v>13.606922059265447</v>
      </c>
      <c r="BR26" s="128">
        <f t="shared" si="28"/>
        <v>13.15</v>
      </c>
      <c r="BS26" s="128">
        <f t="shared" si="28"/>
        <v>12.002500000000001</v>
      </c>
      <c r="BT26" s="121"/>
      <c r="BU26" s="128">
        <f t="shared" si="28"/>
        <v>0.13833600578818164</v>
      </c>
      <c r="BV26" s="128">
        <f t="shared" si="28"/>
        <v>0.22250000000000003</v>
      </c>
      <c r="BW26" s="128">
        <f t="shared" si="28"/>
        <v>3.1751975636076131E-2</v>
      </c>
      <c r="BX26" s="128">
        <f t="shared" si="28"/>
        <v>1.787095065469738</v>
      </c>
      <c r="BY26" s="128">
        <f t="shared" si="28"/>
        <v>24.079765107615895</v>
      </c>
      <c r="BZ26" s="121"/>
      <c r="CA26" s="128">
        <f t="shared" si="28"/>
        <v>40</v>
      </c>
      <c r="CB26" s="128">
        <f t="shared" si="28"/>
        <v>27.939999999999998</v>
      </c>
      <c r="CC26" s="128">
        <f t="shared" si="28"/>
        <v>25.052500000000002</v>
      </c>
      <c r="CD26" s="121"/>
      <c r="CE26" s="121">
        <f t="shared" si="28"/>
        <v>0.64903215206301734</v>
      </c>
      <c r="CF26" s="121"/>
      <c r="CG26" s="128">
        <f t="shared" si="28"/>
        <v>2.8790144762783445</v>
      </c>
      <c r="CH26" s="121">
        <f t="shared" si="28"/>
        <v>1.8450000000000001E-2</v>
      </c>
      <c r="CI26" s="121"/>
      <c r="CJ26" s="121">
        <f t="shared" si="28"/>
        <v>3.19</v>
      </c>
      <c r="CS26" s="213" t="s">
        <v>400</v>
      </c>
      <c r="CT26" s="213"/>
      <c r="CU26" s="213"/>
      <c r="CV26" s="213"/>
      <c r="CW26" s="213"/>
      <c r="CX26" s="213"/>
      <c r="CY26" s="213"/>
      <c r="CZ26" s="213"/>
      <c r="DA26" s="213"/>
    </row>
    <row r="27" spans="1:118"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115"/>
      <c r="AI27" s="115"/>
      <c r="AJ27" s="115"/>
      <c r="AK27" s="115"/>
      <c r="AL27" s="115"/>
      <c r="AM27" s="125"/>
      <c r="AN27" s="125"/>
      <c r="AO27" s="125"/>
      <c r="AP27" s="115"/>
      <c r="AQ27" s="12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5"/>
      <c r="BF27" s="115"/>
      <c r="BG27" s="115"/>
      <c r="BH27" s="115"/>
      <c r="BI27" s="115"/>
      <c r="BJ27" s="115"/>
      <c r="BK27" s="115"/>
      <c r="BL27" s="115"/>
      <c r="BM27" s="115"/>
      <c r="BN27" s="115"/>
      <c r="BO27" s="115"/>
      <c r="BP27" s="115"/>
      <c r="BQ27" s="125"/>
      <c r="BR27" s="125"/>
      <c r="BS27" s="125"/>
      <c r="BT27" s="115"/>
      <c r="BU27" s="125"/>
      <c r="BV27" s="125"/>
      <c r="BW27" s="125"/>
      <c r="BX27" s="125"/>
      <c r="BY27" s="125"/>
      <c r="BZ27" s="115"/>
      <c r="CA27" s="125"/>
      <c r="CB27" s="125"/>
      <c r="CC27" s="125"/>
      <c r="CD27" s="115"/>
      <c r="CE27" s="115"/>
      <c r="CF27" s="115"/>
      <c r="CG27" s="125"/>
      <c r="CH27" s="115"/>
      <c r="CI27" s="115"/>
      <c r="CJ27" s="115"/>
      <c r="CS27" s="42" t="s">
        <v>7</v>
      </c>
      <c r="CU27" s="45" t="s">
        <v>370</v>
      </c>
      <c r="CV27" s="42" t="s">
        <v>372</v>
      </c>
      <c r="CW27" s="42" t="s">
        <v>371</v>
      </c>
      <c r="CY27" s="42" t="s">
        <v>401</v>
      </c>
      <c r="CZ27" s="42" t="s">
        <v>372</v>
      </c>
      <c r="DA27" s="42" t="s">
        <v>371</v>
      </c>
    </row>
    <row r="28" spans="1:118">
      <c r="A28" s="43"/>
      <c r="B28" s="47" t="s">
        <v>402</v>
      </c>
      <c r="C28" s="47"/>
      <c r="D28" s="47"/>
      <c r="E28" s="47"/>
      <c r="F28" s="47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2"/>
      <c r="AD28" s="122"/>
      <c r="AE28" s="203" t="s">
        <v>402</v>
      </c>
      <c r="AF28" s="120"/>
      <c r="AG28" s="120"/>
      <c r="AH28" s="120"/>
      <c r="AI28" s="120"/>
      <c r="AJ28" s="120"/>
      <c r="AK28" s="120"/>
      <c r="AL28" s="120"/>
      <c r="AM28" s="128"/>
      <c r="AN28" s="128"/>
      <c r="AO28" s="128"/>
      <c r="AP28" s="120"/>
      <c r="AQ28" s="128"/>
      <c r="AR28" s="120"/>
      <c r="AS28" s="122"/>
      <c r="AT28" s="122"/>
      <c r="AU28" s="120" t="s">
        <v>402</v>
      </c>
      <c r="AV28" s="120"/>
      <c r="AW28" s="120"/>
      <c r="AX28" s="120"/>
      <c r="AY28" s="120"/>
      <c r="AZ28" s="120"/>
      <c r="BA28" s="120"/>
      <c r="BB28" s="120"/>
      <c r="BC28" s="120"/>
      <c r="BD28" s="120"/>
      <c r="BE28" s="120"/>
      <c r="BF28" s="120"/>
      <c r="BG28" s="120"/>
      <c r="BH28" s="120"/>
      <c r="BI28" s="120"/>
      <c r="BJ28" s="120"/>
      <c r="BK28" s="120"/>
      <c r="BL28" s="120"/>
      <c r="BM28" s="120"/>
      <c r="BN28" s="120"/>
      <c r="BO28" s="115"/>
      <c r="BP28" s="120" t="s">
        <v>402</v>
      </c>
      <c r="BQ28" s="128"/>
      <c r="BR28" s="128"/>
      <c r="BS28" s="128"/>
      <c r="BT28" s="120"/>
      <c r="BU28" s="128"/>
      <c r="BV28" s="128"/>
      <c r="BW28" s="128"/>
      <c r="BX28" s="128"/>
      <c r="BY28" s="128"/>
      <c r="BZ28" s="120"/>
      <c r="CA28" s="128"/>
      <c r="CB28" s="128"/>
      <c r="CC28" s="128"/>
      <c r="CD28" s="120"/>
      <c r="CE28" s="120"/>
      <c r="CF28" s="120"/>
      <c r="CG28" s="128"/>
      <c r="CH28" s="120"/>
      <c r="CI28" s="120"/>
      <c r="CJ28" s="120"/>
      <c r="CS28" s="42" t="s">
        <v>378</v>
      </c>
      <c r="CU28" s="42">
        <v>31.658333333333335</v>
      </c>
      <c r="CV28" s="42">
        <v>40</v>
      </c>
      <c r="CW28" s="42">
        <f t="shared" ref="CW28:CW36" si="29">CV28-CU28</f>
        <v>8.341666666666665</v>
      </c>
      <c r="CY28" s="126"/>
      <c r="CZ28" s="126"/>
    </row>
    <row r="29" spans="1:118"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25"/>
      <c r="AN29" s="125"/>
      <c r="AO29" s="125"/>
      <c r="AP29" s="115"/>
      <c r="AQ29" s="12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5"/>
      <c r="BF29" s="115"/>
      <c r="BG29" s="115"/>
      <c r="BH29" s="115"/>
      <c r="BI29" s="115"/>
      <c r="BJ29" s="115"/>
      <c r="BK29" s="115"/>
      <c r="BL29" s="115"/>
      <c r="BM29" s="115"/>
      <c r="BN29" s="115"/>
      <c r="BO29" s="115"/>
      <c r="BP29" s="115"/>
      <c r="BQ29" s="125"/>
      <c r="BR29" s="125"/>
      <c r="BS29" s="125"/>
      <c r="BT29" s="115"/>
      <c r="BU29" s="125"/>
      <c r="BV29" s="125"/>
      <c r="BW29" s="125"/>
      <c r="BX29" s="125"/>
      <c r="BY29" s="125"/>
      <c r="BZ29" s="115"/>
      <c r="CA29" s="125"/>
      <c r="CB29" s="125"/>
      <c r="CC29" s="125"/>
      <c r="CD29" s="115"/>
      <c r="CE29" s="115"/>
      <c r="CF29" s="115"/>
      <c r="CG29" s="125"/>
      <c r="CH29" s="115"/>
      <c r="CI29" s="115"/>
      <c r="CJ29" s="115"/>
      <c r="CS29" s="42" t="s">
        <v>403</v>
      </c>
      <c r="CU29" s="42">
        <v>21.5075</v>
      </c>
      <c r="CV29" s="42">
        <v>27.939999999999998</v>
      </c>
      <c r="CW29" s="42">
        <f t="shared" si="29"/>
        <v>6.4324999999999974</v>
      </c>
    </row>
    <row r="30" spans="1:118">
      <c r="B30" s="42" t="s">
        <v>404</v>
      </c>
      <c r="E30" s="42" t="s">
        <v>405</v>
      </c>
      <c r="F30" s="48" t="s">
        <v>362</v>
      </c>
      <c r="G30" s="115">
        <v>865.5</v>
      </c>
      <c r="H30" s="115">
        <v>775.8</v>
      </c>
      <c r="I30" s="115"/>
      <c r="J30" s="115">
        <v>485.8</v>
      </c>
      <c r="K30" s="115">
        <v>284.60000000000002</v>
      </c>
      <c r="L30" s="115">
        <v>76.099999999999994</v>
      </c>
      <c r="M30" s="115">
        <v>39.9</v>
      </c>
      <c r="N30" s="115"/>
      <c r="O30" s="116">
        <f>K30/J30</f>
        <v>0.58583779333058872</v>
      </c>
      <c r="P30" s="116">
        <f>L30/J30</f>
        <v>0.1566488266776451</v>
      </c>
      <c r="Q30" s="116">
        <f>BD30/J30</f>
        <v>9.6541786743515851E-2</v>
      </c>
      <c r="R30" s="116">
        <f>M30/J30</f>
        <v>8.2132564841498557E-2</v>
      </c>
      <c r="S30" s="115"/>
      <c r="T30" s="115">
        <v>503.1</v>
      </c>
      <c r="U30" s="115">
        <v>488.1</v>
      </c>
      <c r="V30" s="115">
        <v>91.2</v>
      </c>
      <c r="W30" s="115">
        <v>77.8</v>
      </c>
      <c r="X30" s="115"/>
      <c r="Y30" s="115">
        <v>134.01</v>
      </c>
      <c r="Z30" s="115">
        <v>160.47</v>
      </c>
      <c r="AA30" s="115">
        <v>148.97</v>
      </c>
      <c r="AB30" s="115">
        <v>147.1</v>
      </c>
      <c r="AC30" s="115"/>
      <c r="AD30" s="115"/>
      <c r="AE30" s="115">
        <v>0.44</v>
      </c>
      <c r="AF30" s="115"/>
      <c r="AG30" s="116">
        <v>4.3999999999999997E-2</v>
      </c>
      <c r="AH30" s="116">
        <v>6.8900000000000003E-2</v>
      </c>
      <c r="AI30" s="116">
        <v>4.6899999999999997E-2</v>
      </c>
      <c r="AJ30" s="116">
        <f>CH30</f>
        <v>2.4899999999999999E-2</v>
      </c>
      <c r="AK30" s="115"/>
      <c r="AL30" s="116">
        <v>0.121</v>
      </c>
      <c r="AM30" s="125">
        <v>0.93</v>
      </c>
      <c r="AN30" s="125">
        <v>-1.77</v>
      </c>
      <c r="AO30" s="125">
        <v>-22.16</v>
      </c>
      <c r="AP30" s="115"/>
      <c r="AQ30" s="125">
        <v>97.68</v>
      </c>
      <c r="AR30" s="115"/>
      <c r="AS30" s="115"/>
      <c r="AT30" s="115"/>
      <c r="AU30" s="115"/>
      <c r="AV30" s="115">
        <f>J30</f>
        <v>485.8</v>
      </c>
      <c r="AW30" s="115">
        <f>U30</f>
        <v>488.1</v>
      </c>
      <c r="AX30" s="115">
        <v>499.2</v>
      </c>
      <c r="AY30" s="115"/>
      <c r="AZ30" s="115">
        <f>L30</f>
        <v>76.099999999999994</v>
      </c>
      <c r="BA30" s="115">
        <f>W30</f>
        <v>77.8</v>
      </c>
      <c r="BB30" s="115">
        <v>82</v>
      </c>
      <c r="BC30" s="115"/>
      <c r="BD30" s="115">
        <v>46.9</v>
      </c>
      <c r="BE30" s="115">
        <v>48.8</v>
      </c>
      <c r="BF30" s="115">
        <v>50.2</v>
      </c>
      <c r="BG30" s="115"/>
      <c r="BH30" s="116">
        <f>AZ30/AV30</f>
        <v>0.1566488266776451</v>
      </c>
      <c r="BI30" s="115"/>
      <c r="BJ30" s="115">
        <f>Y30</f>
        <v>134.01</v>
      </c>
      <c r="BK30" s="115">
        <f>AA30</f>
        <v>148.97</v>
      </c>
      <c r="BL30" s="115">
        <f>AB30</f>
        <v>147.1</v>
      </c>
      <c r="BM30" s="115"/>
      <c r="BN30" s="116">
        <f>(BL30/BJ30)-1</f>
        <v>9.7679277665845943E-2</v>
      </c>
      <c r="BO30" s="115"/>
      <c r="BP30" s="115"/>
      <c r="BQ30" s="125">
        <v>10.19</v>
      </c>
      <c r="BR30" s="125">
        <v>9.98</v>
      </c>
      <c r="BS30" s="125">
        <v>9.4600000000000009</v>
      </c>
      <c r="BT30" s="115"/>
      <c r="BU30" s="125">
        <f>BA30/AW30</f>
        <v>0.1593935668920303</v>
      </c>
      <c r="BV30" s="125">
        <f>AN30</f>
        <v>-1.77</v>
      </c>
      <c r="BW30" s="125">
        <f>1/AQ30</f>
        <v>1.0237510237510237E-2</v>
      </c>
      <c r="BX30" s="125">
        <f>H30/J30</f>
        <v>1.596953478797859</v>
      </c>
      <c r="BY30" s="125">
        <f>H30/AV30</f>
        <v>1.596953478797859</v>
      </c>
      <c r="BZ30" s="115"/>
      <c r="CA30" s="125">
        <v>18.23</v>
      </c>
      <c r="CB30" s="125">
        <v>17.5</v>
      </c>
      <c r="CC30" s="125">
        <v>17.72</v>
      </c>
      <c r="CD30" s="115"/>
      <c r="CE30" s="116">
        <f>BN30</f>
        <v>9.7679277665845943E-2</v>
      </c>
      <c r="CF30" s="115"/>
      <c r="CG30" s="125">
        <f>CC30/9.77</f>
        <v>1.8137154554759467</v>
      </c>
      <c r="CH30" s="116">
        <v>2.4899999999999999E-2</v>
      </c>
      <c r="CI30" s="115"/>
      <c r="CJ30" s="115" t="s">
        <v>368</v>
      </c>
      <c r="CS30" s="42" t="s">
        <v>406</v>
      </c>
      <c r="CU30" s="42">
        <v>19.420000000000002</v>
      </c>
      <c r="CV30" s="42">
        <v>25.052500000000002</v>
      </c>
      <c r="CW30" s="42">
        <f t="shared" si="29"/>
        <v>5.6325000000000003</v>
      </c>
      <c r="CY30" s="126">
        <v>0.34679413008482735</v>
      </c>
      <c r="CZ30" s="126">
        <v>2.8790144762783445</v>
      </c>
      <c r="DA30" s="126">
        <f>CZ30-CY30</f>
        <v>2.5322203461935171</v>
      </c>
    </row>
    <row r="31" spans="1:118">
      <c r="F31" s="48"/>
      <c r="G31" s="115"/>
      <c r="H31" s="115"/>
      <c r="I31" s="115"/>
      <c r="J31" s="115"/>
      <c r="K31" s="115"/>
      <c r="L31" s="115"/>
      <c r="M31" s="115"/>
      <c r="N31" s="115"/>
      <c r="O31" s="116"/>
      <c r="P31" s="116"/>
      <c r="Q31" s="116"/>
      <c r="R31" s="116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  <c r="AG31" s="116"/>
      <c r="AH31" s="116"/>
      <c r="AI31" s="116"/>
      <c r="AJ31" s="116"/>
      <c r="AK31" s="115"/>
      <c r="AL31" s="116"/>
      <c r="AM31" s="125"/>
      <c r="AN31" s="125"/>
      <c r="AO31" s="125"/>
      <c r="AP31" s="115"/>
      <c r="AQ31" s="12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6"/>
      <c r="BI31" s="115"/>
      <c r="BJ31" s="115"/>
      <c r="BK31" s="115"/>
      <c r="BL31" s="115"/>
      <c r="BM31" s="115"/>
      <c r="BN31" s="116"/>
      <c r="BO31" s="115"/>
      <c r="BP31" s="115"/>
      <c r="BQ31" s="125"/>
      <c r="BR31" s="125"/>
      <c r="BS31" s="125"/>
      <c r="BT31" s="115"/>
      <c r="BU31" s="125"/>
      <c r="BV31" s="125"/>
      <c r="BW31" s="125"/>
      <c r="BX31" s="125"/>
      <c r="BY31" s="125"/>
      <c r="BZ31" s="115"/>
      <c r="CA31" s="125"/>
      <c r="CB31" s="125"/>
      <c r="CC31" s="125"/>
      <c r="CD31" s="115"/>
      <c r="CE31" s="116"/>
      <c r="CF31" s="115"/>
      <c r="CG31" s="125"/>
      <c r="CH31" s="116"/>
      <c r="CI31" s="115"/>
      <c r="CJ31" s="115"/>
      <c r="CS31" s="42" t="s">
        <v>385</v>
      </c>
      <c r="CU31" s="42">
        <v>18.195</v>
      </c>
      <c r="CV31" s="42">
        <v>21.96</v>
      </c>
      <c r="CW31" s="42">
        <f t="shared" si="29"/>
        <v>3.7650000000000006</v>
      </c>
      <c r="CY31" s="126"/>
      <c r="CZ31" s="126"/>
      <c r="DA31" s="126"/>
    </row>
    <row r="32" spans="1:118">
      <c r="B32" s="42" t="s">
        <v>407</v>
      </c>
      <c r="E32" s="42" t="s">
        <v>408</v>
      </c>
      <c r="F32" s="48" t="s">
        <v>362</v>
      </c>
      <c r="G32" s="115">
        <v>647.5</v>
      </c>
      <c r="H32" s="115">
        <v>611.20000000000005</v>
      </c>
      <c r="I32" s="115"/>
      <c r="J32" s="115">
        <v>513.4</v>
      </c>
      <c r="K32" s="115">
        <v>150.9</v>
      </c>
      <c r="L32" s="115">
        <v>52.9</v>
      </c>
      <c r="M32" s="115">
        <v>23.5</v>
      </c>
      <c r="N32" s="115"/>
      <c r="O32" s="116">
        <f>K32/J32</f>
        <v>0.29392286716010912</v>
      </c>
      <c r="P32" s="116">
        <f>L32/J32</f>
        <v>0.10303856641994547</v>
      </c>
      <c r="Q32" s="116">
        <f>BD32/J32</f>
        <v>6.7393844955200635E-2</v>
      </c>
      <c r="R32" s="116">
        <f>M32/J32</f>
        <v>4.5773276197896381E-2</v>
      </c>
      <c r="S32" s="115"/>
      <c r="T32" s="115">
        <v>484</v>
      </c>
      <c r="U32" s="115">
        <v>529.79999999999995</v>
      </c>
      <c r="V32" s="115">
        <v>52</v>
      </c>
      <c r="W32" s="115">
        <v>57.3</v>
      </c>
      <c r="X32" s="115"/>
      <c r="Y32" s="115">
        <v>170.32</v>
      </c>
      <c r="Z32" s="115">
        <v>168.22</v>
      </c>
      <c r="AA32" s="115">
        <v>186.9</v>
      </c>
      <c r="AB32" s="115">
        <v>207.15</v>
      </c>
      <c r="AC32" s="115"/>
      <c r="AD32" s="115"/>
      <c r="AE32" s="115">
        <v>0.59799999999999998</v>
      </c>
      <c r="AF32" s="115"/>
      <c r="AG32" s="116">
        <v>4.5999999999999999E-2</v>
      </c>
      <c r="AH32" s="116">
        <v>7.5200000000000003E-2</v>
      </c>
      <c r="AI32" s="116">
        <v>4.99E-2</v>
      </c>
      <c r="AJ32" s="116">
        <f t="shared" ref="AJ32:AJ40" si="30">CH32</f>
        <v>1.4E-2</v>
      </c>
      <c r="AK32" s="115"/>
      <c r="AL32" s="116">
        <v>4.3299999999999998E-2</v>
      </c>
      <c r="AM32" s="125">
        <v>0.39</v>
      </c>
      <c r="AN32" s="125">
        <v>-1.1299999999999999</v>
      </c>
      <c r="AO32" s="125">
        <v>-17.2</v>
      </c>
      <c r="AP32" s="115"/>
      <c r="AQ32" s="125">
        <v>199.72</v>
      </c>
      <c r="AR32" s="115"/>
      <c r="AS32" s="115"/>
      <c r="AT32" s="115"/>
      <c r="AU32" s="115"/>
      <c r="AV32" s="115">
        <f>J32</f>
        <v>513.4</v>
      </c>
      <c r="AW32" s="115">
        <f>U32</f>
        <v>529.79999999999995</v>
      </c>
      <c r="AX32" s="115">
        <v>548.29999999999995</v>
      </c>
      <c r="AY32" s="115"/>
      <c r="AZ32" s="115">
        <f>L32</f>
        <v>52.9</v>
      </c>
      <c r="BA32" s="115">
        <f>W32</f>
        <v>57.3</v>
      </c>
      <c r="BB32" s="115">
        <v>61.8</v>
      </c>
      <c r="BC32" s="115"/>
      <c r="BD32" s="115">
        <v>34.6</v>
      </c>
      <c r="BE32" s="115">
        <v>38.799999999999997</v>
      </c>
      <c r="BF32" s="115">
        <v>42.5</v>
      </c>
      <c r="BG32" s="115"/>
      <c r="BH32" s="116">
        <f t="shared" ref="BH32:BH40" si="31">AZ32/AV32</f>
        <v>0.10303856641994547</v>
      </c>
      <c r="BI32" s="115"/>
      <c r="BJ32" s="115">
        <f>Y32</f>
        <v>170.32</v>
      </c>
      <c r="BK32" s="115">
        <f>AA32</f>
        <v>186.9</v>
      </c>
      <c r="BL32" s="115">
        <f>AB32</f>
        <v>207.15</v>
      </c>
      <c r="BM32" s="115"/>
      <c r="BN32" s="116">
        <f t="shared" ref="BN32:BN40" si="32">(BL32/BJ32)-1</f>
        <v>0.21624001878816346</v>
      </c>
      <c r="BO32" s="115"/>
      <c r="BP32" s="115"/>
      <c r="BQ32" s="125">
        <f>H32/AZ32</f>
        <v>11.553875236294898</v>
      </c>
      <c r="BR32" s="125">
        <v>10.67</v>
      </c>
      <c r="BS32" s="125">
        <v>9.89</v>
      </c>
      <c r="BT32" s="115"/>
      <c r="BU32" s="125">
        <f t="shared" ref="BU32:BU40" si="33">BA32/AW32</f>
        <v>0.10815402038505097</v>
      </c>
      <c r="BV32" s="125">
        <f>AN32</f>
        <v>-1.1299999999999999</v>
      </c>
      <c r="BW32" s="125">
        <f>1/AQ32</f>
        <v>5.0070098137392346E-3</v>
      </c>
      <c r="BX32" s="125">
        <f>H32/J32</f>
        <v>1.1904947409427349</v>
      </c>
      <c r="BY32" s="125">
        <f t="shared" ref="BY32:BY42" si="34">H32/AV32</f>
        <v>1.1904947409427349</v>
      </c>
      <c r="BZ32" s="115"/>
      <c r="CA32" s="125">
        <v>20.77</v>
      </c>
      <c r="CB32" s="125">
        <v>24.48</v>
      </c>
      <c r="CC32" s="125">
        <v>22.09</v>
      </c>
      <c r="CD32" s="115"/>
      <c r="CE32" s="116">
        <f t="shared" ref="CE32:CE40" si="35">BN32</f>
        <v>0.21624001878816346</v>
      </c>
      <c r="CF32" s="115"/>
      <c r="CG32" s="125">
        <f>CC32/21.62</f>
        <v>1.0217391304347825</v>
      </c>
      <c r="CH32" s="116">
        <v>1.4E-2</v>
      </c>
      <c r="CI32" s="115"/>
      <c r="CJ32" s="115" t="s">
        <v>368</v>
      </c>
      <c r="CS32" s="42" t="s">
        <v>409</v>
      </c>
      <c r="CU32" s="42">
        <v>17.350000000000001</v>
      </c>
      <c r="CV32" s="42">
        <v>18.759999999999998</v>
      </c>
      <c r="CW32" s="42">
        <f t="shared" si="29"/>
        <v>1.4099999999999966</v>
      </c>
      <c r="CY32" s="126"/>
      <c r="CZ32" s="126"/>
      <c r="DA32" s="126"/>
    </row>
    <row r="33" spans="1:105">
      <c r="F33" s="48"/>
      <c r="G33" s="115"/>
      <c r="H33" s="115"/>
      <c r="I33" s="115"/>
      <c r="J33" s="115"/>
      <c r="K33" s="115"/>
      <c r="L33" s="115"/>
      <c r="M33" s="115"/>
      <c r="N33" s="115"/>
      <c r="O33" s="116"/>
      <c r="P33" s="116"/>
      <c r="Q33" s="116"/>
      <c r="R33" s="116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6"/>
      <c r="AH33" s="116"/>
      <c r="AI33" s="116"/>
      <c r="AJ33" s="116"/>
      <c r="AK33" s="115"/>
      <c r="AL33" s="116"/>
      <c r="AM33" s="125"/>
      <c r="AN33" s="125"/>
      <c r="AO33" s="125"/>
      <c r="AP33" s="115"/>
      <c r="AQ33" s="12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5"/>
      <c r="BF33" s="115"/>
      <c r="BG33" s="115"/>
      <c r="BH33" s="116"/>
      <c r="BI33" s="115"/>
      <c r="BJ33" s="115"/>
      <c r="BK33" s="115"/>
      <c r="BL33" s="115"/>
      <c r="BM33" s="115"/>
      <c r="BN33" s="116"/>
      <c r="BO33" s="115"/>
      <c r="BP33" s="115"/>
      <c r="BQ33" s="125"/>
      <c r="BR33" s="125"/>
      <c r="BS33" s="125"/>
      <c r="BT33" s="115"/>
      <c r="BU33" s="125"/>
      <c r="BV33" s="125"/>
      <c r="BW33" s="125"/>
      <c r="BX33" s="125"/>
      <c r="BY33" s="125"/>
      <c r="BZ33" s="115"/>
      <c r="CA33" s="125"/>
      <c r="CB33" s="125"/>
      <c r="CC33" s="125"/>
      <c r="CD33" s="115"/>
      <c r="CE33" s="116"/>
      <c r="CF33" s="115"/>
      <c r="CG33" s="125"/>
      <c r="CH33" s="116"/>
      <c r="CI33" s="115"/>
      <c r="CJ33" s="115"/>
      <c r="CS33" s="42" t="s">
        <v>410</v>
      </c>
      <c r="CU33" s="42">
        <v>15.395</v>
      </c>
      <c r="CV33" s="42">
        <v>17.549999999999997</v>
      </c>
      <c r="CW33" s="42">
        <f t="shared" si="29"/>
        <v>2.1549999999999976</v>
      </c>
      <c r="CY33" s="126">
        <f>CG46</f>
        <v>0.81672428187968449</v>
      </c>
      <c r="CZ33" s="126">
        <f>CG47</f>
        <v>1.1947921241399502</v>
      </c>
      <c r="DA33" s="126">
        <f>CZ33-CY33</f>
        <v>0.37806784226026569</v>
      </c>
    </row>
    <row r="34" spans="1:105">
      <c r="B34" s="42" t="s">
        <v>411</v>
      </c>
      <c r="E34" s="42" t="s">
        <v>412</v>
      </c>
      <c r="F34" s="48" t="s">
        <v>362</v>
      </c>
      <c r="G34" s="114">
        <v>1305.0999999999999</v>
      </c>
      <c r="H34" s="114">
        <v>1087.8</v>
      </c>
      <c r="I34" s="115"/>
      <c r="J34" s="115">
        <v>515</v>
      </c>
      <c r="K34" s="115">
        <v>154.30000000000001</v>
      </c>
      <c r="L34" s="115">
        <v>95.1</v>
      </c>
      <c r="M34" s="115">
        <v>64</v>
      </c>
      <c r="N34" s="115"/>
      <c r="O34" s="116">
        <f>K34/J34</f>
        <v>0.29961165048543692</v>
      </c>
      <c r="P34" s="116">
        <f>L34/J34</f>
        <v>0.18466019417475726</v>
      </c>
      <c r="Q34" s="116">
        <f>BD34/J34</f>
        <v>0.15106796116504853</v>
      </c>
      <c r="R34" s="116">
        <f>M34/J34</f>
        <v>0.12427184466019417</v>
      </c>
      <c r="S34" s="115"/>
      <c r="T34" s="115">
        <v>489</v>
      </c>
      <c r="U34" s="115">
        <v>531.29999999999995</v>
      </c>
      <c r="V34" s="115">
        <v>83.8</v>
      </c>
      <c r="W34" s="115">
        <v>100.2</v>
      </c>
      <c r="X34" s="115"/>
      <c r="Y34" s="115">
        <v>647.20000000000005</v>
      </c>
      <c r="Z34" s="115">
        <v>557.52</v>
      </c>
      <c r="AA34" s="115">
        <v>681.74</v>
      </c>
      <c r="AB34" s="115">
        <v>724.11</v>
      </c>
      <c r="AC34" s="115"/>
      <c r="AD34" s="115"/>
      <c r="AE34" s="115">
        <v>0.878</v>
      </c>
      <c r="AF34" s="115"/>
      <c r="AG34" s="116">
        <v>0.1124</v>
      </c>
      <c r="AH34" s="116">
        <v>0.1298</v>
      </c>
      <c r="AI34" s="116">
        <v>0.10440000000000001</v>
      </c>
      <c r="AJ34" s="116">
        <f t="shared" si="30"/>
        <v>1.7000000000000001E-2</v>
      </c>
      <c r="AK34" s="115"/>
      <c r="AL34" s="116">
        <v>5.7000000000000002E-3</v>
      </c>
      <c r="AM34" s="125">
        <v>0.03</v>
      </c>
      <c r="AN34" s="125">
        <v>-2.42</v>
      </c>
      <c r="AO34" s="125">
        <v>-44.48</v>
      </c>
      <c r="AP34" s="115"/>
      <c r="AQ34" s="125">
        <v>454.42</v>
      </c>
      <c r="AR34" s="115"/>
      <c r="AS34" s="115"/>
      <c r="AT34" s="115"/>
      <c r="AU34" s="115"/>
      <c r="AV34" s="115">
        <f>J34</f>
        <v>515</v>
      </c>
      <c r="AW34" s="115">
        <f>U34</f>
        <v>531.29999999999995</v>
      </c>
      <c r="AX34" s="115">
        <v>555.4</v>
      </c>
      <c r="AY34" s="115"/>
      <c r="AZ34" s="115">
        <f>L34</f>
        <v>95.1</v>
      </c>
      <c r="BA34" s="115">
        <f>W34</f>
        <v>100.2</v>
      </c>
      <c r="BB34" s="115">
        <v>106.7</v>
      </c>
      <c r="BC34" s="115"/>
      <c r="BD34" s="115">
        <v>77.8</v>
      </c>
      <c r="BE34" s="115">
        <v>81.400000000000006</v>
      </c>
      <c r="BF34" s="115">
        <v>85</v>
      </c>
      <c r="BG34" s="115"/>
      <c r="BH34" s="116">
        <f t="shared" si="31"/>
        <v>0.18466019417475726</v>
      </c>
      <c r="BI34" s="115"/>
      <c r="BJ34" s="115">
        <f>Y34</f>
        <v>647.20000000000005</v>
      </c>
      <c r="BK34" s="115">
        <f>AA34</f>
        <v>681.74</v>
      </c>
      <c r="BL34" s="115">
        <f>AB34</f>
        <v>724.11</v>
      </c>
      <c r="BM34" s="115"/>
      <c r="BN34" s="116">
        <f t="shared" si="32"/>
        <v>0.11883498145859073</v>
      </c>
      <c r="BO34" s="115"/>
      <c r="BP34" s="115"/>
      <c r="BQ34" s="125">
        <f>H34/AZ34</f>
        <v>11.438485804416404</v>
      </c>
      <c r="BR34" s="125">
        <v>10.85</v>
      </c>
      <c r="BS34" s="125">
        <v>10.199999999999999</v>
      </c>
      <c r="BT34" s="115"/>
      <c r="BU34" s="125">
        <f t="shared" si="33"/>
        <v>0.18859401468097123</v>
      </c>
      <c r="BV34" s="125">
        <f>AN34</f>
        <v>-2.42</v>
      </c>
      <c r="BW34" s="125">
        <f>1/AQ34</f>
        <v>2.2006073676334669E-3</v>
      </c>
      <c r="BX34" s="125">
        <f>H34/J34</f>
        <v>2.1122330097087376</v>
      </c>
      <c r="BY34" s="125">
        <f t="shared" si="34"/>
        <v>2.1122330097087376</v>
      </c>
      <c r="BZ34" s="115"/>
      <c r="CA34" s="125">
        <v>18.16</v>
      </c>
      <c r="CB34" s="125">
        <v>17.260000000000002</v>
      </c>
      <c r="CC34" s="125">
        <v>16.25</v>
      </c>
      <c r="CD34" s="115"/>
      <c r="CE34" s="116">
        <f t="shared" si="35"/>
        <v>0.11883498145859073</v>
      </c>
      <c r="CF34" s="115"/>
      <c r="CG34" s="125">
        <f>CC34/11.88</f>
        <v>1.3678451178451179</v>
      </c>
      <c r="CH34" s="116">
        <v>1.7000000000000001E-2</v>
      </c>
      <c r="CI34" s="115"/>
      <c r="CJ34" s="115" t="s">
        <v>368</v>
      </c>
      <c r="CS34" s="42" t="s">
        <v>393</v>
      </c>
      <c r="CU34" s="42">
        <v>13.2675</v>
      </c>
      <c r="CV34" s="42">
        <v>15.09</v>
      </c>
      <c r="CW34" s="42">
        <f t="shared" si="29"/>
        <v>1.8224999999999998</v>
      </c>
      <c r="CY34" s="126"/>
      <c r="CZ34" s="126"/>
      <c r="DA34" s="126"/>
    </row>
    <row r="35" spans="1:105">
      <c r="F35" s="48"/>
      <c r="G35" s="114"/>
      <c r="H35" s="114"/>
      <c r="I35" s="115"/>
      <c r="J35" s="115"/>
      <c r="K35" s="115"/>
      <c r="L35" s="115"/>
      <c r="M35" s="115"/>
      <c r="N35" s="115"/>
      <c r="O35" s="116"/>
      <c r="P35" s="116"/>
      <c r="Q35" s="116"/>
      <c r="R35" s="116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6"/>
      <c r="AH35" s="116"/>
      <c r="AI35" s="116"/>
      <c r="AJ35" s="116"/>
      <c r="AK35" s="115"/>
      <c r="AL35" s="116"/>
      <c r="AM35" s="125"/>
      <c r="AN35" s="125"/>
      <c r="AO35" s="125"/>
      <c r="AP35" s="115"/>
      <c r="AQ35" s="12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5"/>
      <c r="BF35" s="115"/>
      <c r="BG35" s="115"/>
      <c r="BH35" s="116"/>
      <c r="BI35" s="115"/>
      <c r="BJ35" s="115"/>
      <c r="BK35" s="115"/>
      <c r="BL35" s="115"/>
      <c r="BM35" s="115"/>
      <c r="BN35" s="116"/>
      <c r="BO35" s="115"/>
      <c r="BP35" s="115"/>
      <c r="BQ35" s="125"/>
      <c r="BR35" s="125"/>
      <c r="BS35" s="125"/>
      <c r="BT35" s="115"/>
      <c r="BU35" s="125"/>
      <c r="BV35" s="125"/>
      <c r="BW35" s="125"/>
      <c r="BX35" s="125"/>
      <c r="BY35" s="125"/>
      <c r="BZ35" s="115"/>
      <c r="CA35" s="125"/>
      <c r="CB35" s="125"/>
      <c r="CC35" s="125"/>
      <c r="CD35" s="115"/>
      <c r="CE35" s="116"/>
      <c r="CF35" s="115"/>
      <c r="CG35" s="125"/>
      <c r="CH35" s="116"/>
      <c r="CI35" s="115"/>
      <c r="CJ35" s="115"/>
      <c r="CS35" s="42" t="s">
        <v>413</v>
      </c>
      <c r="CU35" s="42">
        <v>13.2575</v>
      </c>
      <c r="CV35" s="42">
        <v>14.57</v>
      </c>
      <c r="CW35" s="42">
        <f t="shared" si="29"/>
        <v>1.3125</v>
      </c>
      <c r="CY35" s="126"/>
      <c r="CZ35" s="126"/>
      <c r="DA35" s="126"/>
    </row>
    <row r="36" spans="1:105">
      <c r="B36" s="42" t="s">
        <v>414</v>
      </c>
      <c r="E36" s="42" t="s">
        <v>415</v>
      </c>
      <c r="F36" s="48" t="s">
        <v>362</v>
      </c>
      <c r="G36" s="115">
        <v>365.5</v>
      </c>
      <c r="H36" s="115">
        <v>440.4</v>
      </c>
      <c r="I36" s="115"/>
      <c r="J36" s="115">
        <v>563.9</v>
      </c>
      <c r="K36" s="115">
        <v>138.30000000000001</v>
      </c>
      <c r="L36" s="115">
        <v>57.7</v>
      </c>
      <c r="M36" s="115">
        <v>17.899999999999999</v>
      </c>
      <c r="N36" s="115"/>
      <c r="O36" s="116">
        <f>K36/J36</f>
        <v>0.24525625110835259</v>
      </c>
      <c r="P36" s="116">
        <f>L36/J36</f>
        <v>0.10232310693385353</v>
      </c>
      <c r="Q36" s="116">
        <f>BD36/J36</f>
        <v>5.8521014364248981E-2</v>
      </c>
      <c r="R36" s="116">
        <f>M36/J36</f>
        <v>3.1743216882425963E-2</v>
      </c>
      <c r="S36" s="115"/>
      <c r="T36" s="115">
        <v>547.1</v>
      </c>
      <c r="U36" s="115">
        <v>574.6</v>
      </c>
      <c r="V36" s="115">
        <v>54.3</v>
      </c>
      <c r="W36" s="115">
        <v>57</v>
      </c>
      <c r="X36" s="115"/>
      <c r="Y36" s="115">
        <v>216.31</v>
      </c>
      <c r="Z36" s="115">
        <v>203.4</v>
      </c>
      <c r="AA36" s="115">
        <v>235.42</v>
      </c>
      <c r="AB36" s="115">
        <v>282.01</v>
      </c>
      <c r="AC36" s="115"/>
      <c r="AD36" s="115"/>
      <c r="AE36" s="115">
        <v>0.51400000000000001</v>
      </c>
      <c r="AF36" s="115"/>
      <c r="AG36" s="116">
        <v>1.37E-2</v>
      </c>
      <c r="AH36" s="116">
        <v>6.5100000000000005E-2</v>
      </c>
      <c r="AI36" s="116">
        <v>3.27E-2</v>
      </c>
      <c r="AJ36" s="116">
        <f t="shared" si="30"/>
        <v>2.1899999999999999E-2</v>
      </c>
      <c r="AK36" s="115"/>
      <c r="AL36" s="116">
        <v>0.2198</v>
      </c>
      <c r="AM36" s="125">
        <v>2.11</v>
      </c>
      <c r="AN36" s="125">
        <v>1.22</v>
      </c>
      <c r="AO36" s="125">
        <v>25.65</v>
      </c>
      <c r="AP36" s="115"/>
      <c r="AQ36" s="125">
        <v>36</v>
      </c>
      <c r="AR36" s="115"/>
      <c r="AS36" s="115"/>
      <c r="AT36" s="115"/>
      <c r="AU36" s="115"/>
      <c r="AV36" s="115">
        <f>J36</f>
        <v>563.9</v>
      </c>
      <c r="AW36" s="115">
        <f>U36</f>
        <v>574.6</v>
      </c>
      <c r="AX36" s="115">
        <v>584.1</v>
      </c>
      <c r="AY36" s="115"/>
      <c r="AZ36" s="115">
        <f>L36</f>
        <v>57.7</v>
      </c>
      <c r="BA36" s="115">
        <f>W36</f>
        <v>57</v>
      </c>
      <c r="BB36" s="115">
        <v>59.6</v>
      </c>
      <c r="BC36" s="115"/>
      <c r="BD36" s="115">
        <v>33</v>
      </c>
      <c r="BE36" s="115">
        <v>32.700000000000003</v>
      </c>
      <c r="BF36" s="115">
        <v>34.9</v>
      </c>
      <c r="BG36" s="115"/>
      <c r="BH36" s="116">
        <f t="shared" si="31"/>
        <v>0.10232310693385353</v>
      </c>
      <c r="BI36" s="115"/>
      <c r="BJ36" s="115">
        <f>Y36</f>
        <v>216.31</v>
      </c>
      <c r="BK36" s="115">
        <f>AA36</f>
        <v>235.42</v>
      </c>
      <c r="BL36" s="115">
        <f>AB36</f>
        <v>282.01</v>
      </c>
      <c r="BM36" s="115"/>
      <c r="BN36" s="116">
        <f t="shared" si="32"/>
        <v>0.30373075678424488</v>
      </c>
      <c r="BO36" s="115"/>
      <c r="BP36" s="115"/>
      <c r="BQ36" s="125">
        <f>H36/AZ36</f>
        <v>7.6325823223570186</v>
      </c>
      <c r="BR36" s="125">
        <v>7.72</v>
      </c>
      <c r="BS36" s="125">
        <v>7.38</v>
      </c>
      <c r="BT36" s="115"/>
      <c r="BU36" s="125">
        <f t="shared" si="33"/>
        <v>9.9199443090845801E-2</v>
      </c>
      <c r="BV36" s="125">
        <f>AN36</f>
        <v>1.22</v>
      </c>
      <c r="BW36" s="125">
        <f>1/AQ36</f>
        <v>2.7777777777777776E-2</v>
      </c>
      <c r="BX36" s="125">
        <f>H36/J36</f>
        <v>0.78098953715197728</v>
      </c>
      <c r="BY36" s="125">
        <f t="shared" si="34"/>
        <v>0.78098953715197728</v>
      </c>
      <c r="BZ36" s="115"/>
      <c r="CA36" s="125">
        <v>32.53</v>
      </c>
      <c r="CB36" s="125">
        <v>17.440000000000001</v>
      </c>
      <c r="CC36" s="125">
        <v>14.56</v>
      </c>
      <c r="CD36" s="115"/>
      <c r="CE36" s="116">
        <f t="shared" si="35"/>
        <v>0.30373075678424488</v>
      </c>
      <c r="CF36" s="115"/>
      <c r="CG36" s="125">
        <f>CC36/30.37</f>
        <v>0.47942048073756999</v>
      </c>
      <c r="CH36" s="116">
        <v>2.1899999999999999E-2</v>
      </c>
      <c r="CI36" s="115"/>
      <c r="CJ36" s="115" t="s">
        <v>368</v>
      </c>
      <c r="CS36" s="42" t="s">
        <v>416</v>
      </c>
      <c r="CU36" s="42">
        <v>10.585000000000001</v>
      </c>
      <c r="CV36" s="42">
        <v>13.17</v>
      </c>
      <c r="CW36" s="42">
        <f t="shared" si="29"/>
        <v>2.5849999999999991</v>
      </c>
      <c r="CY36" s="126">
        <f>CG65</f>
        <v>1.2281746031746033E-2</v>
      </c>
      <c r="CZ36" s="126">
        <f>CG66</f>
        <v>0.7071692686935086</v>
      </c>
      <c r="DA36" s="126">
        <f>CZ36-CY36</f>
        <v>0.69488752266176257</v>
      </c>
    </row>
    <row r="37" spans="1:105">
      <c r="F37" s="48"/>
      <c r="G37" s="115"/>
      <c r="H37" s="115"/>
      <c r="I37" s="115"/>
      <c r="J37" s="115"/>
      <c r="K37" s="115"/>
      <c r="L37" s="115"/>
      <c r="M37" s="115"/>
      <c r="N37" s="115"/>
      <c r="O37" s="116"/>
      <c r="P37" s="116"/>
      <c r="Q37" s="116"/>
      <c r="R37" s="116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6"/>
      <c r="AH37" s="116"/>
      <c r="AI37" s="116"/>
      <c r="AJ37" s="116"/>
      <c r="AK37" s="115"/>
      <c r="AL37" s="116"/>
      <c r="AM37" s="125"/>
      <c r="AN37" s="125"/>
      <c r="AO37" s="125"/>
      <c r="AP37" s="115"/>
      <c r="AQ37" s="125"/>
      <c r="AR37" s="115"/>
      <c r="AS37" s="115"/>
      <c r="AT37" s="115"/>
      <c r="AU37" s="115"/>
      <c r="AV37" s="115"/>
      <c r="AW37" s="115"/>
      <c r="AX37" s="115"/>
      <c r="AY37" s="115"/>
      <c r="AZ37" s="115"/>
      <c r="BA37" s="115"/>
      <c r="BB37" s="115"/>
      <c r="BC37" s="115"/>
      <c r="BD37" s="115"/>
      <c r="BE37" s="115"/>
      <c r="BF37" s="115"/>
      <c r="BG37" s="115"/>
      <c r="BH37" s="116"/>
      <c r="BI37" s="115"/>
      <c r="BJ37" s="115"/>
      <c r="BK37" s="115"/>
      <c r="BL37" s="115"/>
      <c r="BM37" s="115"/>
      <c r="BN37" s="116"/>
      <c r="BO37" s="115"/>
      <c r="BP37" s="115"/>
      <c r="BQ37" s="125"/>
      <c r="BR37" s="125"/>
      <c r="BS37" s="125"/>
      <c r="BT37" s="115"/>
      <c r="BU37" s="125"/>
      <c r="BV37" s="125"/>
      <c r="BW37" s="125"/>
      <c r="BX37" s="125"/>
      <c r="BY37" s="125"/>
      <c r="BZ37" s="115"/>
      <c r="CA37" s="125"/>
      <c r="CB37" s="125"/>
      <c r="CC37" s="125"/>
      <c r="CD37" s="115"/>
      <c r="CE37" s="116"/>
      <c r="CF37" s="115"/>
      <c r="CG37" s="125"/>
      <c r="CH37" s="116"/>
      <c r="CI37" s="115"/>
      <c r="CJ37" s="115"/>
    </row>
    <row r="38" spans="1:105">
      <c r="B38" s="42" t="s">
        <v>417</v>
      </c>
      <c r="E38" s="42" t="s">
        <v>418</v>
      </c>
      <c r="F38" s="48" t="s">
        <v>362</v>
      </c>
      <c r="G38" s="114">
        <v>1070.0999999999999</v>
      </c>
      <c r="H38" s="114">
        <v>1145.5</v>
      </c>
      <c r="I38" s="115"/>
      <c r="J38" s="114">
        <v>1160</v>
      </c>
      <c r="K38" s="115">
        <v>342.5</v>
      </c>
      <c r="L38" s="115">
        <v>135.69999999999999</v>
      </c>
      <c r="M38" s="115">
        <v>47</v>
      </c>
      <c r="N38" s="115"/>
      <c r="O38" s="116">
        <f>K38/J38</f>
        <v>0.29525862068965519</v>
      </c>
      <c r="P38" s="116">
        <f>L38/J38</f>
        <v>0.11698275862068964</v>
      </c>
      <c r="Q38" s="116">
        <f>BD38/J38</f>
        <v>7.008620689655172E-2</v>
      </c>
      <c r="R38" s="116">
        <f>M38/J38</f>
        <v>4.0517241379310343E-2</v>
      </c>
      <c r="S38" s="115"/>
      <c r="T38" s="114">
        <v>1105.5</v>
      </c>
      <c r="U38" s="114">
        <v>1174.9000000000001</v>
      </c>
      <c r="V38" s="115">
        <v>139.69999999999999</v>
      </c>
      <c r="W38" s="115">
        <v>145.1</v>
      </c>
      <c r="X38" s="115"/>
      <c r="Y38" s="115">
        <v>173.66</v>
      </c>
      <c r="Z38" s="115">
        <v>150.32</v>
      </c>
      <c r="AA38" s="115">
        <v>202.37</v>
      </c>
      <c r="AB38" s="115">
        <v>218.24</v>
      </c>
      <c r="AC38" s="115"/>
      <c r="AD38" s="115"/>
      <c r="AE38" s="115">
        <v>0.35699999999999998</v>
      </c>
      <c r="AF38" s="115"/>
      <c r="AG38" s="116">
        <v>6.0100000000000001E-2</v>
      </c>
      <c r="AH38" s="116">
        <v>6.3500000000000001E-2</v>
      </c>
      <c r="AI38" s="116">
        <v>3.9100000000000003E-2</v>
      </c>
      <c r="AJ38" s="116">
        <f t="shared" si="30"/>
        <v>2.7E-2</v>
      </c>
      <c r="AK38" s="115"/>
      <c r="AL38" s="116">
        <v>4.3999999999999997E-2</v>
      </c>
      <c r="AM38" s="125">
        <v>0.74</v>
      </c>
      <c r="AN38" s="125">
        <v>0.22</v>
      </c>
      <c r="AO38" s="125">
        <v>3.85</v>
      </c>
      <c r="AP38" s="115"/>
      <c r="AQ38" s="125">
        <v>365.66</v>
      </c>
      <c r="AR38" s="115"/>
      <c r="AS38" s="115"/>
      <c r="AT38" s="115"/>
      <c r="AU38" s="115"/>
      <c r="AV38" s="114">
        <f>J38</f>
        <v>1160</v>
      </c>
      <c r="AW38" s="114">
        <f>U38</f>
        <v>1174.9000000000001</v>
      </c>
      <c r="AX38" s="114">
        <v>1195.7</v>
      </c>
      <c r="AY38" s="115"/>
      <c r="AZ38" s="115">
        <f>L38</f>
        <v>135.69999999999999</v>
      </c>
      <c r="BA38" s="115">
        <f>W38</f>
        <v>145.1</v>
      </c>
      <c r="BB38" s="115">
        <v>151.9</v>
      </c>
      <c r="BC38" s="115"/>
      <c r="BD38" s="115">
        <v>81.3</v>
      </c>
      <c r="BE38" s="115">
        <v>89.5</v>
      </c>
      <c r="BF38" s="115">
        <v>94.1</v>
      </c>
      <c r="BG38" s="115"/>
      <c r="BH38" s="116">
        <f t="shared" si="31"/>
        <v>0.11698275862068964</v>
      </c>
      <c r="BI38" s="115"/>
      <c r="BJ38" s="115">
        <f>Y38</f>
        <v>173.66</v>
      </c>
      <c r="BK38" s="115">
        <f>AA38</f>
        <v>202.37</v>
      </c>
      <c r="BL38" s="115">
        <f>AB38</f>
        <v>218.24</v>
      </c>
      <c r="BM38" s="115"/>
      <c r="BN38" s="116">
        <f t="shared" si="32"/>
        <v>0.25670851088333535</v>
      </c>
      <c r="BO38" s="115"/>
      <c r="BP38" s="115"/>
      <c r="BQ38" s="125">
        <f>H38/AZ38</f>
        <v>8.4414148857774514</v>
      </c>
      <c r="BR38" s="125">
        <v>7.89</v>
      </c>
      <c r="BS38" s="125">
        <v>7.54</v>
      </c>
      <c r="BT38" s="115"/>
      <c r="BU38" s="125">
        <f t="shared" si="33"/>
        <v>0.12349987232955995</v>
      </c>
      <c r="BV38" s="125">
        <f>AN38</f>
        <v>0.22</v>
      </c>
      <c r="BW38" s="125">
        <f>1/AQ38</f>
        <v>2.7347809440463819E-3</v>
      </c>
      <c r="BX38" s="125">
        <f>H38/J38</f>
        <v>0.98750000000000004</v>
      </c>
      <c r="BY38" s="125">
        <f t="shared" si="34"/>
        <v>0.98750000000000004</v>
      </c>
      <c r="BZ38" s="115"/>
      <c r="CA38" s="125">
        <v>22.62</v>
      </c>
      <c r="CB38" s="125">
        <v>18.739999999999998</v>
      </c>
      <c r="CC38" s="125">
        <v>17.38</v>
      </c>
      <c r="CD38" s="115"/>
      <c r="CE38" s="116">
        <f t="shared" si="35"/>
        <v>0.25670851088333535</v>
      </c>
      <c r="CF38" s="115"/>
      <c r="CG38" s="125">
        <f>CC38/25.67</f>
        <v>0.6770549279314374</v>
      </c>
      <c r="CH38" s="116">
        <v>2.7E-2</v>
      </c>
      <c r="CI38" s="115"/>
      <c r="CJ38" s="115" t="s">
        <v>368</v>
      </c>
    </row>
    <row r="39" spans="1:105">
      <c r="F39" s="48"/>
      <c r="G39" s="114"/>
      <c r="H39" s="114"/>
      <c r="I39" s="115"/>
      <c r="J39" s="114"/>
      <c r="K39" s="115"/>
      <c r="L39" s="115"/>
      <c r="M39" s="115"/>
      <c r="N39" s="115"/>
      <c r="O39" s="116"/>
      <c r="P39" s="116"/>
      <c r="Q39" s="116"/>
      <c r="R39" s="116"/>
      <c r="S39" s="115"/>
      <c r="T39" s="114"/>
      <c r="U39" s="114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115"/>
      <c r="AG39" s="116"/>
      <c r="AH39" s="116"/>
      <c r="AI39" s="116"/>
      <c r="AJ39" s="116"/>
      <c r="AK39" s="115"/>
      <c r="AL39" s="116"/>
      <c r="AM39" s="125"/>
      <c r="AN39" s="125"/>
      <c r="AO39" s="125"/>
      <c r="AP39" s="115"/>
      <c r="AQ39" s="125"/>
      <c r="AR39" s="115"/>
      <c r="AS39" s="115"/>
      <c r="AT39" s="115"/>
      <c r="AU39" s="115"/>
      <c r="AV39" s="115"/>
      <c r="AW39" s="115"/>
      <c r="AX39" s="114"/>
      <c r="AY39" s="115"/>
      <c r="AZ39" s="115"/>
      <c r="BA39" s="115"/>
      <c r="BB39" s="115"/>
      <c r="BC39" s="115"/>
      <c r="BD39" s="115"/>
      <c r="BE39" s="115"/>
      <c r="BF39" s="115"/>
      <c r="BG39" s="115"/>
      <c r="BH39" s="116"/>
      <c r="BI39" s="115"/>
      <c r="BJ39" s="115"/>
      <c r="BK39" s="115"/>
      <c r="BL39" s="115"/>
      <c r="BM39" s="115"/>
      <c r="BN39" s="116"/>
      <c r="BO39" s="115"/>
      <c r="BP39" s="115"/>
      <c r="BQ39" s="125"/>
      <c r="BR39" s="125"/>
      <c r="BS39" s="125"/>
      <c r="BT39" s="115"/>
      <c r="BU39" s="125"/>
      <c r="BV39" s="125"/>
      <c r="BW39" s="125"/>
      <c r="BX39" s="125"/>
      <c r="BY39" s="125"/>
      <c r="BZ39" s="115"/>
      <c r="CA39" s="125"/>
      <c r="CB39" s="125"/>
      <c r="CC39" s="125"/>
      <c r="CD39" s="115"/>
      <c r="CE39" s="116"/>
      <c r="CF39" s="115"/>
      <c r="CG39" s="125"/>
      <c r="CH39" s="116"/>
      <c r="CI39" s="115"/>
      <c r="CJ39" s="115"/>
    </row>
    <row r="40" spans="1:105">
      <c r="B40" s="42" t="s">
        <v>419</v>
      </c>
      <c r="E40" s="42" t="s">
        <v>420</v>
      </c>
      <c r="F40" s="48" t="s">
        <v>362</v>
      </c>
      <c r="G40" s="115">
        <v>674.5</v>
      </c>
      <c r="H40" s="115">
        <v>863.7</v>
      </c>
      <c r="I40" s="115"/>
      <c r="J40" s="114">
        <v>1424.1</v>
      </c>
      <c r="K40" s="115">
        <v>241.4</v>
      </c>
      <c r="L40" s="115">
        <v>98.4</v>
      </c>
      <c r="M40" s="115">
        <v>35.1</v>
      </c>
      <c r="N40" s="115"/>
      <c r="O40" s="116">
        <f>K40/J40</f>
        <v>0.16951056807808443</v>
      </c>
      <c r="P40" s="116">
        <f>L40/J40</f>
        <v>6.9096271329260592E-2</v>
      </c>
      <c r="Q40" s="116">
        <f>BD40/J40</f>
        <v>3.7778245909697354E-2</v>
      </c>
      <c r="R40" s="116">
        <f>M40/J40</f>
        <v>2.4647145565620393E-2</v>
      </c>
      <c r="S40" s="115"/>
      <c r="T40" s="114">
        <v>1303.4000000000001</v>
      </c>
      <c r="U40" s="114">
        <v>1427.4</v>
      </c>
      <c r="V40" s="115">
        <v>73.900000000000006</v>
      </c>
      <c r="W40" s="115">
        <v>99</v>
      </c>
      <c r="X40" s="115"/>
      <c r="Y40" s="115">
        <v>358.48</v>
      </c>
      <c r="Z40" s="115">
        <v>293.66000000000003</v>
      </c>
      <c r="AA40" s="115">
        <v>362.41</v>
      </c>
      <c r="AB40" s="115">
        <v>419.31</v>
      </c>
      <c r="AC40" s="115"/>
      <c r="AD40" s="115"/>
      <c r="AE40" s="115">
        <v>0.44900000000000001</v>
      </c>
      <c r="AF40" s="115"/>
      <c r="AG40" s="116">
        <v>4.8300000000000003E-2</v>
      </c>
      <c r="AH40" s="116">
        <v>6.5500000000000003E-2</v>
      </c>
      <c r="AI40" s="116">
        <v>3.5099999999999999E-2</v>
      </c>
      <c r="AJ40" s="116">
        <f t="shared" si="30"/>
        <v>1.9800000000000002E-2</v>
      </c>
      <c r="AK40" s="115"/>
      <c r="AL40" s="116">
        <v>0.24929999999999999</v>
      </c>
      <c r="AM40" s="125">
        <v>2.41</v>
      </c>
      <c r="AN40" s="125">
        <v>1.77</v>
      </c>
      <c r="AO40" s="125">
        <v>31.37</v>
      </c>
      <c r="AP40" s="115"/>
      <c r="AQ40" s="125">
        <v>42.99</v>
      </c>
      <c r="AR40" s="115"/>
      <c r="AS40" s="115"/>
      <c r="AT40" s="115"/>
      <c r="AU40" s="115"/>
      <c r="AV40" s="114">
        <f>J40</f>
        <v>1424.1</v>
      </c>
      <c r="AW40" s="114">
        <f>U40</f>
        <v>1427.4</v>
      </c>
      <c r="AX40" s="114">
        <v>1454.9</v>
      </c>
      <c r="AY40" s="115"/>
      <c r="AZ40" s="115">
        <f>L40</f>
        <v>98.4</v>
      </c>
      <c r="BA40" s="115">
        <f>W40</f>
        <v>99</v>
      </c>
      <c r="BB40" s="115">
        <v>101.8</v>
      </c>
      <c r="BC40" s="115"/>
      <c r="BD40" s="115">
        <v>53.8</v>
      </c>
      <c r="BE40" s="115">
        <v>55.9</v>
      </c>
      <c r="BF40" s="115">
        <v>59.1</v>
      </c>
      <c r="BG40" s="115"/>
      <c r="BH40" s="116">
        <f t="shared" si="31"/>
        <v>6.9096271329260592E-2</v>
      </c>
      <c r="BI40" s="115"/>
      <c r="BJ40" s="115">
        <f>Y40</f>
        <v>358.48</v>
      </c>
      <c r="BK40" s="115">
        <f>AA40</f>
        <v>362.41</v>
      </c>
      <c r="BL40" s="115">
        <f>AB40</f>
        <v>419.31</v>
      </c>
      <c r="BM40" s="115"/>
      <c r="BN40" s="116">
        <f t="shared" si="32"/>
        <v>0.16968868556125849</v>
      </c>
      <c r="BO40" s="115"/>
      <c r="BP40" s="115"/>
      <c r="BQ40" s="125">
        <f>H40/AZ40</f>
        <v>8.7774390243902438</v>
      </c>
      <c r="BR40" s="125">
        <v>8.73</v>
      </c>
      <c r="BS40" s="125">
        <v>8.48</v>
      </c>
      <c r="BT40" s="115"/>
      <c r="BU40" s="125">
        <f t="shared" si="33"/>
        <v>6.9356872635561159E-2</v>
      </c>
      <c r="BV40" s="125">
        <f>AN40</f>
        <v>1.77</v>
      </c>
      <c r="BW40" s="125">
        <f>1/AQ40</f>
        <v>2.3261223540358221E-2</v>
      </c>
      <c r="BX40" s="125">
        <f>H40/J40</f>
        <v>0.60648830840530865</v>
      </c>
      <c r="BY40" s="125">
        <f t="shared" si="34"/>
        <v>0.60648830840530865</v>
      </c>
      <c r="BZ40" s="115"/>
      <c r="CA40" s="125">
        <v>21.3</v>
      </c>
      <c r="CB40" s="125">
        <v>18.78</v>
      </c>
      <c r="CC40" s="125">
        <v>16.23</v>
      </c>
      <c r="CD40" s="115"/>
      <c r="CE40" s="116">
        <f t="shared" si="35"/>
        <v>0.16968868556125849</v>
      </c>
      <c r="CF40" s="115"/>
      <c r="CG40" s="125">
        <f>CC40/16.97</f>
        <v>0.95639363582793169</v>
      </c>
      <c r="CH40" s="116">
        <v>1.9800000000000002E-2</v>
      </c>
      <c r="CI40" s="115"/>
      <c r="CJ40" s="115" t="s">
        <v>368</v>
      </c>
    </row>
    <row r="41" spans="1:105">
      <c r="F41" s="48"/>
      <c r="G41" s="115"/>
      <c r="H41" s="115"/>
      <c r="I41" s="115"/>
      <c r="J41" s="114"/>
      <c r="K41" s="115"/>
      <c r="L41" s="115"/>
      <c r="M41" s="115"/>
      <c r="N41" s="115"/>
      <c r="O41" s="115"/>
      <c r="P41" s="115"/>
      <c r="Q41" s="115"/>
      <c r="R41" s="115"/>
      <c r="S41" s="115"/>
      <c r="T41" s="114"/>
      <c r="U41" s="114"/>
      <c r="V41" s="115"/>
      <c r="W41" s="115"/>
      <c r="X41" s="115"/>
      <c r="Y41" s="115"/>
      <c r="Z41" s="115"/>
      <c r="AA41" s="115"/>
      <c r="AB41" s="115"/>
      <c r="AC41" s="115"/>
      <c r="AD41" s="115"/>
      <c r="AE41" s="115"/>
      <c r="AF41" s="115"/>
      <c r="AG41" s="116"/>
      <c r="AH41" s="116"/>
      <c r="AI41" s="116"/>
      <c r="AJ41" s="115"/>
      <c r="AK41" s="115"/>
      <c r="AL41" s="116"/>
      <c r="AM41" s="125"/>
      <c r="AN41" s="125"/>
      <c r="AO41" s="125"/>
      <c r="AP41" s="115"/>
      <c r="AQ41" s="125"/>
      <c r="AR41" s="115"/>
      <c r="AS41" s="115"/>
      <c r="AT41" s="115"/>
      <c r="AU41" s="115"/>
      <c r="AV41" s="115"/>
      <c r="AW41" s="115"/>
      <c r="AX41" s="114"/>
      <c r="AY41" s="115"/>
      <c r="AZ41" s="115"/>
      <c r="BA41" s="115"/>
      <c r="BB41" s="115"/>
      <c r="BC41" s="115"/>
      <c r="BD41" s="115"/>
      <c r="BE41" s="115"/>
      <c r="BF41" s="115"/>
      <c r="BG41" s="115"/>
      <c r="BH41" s="115"/>
      <c r="BI41" s="115"/>
      <c r="BJ41" s="115"/>
      <c r="BK41" s="115"/>
      <c r="BL41" s="115"/>
      <c r="BM41" s="115"/>
      <c r="BN41" s="115"/>
      <c r="BO41" s="115"/>
      <c r="BP41" s="115"/>
      <c r="BQ41" s="125"/>
      <c r="BR41" s="125"/>
      <c r="BS41" s="125"/>
      <c r="BT41" s="115"/>
      <c r="BU41" s="125"/>
      <c r="BV41" s="125"/>
      <c r="BW41" s="125"/>
      <c r="BX41" s="125"/>
      <c r="BY41" s="125"/>
      <c r="BZ41" s="115"/>
      <c r="CA41" s="125"/>
      <c r="CB41" s="125"/>
      <c r="CC41" s="125"/>
      <c r="CD41" s="115"/>
      <c r="CE41" s="115"/>
      <c r="CF41" s="115"/>
      <c r="CG41" s="125"/>
      <c r="CH41" s="116"/>
      <c r="CI41" s="115"/>
      <c r="CJ41" s="115"/>
    </row>
    <row r="42" spans="1:105">
      <c r="B42" s="42" t="s">
        <v>421</v>
      </c>
      <c r="E42" s="42" t="s">
        <v>422</v>
      </c>
      <c r="F42" s="48" t="s">
        <v>362</v>
      </c>
      <c r="G42" s="115">
        <v>231.7</v>
      </c>
      <c r="H42" s="115">
        <v>256.89999999999998</v>
      </c>
      <c r="I42" s="115"/>
      <c r="J42" s="115">
        <v>415.8</v>
      </c>
      <c r="K42" s="115">
        <v>103.6</v>
      </c>
      <c r="L42" s="115">
        <v>33.200000000000003</v>
      </c>
      <c r="M42" s="115">
        <v>16.5</v>
      </c>
      <c r="N42" s="115"/>
      <c r="O42" s="115">
        <f>K42/J42</f>
        <v>0.24915824915824913</v>
      </c>
      <c r="P42" s="115">
        <f>L42/J42</f>
        <v>7.9846079846079845E-2</v>
      </c>
      <c r="Q42" s="115">
        <f>BD42/J42</f>
        <v>5.3391053391053385E-2</v>
      </c>
      <c r="R42" s="115">
        <f>M42/J42</f>
        <v>3.968253968253968E-2</v>
      </c>
      <c r="S42" s="115"/>
      <c r="T42" s="115">
        <v>400.5</v>
      </c>
      <c r="U42" s="115">
        <v>424</v>
      </c>
      <c r="V42" s="115">
        <v>30.7</v>
      </c>
      <c r="W42" s="115">
        <v>32.299999999999997</v>
      </c>
      <c r="X42" s="115"/>
      <c r="Y42" s="115">
        <v>188.51</v>
      </c>
      <c r="Z42" s="115">
        <v>196.49</v>
      </c>
      <c r="AA42" s="115">
        <v>222.54</v>
      </c>
      <c r="AB42" s="115">
        <v>213.36</v>
      </c>
      <c r="AC42" s="115"/>
      <c r="AD42" s="115"/>
      <c r="AE42" s="115">
        <v>0.55400000000000005</v>
      </c>
      <c r="AF42" s="115"/>
      <c r="AG42" s="116">
        <v>3.3799999999999997E-2</v>
      </c>
      <c r="AH42" s="116">
        <v>6.4000000000000001E-2</v>
      </c>
      <c r="AI42" s="116">
        <v>3.8800000000000001E-2</v>
      </c>
      <c r="AJ42" s="116">
        <f>CH42</f>
        <v>2.4199999999999999E-2</v>
      </c>
      <c r="AK42" s="115"/>
      <c r="AL42" s="116">
        <v>0.1472</v>
      </c>
      <c r="AM42" s="125">
        <v>1.78</v>
      </c>
      <c r="AN42" s="125">
        <v>0.53</v>
      </c>
      <c r="AO42" s="125">
        <v>6.26</v>
      </c>
      <c r="AP42" s="115"/>
      <c r="AQ42" s="125">
        <v>123.12</v>
      </c>
      <c r="AR42" s="115"/>
      <c r="AS42" s="115"/>
      <c r="AT42" s="115"/>
      <c r="AU42" s="115"/>
      <c r="AV42" s="115">
        <f>J42</f>
        <v>415.8</v>
      </c>
      <c r="AW42" s="115">
        <f>U42</f>
        <v>424</v>
      </c>
      <c r="AX42" s="115">
        <v>439.3</v>
      </c>
      <c r="AY42" s="115"/>
      <c r="AZ42" s="115">
        <f>L42</f>
        <v>33.200000000000003</v>
      </c>
      <c r="BA42" s="115">
        <f>W42</f>
        <v>32.299999999999997</v>
      </c>
      <c r="BB42" s="115">
        <v>34.1</v>
      </c>
      <c r="BC42" s="115"/>
      <c r="BD42" s="115">
        <v>22.2</v>
      </c>
      <c r="BE42" s="115">
        <v>21.5</v>
      </c>
      <c r="BF42" s="115">
        <v>22.6</v>
      </c>
      <c r="BG42" s="115"/>
      <c r="BH42" s="116">
        <f>AZ42/AV42</f>
        <v>7.9846079846079845E-2</v>
      </c>
      <c r="BI42" s="115"/>
      <c r="BJ42" s="115">
        <f>Y42</f>
        <v>188.51</v>
      </c>
      <c r="BK42" s="115">
        <f>AA42</f>
        <v>222.54</v>
      </c>
      <c r="BL42" s="115">
        <f>AB42</f>
        <v>213.36</v>
      </c>
      <c r="BM42" s="115"/>
      <c r="BN42" s="116">
        <f>(BL42/BJ42)-1</f>
        <v>0.13182324545116986</v>
      </c>
      <c r="BO42" s="115"/>
      <c r="BP42" s="115"/>
      <c r="BQ42" s="125">
        <f>H42/AZ42</f>
        <v>7.7379518072289146</v>
      </c>
      <c r="BR42" s="125">
        <v>7.93</v>
      </c>
      <c r="BS42" s="125">
        <v>7.51</v>
      </c>
      <c r="BT42" s="115"/>
      <c r="BU42" s="125">
        <f>BH42</f>
        <v>7.9846079846079845E-2</v>
      </c>
      <c r="BV42" s="125">
        <f>AM42</f>
        <v>1.78</v>
      </c>
      <c r="BW42" s="125">
        <f>1/AQ42</f>
        <v>8.1221572449642621E-3</v>
      </c>
      <c r="BX42" s="125">
        <f>H42/J42</f>
        <v>0.61784511784511775</v>
      </c>
      <c r="BY42" s="125">
        <f t="shared" si="34"/>
        <v>0.61784511784511775</v>
      </c>
      <c r="BZ42" s="115"/>
      <c r="CA42" s="125">
        <v>10.71</v>
      </c>
      <c r="CB42" s="125">
        <v>12.26</v>
      </c>
      <c r="CC42" s="125">
        <v>12.79</v>
      </c>
      <c r="CD42" s="115"/>
      <c r="CE42" s="116">
        <f>BN42</f>
        <v>0.13182324545116986</v>
      </c>
      <c r="CF42" s="115"/>
      <c r="CG42" s="125">
        <f>CC42/13.18</f>
        <v>0.97040971168437018</v>
      </c>
      <c r="CH42" s="116">
        <v>2.4199999999999999E-2</v>
      </c>
      <c r="CI42" s="115"/>
      <c r="CJ42" s="115" t="s">
        <v>368</v>
      </c>
    </row>
    <row r="43" spans="1:105"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5"/>
      <c r="AD43" s="115"/>
      <c r="AE43" s="115"/>
      <c r="AF43" s="115"/>
      <c r="AG43" s="115"/>
      <c r="AH43" s="115"/>
      <c r="AI43" s="115"/>
      <c r="AJ43" s="115"/>
      <c r="AK43" s="115"/>
      <c r="AL43" s="115"/>
      <c r="AM43" s="125"/>
      <c r="AN43" s="125"/>
      <c r="AO43" s="125"/>
      <c r="AP43" s="115"/>
      <c r="AQ43" s="125"/>
      <c r="AR43" s="115"/>
      <c r="AS43" s="115"/>
      <c r="AT43" s="115"/>
      <c r="AU43" s="115"/>
      <c r="AV43" s="115"/>
      <c r="AW43" s="115"/>
      <c r="AX43" s="115"/>
      <c r="AY43" s="115"/>
      <c r="AZ43" s="115"/>
      <c r="BA43" s="115"/>
      <c r="BB43" s="115"/>
      <c r="BC43" s="115"/>
      <c r="BD43" s="115"/>
      <c r="BE43" s="115"/>
      <c r="BF43" s="115"/>
      <c r="BG43" s="115"/>
      <c r="BH43" s="115"/>
      <c r="BI43" s="115"/>
      <c r="BJ43" s="115"/>
      <c r="BK43" s="115"/>
      <c r="BL43" s="115"/>
      <c r="BM43" s="115"/>
      <c r="BN43" s="115"/>
      <c r="BO43" s="115"/>
      <c r="BP43" s="115"/>
      <c r="BQ43" s="125"/>
      <c r="BR43" s="125"/>
      <c r="BS43" s="125"/>
      <c r="BT43" s="115"/>
      <c r="BU43" s="125"/>
      <c r="BV43" s="125"/>
      <c r="BW43" s="125"/>
      <c r="BX43" s="125"/>
      <c r="BY43" s="125"/>
      <c r="BZ43" s="115"/>
      <c r="CA43" s="125"/>
      <c r="CB43" s="125"/>
      <c r="CC43" s="125"/>
      <c r="CD43" s="115"/>
      <c r="CE43" s="115"/>
      <c r="CF43" s="115"/>
      <c r="CG43" s="125"/>
      <c r="CH43" s="115"/>
      <c r="CI43" s="115"/>
      <c r="CJ43" s="115"/>
    </row>
    <row r="44" spans="1:105">
      <c r="A44" s="67"/>
      <c r="B44" s="47" t="s">
        <v>30</v>
      </c>
      <c r="C44" s="70"/>
      <c r="D44" s="70"/>
      <c r="E44" s="70"/>
      <c r="F44" s="70"/>
      <c r="G44" s="117">
        <f>AVERAGE(G30:G42)</f>
        <v>737.12857142857138</v>
      </c>
      <c r="H44" s="117">
        <f>AVERAGE(H30:H42)</f>
        <v>740.18571428571431</v>
      </c>
      <c r="I44" s="118"/>
      <c r="J44" s="168">
        <f>AVERAGE(J30:J42)</f>
        <v>725.42857142857144</v>
      </c>
      <c r="K44" s="168">
        <f>AVERAGE(K30:K42)</f>
        <v>202.22857142857143</v>
      </c>
      <c r="L44" s="168">
        <f>AVERAGE(L30:L42)</f>
        <v>78.44285714285715</v>
      </c>
      <c r="M44" s="168">
        <f>AVERAGE(M30:M42)</f>
        <v>34.842857142857142</v>
      </c>
      <c r="N44" s="118"/>
      <c r="O44" s="117">
        <f>AVERAGE(O30:O42)</f>
        <v>0.30550800000149658</v>
      </c>
      <c r="P44" s="117">
        <f>AVERAGE(P30:P42)</f>
        <v>0.11608511485746163</v>
      </c>
      <c r="Q44" s="117">
        <f>AVERAGE(Q30:Q42)</f>
        <v>7.6397159060759501E-2</v>
      </c>
      <c r="R44" s="117">
        <f>AVERAGE(R30:R42)</f>
        <v>5.5538261315640783E-2</v>
      </c>
      <c r="S44" s="118"/>
      <c r="T44" s="117">
        <f>AVERAGE(T30:T42)</f>
        <v>690.37142857142862</v>
      </c>
      <c r="U44" s="117">
        <f>AVERAGE(U30:U42)</f>
        <v>735.72857142857151</v>
      </c>
      <c r="V44" s="117">
        <f>AVERAGE(V30:V42)</f>
        <v>75.085714285714289</v>
      </c>
      <c r="W44" s="117">
        <f>AVERAGE(W30:W42)</f>
        <v>81.242857142857133</v>
      </c>
      <c r="X44" s="117"/>
      <c r="Y44" s="117">
        <f>AVERAGE(Y30:Y42)</f>
        <v>269.78428571428572</v>
      </c>
      <c r="Z44" s="117">
        <f>AVERAGE(Z30:Z42)</f>
        <v>247.15428571428575</v>
      </c>
      <c r="AA44" s="117">
        <f>AVERAGE(AA30:AA42)</f>
        <v>291.47857142857146</v>
      </c>
      <c r="AB44" s="117">
        <f>AVERAGE(AB30:AB42)</f>
        <v>315.89714285714291</v>
      </c>
      <c r="AC44" s="119"/>
      <c r="AD44" s="119"/>
      <c r="AE44" s="120"/>
      <c r="AF44" s="118"/>
      <c r="AG44" s="117">
        <f>AVERAGE(AG30:AG42)</f>
        <v>5.1185714285714286E-2</v>
      </c>
      <c r="AH44" s="117">
        <f>AVERAGE(AH30:AH42)</f>
        <v>7.5999999999999998E-2</v>
      </c>
      <c r="AI44" s="117">
        <f>AVERAGE(AI30:AI42)</f>
        <v>4.9557142857142862E-2</v>
      </c>
      <c r="AJ44" s="117">
        <f>AVERAGE(AJ30:AJ42)</f>
        <v>2.1257142857142856E-2</v>
      </c>
      <c r="AK44" s="117"/>
      <c r="AL44" s="117">
        <f>AVERAGE(AL30:AL42)</f>
        <v>0.11861428571428571</v>
      </c>
      <c r="AM44" s="127">
        <f>AVERAGE(AM30:AM42)</f>
        <v>1.1985714285714286</v>
      </c>
      <c r="AN44" s="127">
        <f>AVERAGE(AN30:AN42)</f>
        <v>-0.22571428571428576</v>
      </c>
      <c r="AO44" s="127">
        <f>AVERAGE(AO30:AO42)</f>
        <v>-2.3871428571428575</v>
      </c>
      <c r="AP44" s="117"/>
      <c r="AQ44" s="127">
        <f>AVERAGE(AQ30:AQ42)</f>
        <v>188.51285714285717</v>
      </c>
      <c r="AR44" s="117"/>
      <c r="AS44" s="119"/>
      <c r="AT44" s="119"/>
      <c r="AU44" s="120" t="s">
        <v>30</v>
      </c>
      <c r="AV44" s="117">
        <f>AVERAGE(AV30:AV42)</f>
        <v>725.42857142857144</v>
      </c>
      <c r="AW44" s="117">
        <f>AVERAGE(AW30:AW42)</f>
        <v>735.72857142857151</v>
      </c>
      <c r="AX44" s="117">
        <f>AVERAGE(AX30:AX42)</f>
        <v>753.84285714285727</v>
      </c>
      <c r="AY44" s="117"/>
      <c r="AZ44" s="117">
        <f>AVERAGE(AZ30:AZ42)</f>
        <v>78.44285714285715</v>
      </c>
      <c r="BA44" s="117">
        <f>AVERAGE(BA30:BA42)</f>
        <v>81.242857142857133</v>
      </c>
      <c r="BB44" s="117">
        <f>AVERAGE(BB30:BB42)</f>
        <v>85.414285714285711</v>
      </c>
      <c r="BC44" s="117"/>
      <c r="BD44" s="117">
        <f>AVERAGE(BD30:BD42)</f>
        <v>49.942857142857143</v>
      </c>
      <c r="BE44" s="117">
        <f>AVERAGE(BE30:BE42)</f>
        <v>52.657142857142851</v>
      </c>
      <c r="BF44" s="117">
        <f>AVERAGE(BF30:BF42)</f>
        <v>55.485714285714288</v>
      </c>
      <c r="BG44" s="117"/>
      <c r="BH44" s="117">
        <f>AVERAGE(BH30:BH42)</f>
        <v>0.11608511485746163</v>
      </c>
      <c r="BI44" s="117"/>
      <c r="BJ44" s="117">
        <f>AVERAGE(BJ30:BJ42)</f>
        <v>269.78428571428572</v>
      </c>
      <c r="BK44" s="117">
        <f>AVERAGE(BK30:BK42)</f>
        <v>291.47857142857146</v>
      </c>
      <c r="BL44" s="117">
        <f>AVERAGE(BL30:BL42)</f>
        <v>315.89714285714291</v>
      </c>
      <c r="BM44" s="117"/>
      <c r="BN44" s="117">
        <f>AVERAGE(BN30:BN42)</f>
        <v>0.18495792522751553</v>
      </c>
      <c r="BO44" s="115"/>
      <c r="BP44" s="120" t="s">
        <v>30</v>
      </c>
      <c r="BQ44" s="127">
        <f>AVERAGE(BQ30:BQ42)</f>
        <v>9.3959641543521322</v>
      </c>
      <c r="BR44" s="127">
        <f>AVERAGE(BR30:BR42)</f>
        <v>9.1100000000000012</v>
      </c>
      <c r="BS44" s="127">
        <f>AVERAGE(BS30:BS42)</f>
        <v>8.637142857142857</v>
      </c>
      <c r="BT44" s="117"/>
      <c r="BU44" s="127">
        <f>AVERAGE(BU30:BU42)</f>
        <v>0.11829198140858561</v>
      </c>
      <c r="BV44" s="127">
        <f>AVERAGE(BV30:BV42)</f>
        <v>-4.7142857142857188E-2</v>
      </c>
      <c r="BW44" s="127">
        <f>AVERAGE(BW30:BW42)</f>
        <v>1.133443813228994E-2</v>
      </c>
      <c r="BX44" s="127">
        <f>AVERAGE(BX30:BX42)</f>
        <v>1.1275005989788194</v>
      </c>
      <c r="BY44" s="127">
        <f>AVERAGE(BY30:BY42)</f>
        <v>1.1275005989788194</v>
      </c>
      <c r="BZ44" s="117"/>
      <c r="CA44" s="127">
        <f>AVERAGE(CA30:CA42)</f>
        <v>20.617142857142859</v>
      </c>
      <c r="CB44" s="127">
        <f>AVERAGE(CB30:CB42)</f>
        <v>18.065714285714286</v>
      </c>
      <c r="CC44" s="127">
        <f>AVERAGE(CC30:CC42)</f>
        <v>16.717142857142857</v>
      </c>
      <c r="CD44" s="117"/>
      <c r="CE44" s="117">
        <f>AVERAGE(CE30:CE42)</f>
        <v>0.18495792522751553</v>
      </c>
      <c r="CF44" s="117"/>
      <c r="CG44" s="127">
        <f>AVERAGE(CG30:CG42)</f>
        <v>1.0409397799910223</v>
      </c>
      <c r="CH44" s="117">
        <f>AVERAGE(CH30:CH42)</f>
        <v>2.1257142857142856E-2</v>
      </c>
      <c r="CI44" s="117"/>
      <c r="CJ44" s="117"/>
    </row>
    <row r="45" spans="1:105">
      <c r="A45" s="43"/>
      <c r="B45" s="47" t="s">
        <v>399</v>
      </c>
      <c r="C45" s="47"/>
      <c r="D45" s="47"/>
      <c r="E45" s="47"/>
      <c r="F45" s="47"/>
      <c r="G45" s="120">
        <f>MEDIAN(G30:G42)</f>
        <v>674.5</v>
      </c>
      <c r="H45" s="120">
        <f t="shared" ref="H45:AB45" si="36">MEDIAN(H30:H42)</f>
        <v>775.8</v>
      </c>
      <c r="I45" s="120"/>
      <c r="J45" s="169">
        <f t="shared" si="36"/>
        <v>515</v>
      </c>
      <c r="K45" s="169">
        <f t="shared" si="36"/>
        <v>154.30000000000001</v>
      </c>
      <c r="L45" s="169">
        <f t="shared" si="36"/>
        <v>76.099999999999994</v>
      </c>
      <c r="M45" s="169">
        <f t="shared" si="36"/>
        <v>35.1</v>
      </c>
      <c r="N45" s="120"/>
      <c r="O45" s="164">
        <f t="shared" si="36"/>
        <v>0.29392286716010912</v>
      </c>
      <c r="P45" s="164">
        <f t="shared" si="36"/>
        <v>0.10303856641994547</v>
      </c>
      <c r="Q45" s="164">
        <f t="shared" si="36"/>
        <v>6.7393844955200635E-2</v>
      </c>
      <c r="R45" s="164">
        <f t="shared" si="36"/>
        <v>4.0517241379310343E-2</v>
      </c>
      <c r="S45" s="120"/>
      <c r="T45" s="120">
        <f t="shared" si="36"/>
        <v>503.1</v>
      </c>
      <c r="U45" s="120">
        <f t="shared" si="36"/>
        <v>531.29999999999995</v>
      </c>
      <c r="V45" s="120">
        <f t="shared" si="36"/>
        <v>73.900000000000006</v>
      </c>
      <c r="W45" s="120">
        <f t="shared" si="36"/>
        <v>77.8</v>
      </c>
      <c r="X45" s="120"/>
      <c r="Y45" s="120">
        <f t="shared" si="36"/>
        <v>188.51</v>
      </c>
      <c r="Z45" s="120">
        <f t="shared" si="36"/>
        <v>196.49</v>
      </c>
      <c r="AA45" s="120">
        <f t="shared" si="36"/>
        <v>222.54</v>
      </c>
      <c r="AB45" s="120">
        <f t="shared" si="36"/>
        <v>218.24</v>
      </c>
      <c r="AC45" s="122"/>
      <c r="AD45" s="122"/>
      <c r="AE45" s="120"/>
      <c r="AF45" s="120"/>
      <c r="AG45" s="120">
        <f t="shared" ref="AG45:AQ45" si="37">MEDIAN(AG30:AG42)</f>
        <v>4.5999999999999999E-2</v>
      </c>
      <c r="AH45" s="120">
        <f t="shared" si="37"/>
        <v>6.5500000000000003E-2</v>
      </c>
      <c r="AI45" s="120">
        <f t="shared" si="37"/>
        <v>3.9100000000000003E-2</v>
      </c>
      <c r="AJ45" s="120">
        <f t="shared" si="37"/>
        <v>2.1899999999999999E-2</v>
      </c>
      <c r="AK45" s="120"/>
      <c r="AL45" s="120">
        <f t="shared" si="37"/>
        <v>0.121</v>
      </c>
      <c r="AM45" s="128">
        <f t="shared" si="37"/>
        <v>0.93</v>
      </c>
      <c r="AN45" s="128">
        <f t="shared" si="37"/>
        <v>0.22</v>
      </c>
      <c r="AO45" s="128">
        <f t="shared" si="37"/>
        <v>3.85</v>
      </c>
      <c r="AP45" s="120"/>
      <c r="AQ45" s="128">
        <f t="shared" si="37"/>
        <v>123.12</v>
      </c>
      <c r="AR45" s="120"/>
      <c r="AS45" s="122"/>
      <c r="AT45" s="122"/>
      <c r="AU45" s="120" t="s">
        <v>399</v>
      </c>
      <c r="AV45" s="120">
        <f t="shared" ref="AV45:BN45" si="38">MEDIAN(AV30:AV42)</f>
        <v>515</v>
      </c>
      <c r="AW45" s="120">
        <f t="shared" si="38"/>
        <v>531.29999999999995</v>
      </c>
      <c r="AX45" s="120">
        <f t="shared" si="38"/>
        <v>555.4</v>
      </c>
      <c r="AY45" s="120"/>
      <c r="AZ45" s="120">
        <f t="shared" si="38"/>
        <v>76.099999999999994</v>
      </c>
      <c r="BA45" s="120">
        <f t="shared" si="38"/>
        <v>77.8</v>
      </c>
      <c r="BB45" s="120">
        <f t="shared" si="38"/>
        <v>82</v>
      </c>
      <c r="BC45" s="120"/>
      <c r="BD45" s="120">
        <f t="shared" si="38"/>
        <v>46.9</v>
      </c>
      <c r="BE45" s="120">
        <f t="shared" si="38"/>
        <v>48.8</v>
      </c>
      <c r="BF45" s="120">
        <f t="shared" si="38"/>
        <v>50.2</v>
      </c>
      <c r="BG45" s="120"/>
      <c r="BH45" s="120">
        <f t="shared" si="38"/>
        <v>0.10303856641994547</v>
      </c>
      <c r="BI45" s="120"/>
      <c r="BJ45" s="120">
        <f t="shared" si="38"/>
        <v>188.51</v>
      </c>
      <c r="BK45" s="120">
        <f t="shared" si="38"/>
        <v>222.54</v>
      </c>
      <c r="BL45" s="120">
        <f t="shared" si="38"/>
        <v>218.24</v>
      </c>
      <c r="BM45" s="120"/>
      <c r="BN45" s="120">
        <f t="shared" si="38"/>
        <v>0.16968868556125849</v>
      </c>
      <c r="BO45" s="115"/>
      <c r="BP45" s="120" t="s">
        <v>399</v>
      </c>
      <c r="BQ45" s="128">
        <f t="shared" ref="BQ45:CH45" si="39">MEDIAN(BQ30:BQ42)</f>
        <v>8.7774390243902438</v>
      </c>
      <c r="BR45" s="128">
        <f t="shared" si="39"/>
        <v>8.73</v>
      </c>
      <c r="BS45" s="128">
        <f t="shared" si="39"/>
        <v>8.48</v>
      </c>
      <c r="BT45" s="120"/>
      <c r="BU45" s="128">
        <f t="shared" si="39"/>
        <v>0.10815402038505097</v>
      </c>
      <c r="BV45" s="128">
        <f t="shared" si="39"/>
        <v>0.22</v>
      </c>
      <c r="BW45" s="128">
        <f t="shared" si="39"/>
        <v>8.1221572449642621E-3</v>
      </c>
      <c r="BX45" s="128">
        <f t="shared" si="39"/>
        <v>0.98750000000000004</v>
      </c>
      <c r="BY45" s="128">
        <f>MEDIAN(BY30:BY42)</f>
        <v>0.98750000000000004</v>
      </c>
      <c r="BZ45" s="120"/>
      <c r="CA45" s="128">
        <f t="shared" si="39"/>
        <v>20.77</v>
      </c>
      <c r="CB45" s="128">
        <f t="shared" si="39"/>
        <v>17.5</v>
      </c>
      <c r="CC45" s="128">
        <f t="shared" si="39"/>
        <v>16.25</v>
      </c>
      <c r="CD45" s="120"/>
      <c r="CE45" s="120">
        <f t="shared" si="39"/>
        <v>0.16968868556125849</v>
      </c>
      <c r="CF45" s="120"/>
      <c r="CG45" s="128">
        <f t="shared" si="39"/>
        <v>0.97040971168437018</v>
      </c>
      <c r="CH45" s="120">
        <f t="shared" si="39"/>
        <v>2.1899999999999999E-2</v>
      </c>
      <c r="CI45" s="120"/>
      <c r="CJ45" s="120"/>
    </row>
    <row r="46" spans="1:105">
      <c r="A46" s="43"/>
      <c r="B46" s="47" t="s">
        <v>370</v>
      </c>
      <c r="C46" s="47"/>
      <c r="D46" s="47"/>
      <c r="E46" s="47"/>
      <c r="F46" s="47"/>
      <c r="G46" s="121">
        <f>_xlfn.PERCENTILE.INC(G30:G42,0.25)</f>
        <v>506.5</v>
      </c>
      <c r="H46" s="121">
        <f t="shared" ref="H46:BN46" si="40">_xlfn.PERCENTILE.INC(H30:H42,0.25)</f>
        <v>525.79999999999995</v>
      </c>
      <c r="I46" s="121"/>
      <c r="J46" s="169">
        <f t="shared" si="40"/>
        <v>499.6</v>
      </c>
      <c r="K46" s="169">
        <f t="shared" si="40"/>
        <v>144.60000000000002</v>
      </c>
      <c r="L46" s="169">
        <f t="shared" si="40"/>
        <v>55.3</v>
      </c>
      <c r="M46" s="169">
        <f t="shared" si="40"/>
        <v>20.7</v>
      </c>
      <c r="N46" s="121"/>
      <c r="O46" s="164">
        <f t="shared" si="40"/>
        <v>0.24720725013330086</v>
      </c>
      <c r="P46" s="164">
        <f t="shared" si="40"/>
        <v>9.1084593389966689E-2</v>
      </c>
      <c r="Q46" s="164">
        <f t="shared" si="40"/>
        <v>5.5956033877651183E-2</v>
      </c>
      <c r="R46" s="164">
        <f t="shared" si="40"/>
        <v>3.5712878282482818E-2</v>
      </c>
      <c r="S46" s="121"/>
      <c r="T46" s="121">
        <f t="shared" si="40"/>
        <v>486.5</v>
      </c>
      <c r="U46" s="121">
        <f t="shared" si="40"/>
        <v>508.95</v>
      </c>
      <c r="V46" s="121">
        <f t="shared" si="40"/>
        <v>53.15</v>
      </c>
      <c r="W46" s="121">
        <f t="shared" si="40"/>
        <v>57.15</v>
      </c>
      <c r="X46" s="121"/>
      <c r="Y46" s="121">
        <f t="shared" si="40"/>
        <v>171.99</v>
      </c>
      <c r="Z46" s="121">
        <f t="shared" si="40"/>
        <v>164.345</v>
      </c>
      <c r="AA46" s="121">
        <f t="shared" si="40"/>
        <v>194.63499999999999</v>
      </c>
      <c r="AB46" s="121">
        <f t="shared" si="40"/>
        <v>210.255</v>
      </c>
      <c r="AC46" s="123"/>
      <c r="AD46" s="123"/>
      <c r="AE46" s="120"/>
      <c r="AF46" s="121"/>
      <c r="AG46" s="121">
        <f t="shared" si="40"/>
        <v>3.8899999999999997E-2</v>
      </c>
      <c r="AH46" s="121">
        <f t="shared" si="40"/>
        <v>6.4549999999999996E-2</v>
      </c>
      <c r="AI46" s="121">
        <f t="shared" si="40"/>
        <v>3.6949999999999997E-2</v>
      </c>
      <c r="AJ46" s="121">
        <f t="shared" si="40"/>
        <v>1.84E-2</v>
      </c>
      <c r="AK46" s="121"/>
      <c r="AL46" s="121">
        <f t="shared" si="40"/>
        <v>4.3649999999999994E-2</v>
      </c>
      <c r="AM46" s="128">
        <f t="shared" si="40"/>
        <v>0.56499999999999995</v>
      </c>
      <c r="AN46" s="128">
        <f t="shared" si="40"/>
        <v>-1.45</v>
      </c>
      <c r="AO46" s="128">
        <f t="shared" si="40"/>
        <v>-19.68</v>
      </c>
      <c r="AP46" s="121"/>
      <c r="AQ46" s="128">
        <f t="shared" si="40"/>
        <v>70.335000000000008</v>
      </c>
      <c r="AR46" s="121"/>
      <c r="AS46" s="123"/>
      <c r="AT46" s="123"/>
      <c r="AU46" s="120" t="s">
        <v>370</v>
      </c>
      <c r="AV46" s="121">
        <f t="shared" si="40"/>
        <v>499.6</v>
      </c>
      <c r="AW46" s="121">
        <f t="shared" si="40"/>
        <v>508.95</v>
      </c>
      <c r="AX46" s="121">
        <f t="shared" si="40"/>
        <v>523.75</v>
      </c>
      <c r="AY46" s="121"/>
      <c r="AZ46" s="121">
        <f t="shared" si="40"/>
        <v>55.3</v>
      </c>
      <c r="BA46" s="121">
        <f t="shared" si="40"/>
        <v>57.15</v>
      </c>
      <c r="BB46" s="121">
        <f t="shared" si="40"/>
        <v>60.7</v>
      </c>
      <c r="BC46" s="121"/>
      <c r="BD46" s="121">
        <f t="shared" si="40"/>
        <v>33.799999999999997</v>
      </c>
      <c r="BE46" s="121">
        <f t="shared" si="40"/>
        <v>35.75</v>
      </c>
      <c r="BF46" s="121">
        <f t="shared" si="40"/>
        <v>38.700000000000003</v>
      </c>
      <c r="BG46" s="121"/>
      <c r="BH46" s="121">
        <f t="shared" si="40"/>
        <v>9.1084593389966689E-2</v>
      </c>
      <c r="BI46" s="121"/>
      <c r="BJ46" s="121">
        <f t="shared" si="40"/>
        <v>171.99</v>
      </c>
      <c r="BK46" s="121">
        <f t="shared" si="40"/>
        <v>194.63499999999999</v>
      </c>
      <c r="BL46" s="121">
        <f t="shared" si="40"/>
        <v>210.255</v>
      </c>
      <c r="BM46" s="121"/>
      <c r="BN46" s="121">
        <f t="shared" si="40"/>
        <v>0.12532911345488029</v>
      </c>
      <c r="BO46" s="123"/>
      <c r="BP46" s="120" t="s">
        <v>370</v>
      </c>
      <c r="BQ46" s="128">
        <f t="shared" ref="BQ46:CH46" si="41">_xlfn.PERCENTILE.INC(BQ30:BQ42,0.25)</f>
        <v>8.0896833465031825</v>
      </c>
      <c r="BR46" s="128">
        <f t="shared" si="41"/>
        <v>7.91</v>
      </c>
      <c r="BS46" s="128">
        <f t="shared" si="41"/>
        <v>7.5250000000000004</v>
      </c>
      <c r="BT46" s="121"/>
      <c r="BU46" s="128">
        <f t="shared" si="41"/>
        <v>8.952276146846283E-2</v>
      </c>
      <c r="BV46" s="128">
        <f t="shared" si="41"/>
        <v>-1.45</v>
      </c>
      <c r="BW46" s="128">
        <f t="shared" si="41"/>
        <v>3.8708953788928083E-3</v>
      </c>
      <c r="BX46" s="128">
        <f t="shared" si="41"/>
        <v>0.69941732749854757</v>
      </c>
      <c r="BY46" s="128">
        <f>_xlfn.PERCENTILE.INC(BY30:BY42,0.25)</f>
        <v>0.69941732749854757</v>
      </c>
      <c r="BZ46" s="121"/>
      <c r="CA46" s="128">
        <f t="shared" si="41"/>
        <v>18.195</v>
      </c>
      <c r="CB46" s="128">
        <f t="shared" si="41"/>
        <v>17.350000000000001</v>
      </c>
      <c r="CC46" s="128">
        <f t="shared" si="41"/>
        <v>15.395</v>
      </c>
      <c r="CD46" s="121"/>
      <c r="CE46" s="121">
        <f t="shared" si="41"/>
        <v>0.12532911345488029</v>
      </c>
      <c r="CF46" s="121"/>
      <c r="CG46" s="128">
        <f t="shared" si="41"/>
        <v>0.81672428187968449</v>
      </c>
      <c r="CH46" s="121">
        <f t="shared" si="41"/>
        <v>1.84E-2</v>
      </c>
      <c r="CI46" s="121"/>
      <c r="CJ46" s="121"/>
    </row>
    <row r="47" spans="1:105">
      <c r="A47" s="43"/>
      <c r="B47" s="47" t="s">
        <v>372</v>
      </c>
      <c r="C47" s="47"/>
      <c r="D47" s="47"/>
      <c r="E47" s="47"/>
      <c r="F47" s="47"/>
      <c r="G47" s="121">
        <f>_xlfn.PERCENTILE.INC(G30:G42,0.75)</f>
        <v>967.8</v>
      </c>
      <c r="H47" s="121">
        <f t="shared" ref="H47:BN47" si="42">_xlfn.PERCENTILE.INC(H30:H42,0.75)</f>
        <v>975.75</v>
      </c>
      <c r="I47" s="121"/>
      <c r="J47" s="169">
        <f t="shared" si="42"/>
        <v>861.95</v>
      </c>
      <c r="K47" s="169">
        <f t="shared" si="42"/>
        <v>263</v>
      </c>
      <c r="L47" s="169">
        <f t="shared" si="42"/>
        <v>96.75</v>
      </c>
      <c r="M47" s="169">
        <f t="shared" si="42"/>
        <v>43.45</v>
      </c>
      <c r="N47" s="121"/>
      <c r="O47" s="164">
        <f t="shared" si="42"/>
        <v>0.29743513558754608</v>
      </c>
      <c r="P47" s="164">
        <f t="shared" si="42"/>
        <v>0.13681579264916738</v>
      </c>
      <c r="Q47" s="164">
        <f t="shared" si="42"/>
        <v>8.3313996820033792E-2</v>
      </c>
      <c r="R47" s="164">
        <f t="shared" si="42"/>
        <v>6.3952920519697476E-2</v>
      </c>
      <c r="S47" s="121"/>
      <c r="T47" s="121">
        <f t="shared" si="42"/>
        <v>826.3</v>
      </c>
      <c r="U47" s="121">
        <f t="shared" si="42"/>
        <v>874.75</v>
      </c>
      <c r="V47" s="121">
        <f t="shared" si="42"/>
        <v>87.5</v>
      </c>
      <c r="W47" s="121">
        <f t="shared" si="42"/>
        <v>99.6</v>
      </c>
      <c r="X47" s="121"/>
      <c r="Y47" s="121">
        <f t="shared" si="42"/>
        <v>287.39499999999998</v>
      </c>
      <c r="Z47" s="121">
        <f t="shared" si="42"/>
        <v>248.53000000000003</v>
      </c>
      <c r="AA47" s="121">
        <f t="shared" si="42"/>
        <v>298.91500000000002</v>
      </c>
      <c r="AB47" s="121">
        <f t="shared" si="42"/>
        <v>350.65999999999997</v>
      </c>
      <c r="AC47" s="123"/>
      <c r="AD47" s="123"/>
      <c r="AE47" s="121"/>
      <c r="AF47" s="121"/>
      <c r="AG47" s="121">
        <f t="shared" si="42"/>
        <v>5.4199999999999998E-2</v>
      </c>
      <c r="AH47" s="121">
        <f t="shared" si="42"/>
        <v>7.2050000000000003E-2</v>
      </c>
      <c r="AI47" s="121">
        <f t="shared" si="42"/>
        <v>4.8399999999999999E-2</v>
      </c>
      <c r="AJ47" s="121">
        <f t="shared" si="42"/>
        <v>2.4549999999999999E-2</v>
      </c>
      <c r="AK47" s="121"/>
      <c r="AL47" s="121">
        <f t="shared" si="42"/>
        <v>0.1835</v>
      </c>
      <c r="AM47" s="128">
        <f t="shared" si="42"/>
        <v>1.9449999999999998</v>
      </c>
      <c r="AN47" s="128">
        <f t="shared" si="42"/>
        <v>0.875</v>
      </c>
      <c r="AO47" s="128">
        <f t="shared" si="42"/>
        <v>15.955</v>
      </c>
      <c r="AP47" s="121"/>
      <c r="AQ47" s="128">
        <f t="shared" si="42"/>
        <v>282.69</v>
      </c>
      <c r="AR47" s="121"/>
      <c r="AS47" s="123"/>
      <c r="AT47" s="123"/>
      <c r="AU47" s="121"/>
      <c r="AV47" s="121">
        <f t="shared" si="42"/>
        <v>861.95</v>
      </c>
      <c r="AW47" s="121">
        <f t="shared" si="42"/>
        <v>874.75</v>
      </c>
      <c r="AX47" s="121">
        <f t="shared" si="42"/>
        <v>889.90000000000009</v>
      </c>
      <c r="AY47" s="121"/>
      <c r="AZ47" s="121">
        <f t="shared" si="42"/>
        <v>96.75</v>
      </c>
      <c r="BA47" s="121">
        <f t="shared" si="42"/>
        <v>99.6</v>
      </c>
      <c r="BB47" s="121">
        <f t="shared" si="42"/>
        <v>104.25</v>
      </c>
      <c r="BC47" s="121"/>
      <c r="BD47" s="121">
        <f t="shared" si="42"/>
        <v>65.8</v>
      </c>
      <c r="BE47" s="121">
        <f t="shared" si="42"/>
        <v>68.650000000000006</v>
      </c>
      <c r="BF47" s="121">
        <f t="shared" si="42"/>
        <v>72.05</v>
      </c>
      <c r="BG47" s="121"/>
      <c r="BH47" s="121">
        <f t="shared" si="42"/>
        <v>0.13681579264916738</v>
      </c>
      <c r="BI47" s="121"/>
      <c r="BJ47" s="121">
        <f t="shared" si="42"/>
        <v>287.39499999999998</v>
      </c>
      <c r="BK47" s="121">
        <f t="shared" si="42"/>
        <v>298.91500000000002</v>
      </c>
      <c r="BL47" s="121">
        <f t="shared" si="42"/>
        <v>350.65999999999997</v>
      </c>
      <c r="BM47" s="121"/>
      <c r="BN47" s="121">
        <f t="shared" si="42"/>
        <v>0.2364742648357494</v>
      </c>
      <c r="BO47" s="123"/>
      <c r="BP47" s="121"/>
      <c r="BQ47" s="128">
        <f t="shared" ref="BQ47:CH47" si="43">_xlfn.PERCENTILE.INC(BQ30:BQ42,0.75)</f>
        <v>10.814242902208202</v>
      </c>
      <c r="BR47" s="128">
        <f t="shared" si="43"/>
        <v>10.324999999999999</v>
      </c>
      <c r="BS47" s="128">
        <f t="shared" si="43"/>
        <v>9.6750000000000007</v>
      </c>
      <c r="BT47" s="121"/>
      <c r="BU47" s="128">
        <f t="shared" si="43"/>
        <v>0.14144671961079514</v>
      </c>
      <c r="BV47" s="128">
        <f t="shared" si="43"/>
        <v>1.4950000000000001</v>
      </c>
      <c r="BW47" s="128">
        <f t="shared" si="43"/>
        <v>1.674936688893423E-2</v>
      </c>
      <c r="BX47" s="128">
        <f t="shared" si="43"/>
        <v>1.393724109870297</v>
      </c>
      <c r="BY47" s="128">
        <f>_xlfn.PERCENTILE.INC(BY30:BY42,0.75)</f>
        <v>1.393724109870297</v>
      </c>
      <c r="BZ47" s="121"/>
      <c r="CA47" s="128">
        <f t="shared" si="43"/>
        <v>21.96</v>
      </c>
      <c r="CB47" s="128">
        <f t="shared" si="43"/>
        <v>18.759999999999998</v>
      </c>
      <c r="CC47" s="128">
        <f t="shared" si="43"/>
        <v>17.549999999999997</v>
      </c>
      <c r="CD47" s="121"/>
      <c r="CE47" s="121">
        <f t="shared" si="43"/>
        <v>0.2364742648357494</v>
      </c>
      <c r="CF47" s="121"/>
      <c r="CG47" s="128">
        <f t="shared" si="43"/>
        <v>1.1947921241399502</v>
      </c>
      <c r="CH47" s="121">
        <f t="shared" si="43"/>
        <v>2.4549999999999999E-2</v>
      </c>
      <c r="CI47" s="121"/>
      <c r="CJ47" s="121"/>
    </row>
    <row r="48" spans="1:105"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  <c r="AD48" s="115"/>
      <c r="AE48" s="115"/>
      <c r="AF48" s="115"/>
      <c r="AG48" s="115"/>
      <c r="AH48" s="115"/>
      <c r="AI48" s="115"/>
      <c r="AJ48" s="115"/>
      <c r="AK48" s="115"/>
      <c r="AL48" s="115"/>
      <c r="AM48" s="125"/>
      <c r="AN48" s="125"/>
      <c r="AO48" s="125"/>
      <c r="AP48" s="115"/>
      <c r="AQ48" s="125"/>
      <c r="AR48" s="115"/>
      <c r="AS48" s="115"/>
      <c r="AT48" s="115"/>
      <c r="AU48" s="115"/>
      <c r="AV48" s="115"/>
      <c r="AW48" s="115"/>
      <c r="AX48" s="115"/>
      <c r="AY48" s="115"/>
      <c r="AZ48" s="115"/>
      <c r="BA48" s="115"/>
      <c r="BB48" s="115"/>
      <c r="BC48" s="115"/>
      <c r="BD48" s="115"/>
      <c r="BE48" s="115"/>
      <c r="BF48" s="115"/>
      <c r="BG48" s="115"/>
      <c r="BH48" s="115"/>
      <c r="BI48" s="115"/>
      <c r="BJ48" s="115"/>
      <c r="BK48" s="115"/>
      <c r="BL48" s="115"/>
      <c r="BM48" s="115"/>
      <c r="BN48" s="115"/>
      <c r="BO48" s="115"/>
      <c r="BP48" s="115"/>
      <c r="BQ48" s="125"/>
      <c r="BR48" s="125"/>
      <c r="BS48" s="125"/>
      <c r="BT48" s="115"/>
      <c r="BU48" s="125"/>
      <c r="BV48" s="125"/>
      <c r="BW48" s="125"/>
      <c r="BX48" s="125"/>
      <c r="BY48" s="125"/>
      <c r="BZ48" s="115"/>
      <c r="CA48" s="125"/>
      <c r="CB48" s="125"/>
      <c r="CC48" s="125"/>
      <c r="CD48" s="115"/>
      <c r="CE48" s="115"/>
      <c r="CF48" s="115"/>
      <c r="CG48" s="125"/>
      <c r="CH48" s="115"/>
      <c r="CI48" s="115"/>
      <c r="CJ48" s="115"/>
    </row>
    <row r="49" spans="1:113">
      <c r="A49" s="43"/>
      <c r="B49" s="47" t="s">
        <v>423</v>
      </c>
      <c r="C49" s="47"/>
      <c r="D49" s="47"/>
      <c r="E49" s="47"/>
      <c r="F49" s="47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2"/>
      <c r="AD49" s="122"/>
      <c r="AE49" s="120" t="s">
        <v>423</v>
      </c>
      <c r="AF49" s="120"/>
      <c r="AG49" s="120"/>
      <c r="AH49" s="120"/>
      <c r="AI49" s="120"/>
      <c r="AJ49" s="120"/>
      <c r="AK49" s="120"/>
      <c r="AL49" s="120"/>
      <c r="AM49" s="128"/>
      <c r="AN49" s="128"/>
      <c r="AO49" s="128"/>
      <c r="AP49" s="120"/>
      <c r="AQ49" s="128"/>
      <c r="AR49" s="120"/>
      <c r="AS49" s="122"/>
      <c r="AT49" s="122"/>
      <c r="AU49" s="120" t="s">
        <v>423</v>
      </c>
      <c r="AV49" s="120"/>
      <c r="AW49" s="120"/>
      <c r="AX49" s="120"/>
      <c r="AY49" s="120"/>
      <c r="AZ49" s="120"/>
      <c r="BA49" s="120"/>
      <c r="BB49" s="120"/>
      <c r="BC49" s="120"/>
      <c r="BD49" s="120"/>
      <c r="BE49" s="120"/>
      <c r="BF49" s="120"/>
      <c r="BG49" s="120"/>
      <c r="BH49" s="120"/>
      <c r="BI49" s="120"/>
      <c r="BJ49" s="120"/>
      <c r="BK49" s="120"/>
      <c r="BL49" s="120"/>
      <c r="BM49" s="120"/>
      <c r="BN49" s="120"/>
      <c r="BO49" s="115"/>
      <c r="BP49" s="120" t="s">
        <v>423</v>
      </c>
      <c r="BQ49" s="128"/>
      <c r="BR49" s="128"/>
      <c r="BS49" s="128"/>
      <c r="BT49" s="120"/>
      <c r="BU49" s="128"/>
      <c r="BV49" s="128"/>
      <c r="BW49" s="128"/>
      <c r="BX49" s="128"/>
      <c r="BY49" s="128"/>
      <c r="BZ49" s="120"/>
      <c r="CA49" s="128"/>
      <c r="CB49" s="128"/>
      <c r="CC49" s="128"/>
      <c r="CD49" s="120"/>
      <c r="CE49" s="120"/>
      <c r="CF49" s="120"/>
      <c r="CG49" s="128"/>
      <c r="CH49" s="120"/>
      <c r="CI49" s="120"/>
      <c r="CJ49" s="120"/>
    </row>
    <row r="50" spans="1:113"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  <c r="AC50" s="115"/>
      <c r="AD50" s="115"/>
      <c r="AE50" s="115"/>
      <c r="AF50" s="115"/>
      <c r="AG50" s="115"/>
      <c r="AH50" s="115"/>
      <c r="AI50" s="115"/>
      <c r="AJ50" s="115"/>
      <c r="AK50" s="115"/>
      <c r="AL50" s="115"/>
      <c r="AM50" s="125"/>
      <c r="AN50" s="125"/>
      <c r="AO50" s="125"/>
      <c r="AP50" s="115"/>
      <c r="AQ50" s="125"/>
      <c r="AR50" s="115"/>
      <c r="AS50" s="115"/>
      <c r="AT50" s="115"/>
      <c r="AU50" s="115"/>
      <c r="AV50" s="115"/>
      <c r="AW50" s="115"/>
      <c r="AX50" s="115"/>
      <c r="AY50" s="115"/>
      <c r="AZ50" s="115"/>
      <c r="BA50" s="115"/>
      <c r="BB50" s="115"/>
      <c r="BC50" s="115"/>
      <c r="BD50" s="115"/>
      <c r="BE50" s="115"/>
      <c r="BF50" s="115"/>
      <c r="BG50" s="115"/>
      <c r="BH50" s="115"/>
      <c r="BI50" s="115"/>
      <c r="BJ50" s="115"/>
      <c r="BK50" s="115"/>
      <c r="BL50" s="115"/>
      <c r="BM50" s="115"/>
      <c r="BN50" s="115"/>
      <c r="BO50" s="115"/>
      <c r="BP50" s="115"/>
      <c r="BQ50" s="125"/>
      <c r="BR50" s="125"/>
      <c r="BS50" s="125"/>
      <c r="BT50" s="115"/>
      <c r="BU50" s="125"/>
      <c r="BV50" s="125"/>
      <c r="BW50" s="125"/>
      <c r="BX50" s="125"/>
      <c r="BY50" s="125"/>
      <c r="BZ50" s="115"/>
      <c r="CA50" s="125"/>
      <c r="CB50" s="125"/>
      <c r="CC50" s="125"/>
      <c r="CD50" s="115"/>
      <c r="CE50" s="115" t="s">
        <v>424</v>
      </c>
      <c r="CF50" s="115"/>
      <c r="CG50" s="125"/>
      <c r="CH50" s="115"/>
      <c r="CI50" s="115"/>
      <c r="CJ50" s="115"/>
      <c r="CQ50" s="207" t="s">
        <v>301</v>
      </c>
      <c r="CR50" s="207"/>
      <c r="CS50" s="207"/>
      <c r="CT50" s="207"/>
      <c r="CU50" s="207"/>
      <c r="CV50" s="207"/>
      <c r="CW50" s="207"/>
      <c r="CX50" s="207"/>
      <c r="CY50" s="207"/>
      <c r="DA50" s="207" t="s">
        <v>425</v>
      </c>
      <c r="DB50" s="207"/>
      <c r="DC50" s="207"/>
      <c r="DD50" s="207"/>
      <c r="DE50" s="207"/>
      <c r="DF50" s="207"/>
      <c r="DG50" s="207"/>
      <c r="DH50" s="207"/>
      <c r="DI50" s="207"/>
    </row>
    <row r="51" spans="1:113">
      <c r="B51" s="42" t="s">
        <v>426</v>
      </c>
      <c r="E51" s="42" t="s">
        <v>427</v>
      </c>
      <c r="F51" s="48" t="s">
        <v>428</v>
      </c>
      <c r="G51" s="114">
        <v>1412.1</v>
      </c>
      <c r="H51" s="114">
        <v>1548.3</v>
      </c>
      <c r="I51" s="115"/>
      <c r="J51" s="114">
        <v>1650</v>
      </c>
      <c r="K51" s="115">
        <v>561.6</v>
      </c>
      <c r="L51" s="115">
        <v>206.2</v>
      </c>
      <c r="M51" s="115">
        <v>85.4</v>
      </c>
      <c r="N51" s="115"/>
      <c r="O51" s="115">
        <f>K51/J51</f>
        <v>0.34036363636363637</v>
      </c>
      <c r="P51" s="115">
        <f>L51/J51</f>
        <v>0.12496969696969697</v>
      </c>
      <c r="Q51" s="115">
        <f>BD51/J51</f>
        <v>3.0242424242424241E-2</v>
      </c>
      <c r="R51" s="115">
        <f>M51/J51</f>
        <v>5.1757575757575759E-2</v>
      </c>
      <c r="S51" s="115"/>
      <c r="T51" s="114">
        <v>1698.6</v>
      </c>
      <c r="U51" s="114">
        <v>1803.3</v>
      </c>
      <c r="V51" s="115">
        <v>200.1</v>
      </c>
      <c r="W51" s="115">
        <v>230</v>
      </c>
      <c r="X51" s="115"/>
      <c r="Y51" s="115">
        <v>15.15</v>
      </c>
      <c r="Z51" s="115">
        <v>13.94</v>
      </c>
      <c r="AA51" s="115">
        <v>16.96</v>
      </c>
      <c r="AB51" s="115">
        <v>18.100000000000001</v>
      </c>
      <c r="AC51" s="115"/>
      <c r="AD51" s="115"/>
      <c r="AE51" s="115">
        <v>0.57699999999999996</v>
      </c>
      <c r="AF51" s="115"/>
      <c r="AG51" s="116">
        <v>0.14000000000000001</v>
      </c>
      <c r="AH51" s="116">
        <v>0.32569999999999999</v>
      </c>
      <c r="AI51" s="116">
        <v>7.3499999999999996E-2</v>
      </c>
      <c r="AJ51" s="115"/>
      <c r="AK51" s="115"/>
      <c r="AL51" s="116">
        <v>0.25440000000000002</v>
      </c>
      <c r="AM51" s="125" t="s">
        <v>368</v>
      </c>
      <c r="AN51" s="125" t="s">
        <v>368</v>
      </c>
      <c r="AO51" s="125" t="s">
        <v>368</v>
      </c>
      <c r="AP51" s="115"/>
      <c r="AQ51" s="125">
        <v>22.44</v>
      </c>
      <c r="AR51" s="115"/>
      <c r="AS51" s="115"/>
      <c r="AT51" s="115"/>
      <c r="AU51" s="115"/>
      <c r="AV51" s="114">
        <f>J51</f>
        <v>1650</v>
      </c>
      <c r="AW51" s="114">
        <f>U51</f>
        <v>1803.3</v>
      </c>
      <c r="AX51" s="114">
        <v>323.2</v>
      </c>
      <c r="AY51" s="115"/>
      <c r="AZ51" s="115">
        <f>L51</f>
        <v>206.2</v>
      </c>
      <c r="BA51" s="114">
        <f>U51</f>
        <v>1803.3</v>
      </c>
      <c r="BB51" s="115">
        <v>84.6</v>
      </c>
      <c r="BC51" s="115"/>
      <c r="BD51" s="115">
        <v>49.9</v>
      </c>
      <c r="BE51" s="115">
        <v>56.5</v>
      </c>
      <c r="BF51" s="115">
        <v>76.2</v>
      </c>
      <c r="BG51" s="115"/>
      <c r="BH51" s="115">
        <f>P51</f>
        <v>0.12496969696969697</v>
      </c>
      <c r="BI51" s="115"/>
      <c r="BJ51" s="115">
        <f>Y51</f>
        <v>15.15</v>
      </c>
      <c r="BK51" s="115">
        <f>AA51</f>
        <v>16.96</v>
      </c>
      <c r="BL51" s="115">
        <f>AB51</f>
        <v>18.100000000000001</v>
      </c>
      <c r="BM51" s="115"/>
      <c r="BN51" s="115">
        <f>(BL51/BJ51)-1</f>
        <v>0.19471947194719474</v>
      </c>
      <c r="BO51" s="115"/>
      <c r="BP51" s="115"/>
      <c r="BQ51" s="125">
        <f>H51/AZ51</f>
        <v>7.5087293889427746</v>
      </c>
      <c r="BR51" s="125">
        <v>6.76</v>
      </c>
      <c r="BS51" s="125">
        <v>6.5</v>
      </c>
      <c r="BT51" s="115"/>
      <c r="BU51" s="125">
        <f>BR51/AW51</f>
        <v>3.7486829701103533E-3</v>
      </c>
      <c r="BV51" s="125" t="str">
        <f>AN51</f>
        <v>-</v>
      </c>
      <c r="BW51" s="125" t="e">
        <f>1/AO51</f>
        <v>#VALUE!</v>
      </c>
      <c r="BX51" s="125">
        <f>H51/AV51</f>
        <v>0.93836363636363629</v>
      </c>
      <c r="BY51" s="125">
        <f>H51/BD51</f>
        <v>31.028056112224448</v>
      </c>
      <c r="BZ51" s="115"/>
      <c r="CA51" s="125">
        <v>15.18</v>
      </c>
      <c r="CB51" s="125">
        <v>14.7</v>
      </c>
      <c r="CC51" s="125">
        <v>13.77</v>
      </c>
      <c r="CD51" s="115"/>
      <c r="CE51" s="115">
        <f>BN51</f>
        <v>0.19471947194719474</v>
      </c>
      <c r="CF51" s="115"/>
      <c r="CG51" s="125">
        <f>CC51/19.472</f>
        <v>0.7071692686935086</v>
      </c>
      <c r="CH51" s="116">
        <v>5.79E-2</v>
      </c>
      <c r="CI51" s="115"/>
      <c r="CJ51" s="115">
        <v>8.09</v>
      </c>
      <c r="CQ51" s="67" t="s">
        <v>7</v>
      </c>
      <c r="CR51" s="67" t="s">
        <v>429</v>
      </c>
      <c r="CS51" s="67" t="s">
        <v>369</v>
      </c>
      <c r="CT51" s="67"/>
      <c r="CU51" s="214" t="s">
        <v>430</v>
      </c>
      <c r="CV51" s="214"/>
      <c r="CW51" s="214"/>
      <c r="CX51" s="67"/>
      <c r="CY51" s="67"/>
      <c r="DA51" s="67" t="s">
        <v>7</v>
      </c>
      <c r="DB51" s="67" t="s">
        <v>308</v>
      </c>
      <c r="DC51" s="67" t="s">
        <v>369</v>
      </c>
      <c r="DD51" s="67"/>
      <c r="DE51" s="214" t="s">
        <v>431</v>
      </c>
      <c r="DF51" s="214"/>
      <c r="DG51" s="214"/>
      <c r="DH51" s="67"/>
      <c r="DI51" s="67"/>
    </row>
    <row r="52" spans="1:113">
      <c r="F52" s="48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115"/>
      <c r="AE52" s="115"/>
      <c r="AF52" s="115"/>
      <c r="AG52" s="115"/>
      <c r="AH52" s="115"/>
      <c r="AI52" s="115"/>
      <c r="AJ52" s="115"/>
      <c r="AK52" s="115"/>
      <c r="AL52" s="115"/>
      <c r="AM52" s="125"/>
      <c r="AN52" s="125"/>
      <c r="AO52" s="125"/>
      <c r="AP52" s="115"/>
      <c r="AQ52" s="125"/>
      <c r="AR52" s="115"/>
      <c r="AS52" s="115"/>
      <c r="AT52" s="115"/>
      <c r="AU52" s="115"/>
      <c r="AV52" s="114"/>
      <c r="AW52" s="114"/>
      <c r="AX52" s="115"/>
      <c r="AY52" s="115"/>
      <c r="AZ52" s="115"/>
      <c r="BA52" s="114"/>
      <c r="BB52" s="115"/>
      <c r="BC52" s="115"/>
      <c r="BD52" s="115"/>
      <c r="BE52" s="115"/>
      <c r="BF52" s="115"/>
      <c r="BG52" s="115"/>
      <c r="BH52" s="115"/>
      <c r="BI52" s="115"/>
      <c r="BJ52" s="115"/>
      <c r="BK52" s="115"/>
      <c r="BL52" s="115"/>
      <c r="BM52" s="115"/>
      <c r="BN52" s="115"/>
      <c r="BO52" s="115"/>
      <c r="BP52" s="115"/>
      <c r="BQ52" s="125"/>
      <c r="BR52" s="125"/>
      <c r="BS52" s="125"/>
      <c r="BT52" s="115"/>
      <c r="BU52" s="125"/>
      <c r="BV52" s="125"/>
      <c r="BW52" s="125"/>
      <c r="BX52" s="125"/>
      <c r="BY52" s="125"/>
      <c r="BZ52" s="115"/>
      <c r="CA52" s="125"/>
      <c r="CB52" s="125"/>
      <c r="CC52" s="125"/>
      <c r="CD52" s="115"/>
      <c r="CE52" s="115"/>
      <c r="CF52" s="115"/>
      <c r="CG52" s="125"/>
      <c r="CH52" s="115"/>
      <c r="CI52" s="115"/>
      <c r="CJ52" s="115"/>
      <c r="CQ52" s="67"/>
      <c r="CR52" s="67"/>
      <c r="CS52" s="67"/>
      <c r="CT52" s="67"/>
      <c r="CU52" s="67" t="s">
        <v>370</v>
      </c>
      <c r="CV52" s="67" t="s">
        <v>399</v>
      </c>
      <c r="CW52" s="67" t="s">
        <v>372</v>
      </c>
      <c r="CX52" s="67"/>
      <c r="CY52" s="67"/>
      <c r="DA52" s="67"/>
      <c r="DB52" s="67"/>
      <c r="DC52" s="67"/>
      <c r="DD52" s="67"/>
      <c r="DE52" s="67" t="s">
        <v>370</v>
      </c>
      <c r="DF52" s="67" t="s">
        <v>399</v>
      </c>
      <c r="DG52" s="67" t="s">
        <v>372</v>
      </c>
      <c r="DH52" s="67"/>
      <c r="DI52" s="67"/>
    </row>
    <row r="53" spans="1:113">
      <c r="B53" s="42" t="s">
        <v>432</v>
      </c>
      <c r="E53" s="42" t="s">
        <v>433</v>
      </c>
      <c r="F53" s="48" t="s">
        <v>434</v>
      </c>
      <c r="G53" s="114">
        <v>839.4</v>
      </c>
      <c r="H53" s="114">
        <v>866.3</v>
      </c>
      <c r="I53" s="115"/>
      <c r="J53" s="114">
        <v>232.3</v>
      </c>
      <c r="K53" s="115">
        <v>99.3</v>
      </c>
      <c r="L53" s="115">
        <v>56.2</v>
      </c>
      <c r="M53" s="115">
        <v>39.1</v>
      </c>
      <c r="N53" s="115"/>
      <c r="O53" s="115">
        <f t="shared" ref="O53:O61" si="44">K53/J53</f>
        <v>0.42746448557899264</v>
      </c>
      <c r="P53" s="115">
        <f t="shared" ref="P53:P61" si="45">L53/J53</f>
        <v>0.24192854068015499</v>
      </c>
      <c r="Q53" s="115">
        <f t="shared" ref="Q53:Q61" si="46">BD53/J53</f>
        <v>0</v>
      </c>
      <c r="R53" s="115">
        <f t="shared" ref="R53:R61" si="47">M53/J53</f>
        <v>0.16831683168316833</v>
      </c>
      <c r="S53" s="115"/>
      <c r="T53" s="114">
        <v>191.9</v>
      </c>
      <c r="U53" s="114">
        <v>252.7</v>
      </c>
      <c r="V53" s="114">
        <v>43.4</v>
      </c>
      <c r="W53" s="115">
        <v>63.4</v>
      </c>
      <c r="X53" s="115"/>
      <c r="Y53" s="114">
        <v>5249.21</v>
      </c>
      <c r="Z53" s="114">
        <v>4054.22</v>
      </c>
      <c r="AA53" s="114">
        <v>5641.88</v>
      </c>
      <c r="AB53" s="114">
        <v>7825.89</v>
      </c>
      <c r="AC53" s="115"/>
      <c r="AD53" s="115"/>
      <c r="AE53" s="115">
        <v>-0.28999999999999998</v>
      </c>
      <c r="AF53" s="115"/>
      <c r="AG53" s="116">
        <v>0.24759999999999999</v>
      </c>
      <c r="AH53" s="116">
        <v>0.40539999999999998</v>
      </c>
      <c r="AI53" s="116">
        <v>0.20549999999999999</v>
      </c>
      <c r="AJ53" s="115"/>
      <c r="AK53" s="115"/>
      <c r="AL53" s="116">
        <v>0.23380000000000001</v>
      </c>
      <c r="AM53" s="125">
        <v>1.07</v>
      </c>
      <c r="AN53" s="125">
        <v>0.45</v>
      </c>
      <c r="AO53" s="125">
        <v>21.93</v>
      </c>
      <c r="AP53" s="115"/>
      <c r="AQ53" s="125">
        <v>23.5</v>
      </c>
      <c r="AR53" s="115"/>
      <c r="AS53" s="115"/>
      <c r="AT53" s="115"/>
      <c r="AU53" s="115"/>
      <c r="AV53" s="114">
        <f t="shared" ref="AV53:AV61" si="48">J53</f>
        <v>232.3</v>
      </c>
      <c r="AW53" s="114">
        <f t="shared" ref="AW53:AW61" si="49">U53</f>
        <v>252.7</v>
      </c>
      <c r="AX53" s="115"/>
      <c r="AY53" s="115"/>
      <c r="AZ53" s="115">
        <f t="shared" ref="AZ53:AZ61" si="50">L53</f>
        <v>56.2</v>
      </c>
      <c r="BA53" s="114">
        <f t="shared" ref="BA53:BA61" si="51">U53</f>
        <v>252.7</v>
      </c>
      <c r="BB53" s="115"/>
      <c r="BC53" s="115"/>
      <c r="BD53" s="115"/>
      <c r="BE53" s="115"/>
      <c r="BF53" s="115"/>
      <c r="BG53" s="115"/>
      <c r="BH53" s="115">
        <f t="shared" ref="BH53:BH61" si="52">P53</f>
        <v>0.24192854068015499</v>
      </c>
      <c r="BI53" s="115"/>
      <c r="BJ53" s="115">
        <f t="shared" ref="BJ53:BJ61" si="53">Y53</f>
        <v>5249.21</v>
      </c>
      <c r="BK53" s="115">
        <f t="shared" ref="BK53:BK61" si="54">AA53</f>
        <v>5641.88</v>
      </c>
      <c r="BL53" s="115">
        <f t="shared" ref="BL53:BL61" si="55">AB53</f>
        <v>7825.89</v>
      </c>
      <c r="BM53" s="115"/>
      <c r="BN53" s="115">
        <f t="shared" ref="BN53:BN61" si="56">(BL53/BJ53)-1</f>
        <v>0.49087005473204548</v>
      </c>
      <c r="BO53" s="115"/>
      <c r="BP53" s="115"/>
      <c r="BQ53" s="125">
        <f t="shared" ref="BQ53:BQ61" si="57">H53/AZ53</f>
        <v>15.414590747330958</v>
      </c>
      <c r="BR53" s="125">
        <v>14.15</v>
      </c>
      <c r="BS53" s="125">
        <v>10.6</v>
      </c>
      <c r="BT53" s="115"/>
      <c r="BU53" s="125">
        <f t="shared" ref="BU53:BU61" si="58">BR53/AW53</f>
        <v>5.5995251286110014E-2</v>
      </c>
      <c r="BV53" s="125">
        <f t="shared" ref="BV53:BV61" si="59">AN53</f>
        <v>0.45</v>
      </c>
      <c r="BW53" s="125">
        <f t="shared" ref="BW53:BW61" si="60">1/AO53</f>
        <v>4.5599635202918376E-2</v>
      </c>
      <c r="BX53" s="125">
        <f t="shared" ref="BX53:BX61" si="61">H53/AV53</f>
        <v>3.7292294446835985</v>
      </c>
      <c r="BY53" s="125" t="s">
        <v>368</v>
      </c>
      <c r="BZ53" s="115"/>
      <c r="CA53" s="125">
        <v>21.65</v>
      </c>
      <c r="CB53" s="125">
        <v>20.45</v>
      </c>
      <c r="CC53" s="125"/>
      <c r="CD53" s="115"/>
      <c r="CE53" s="115">
        <f t="shared" ref="CE53:CE61" si="62">BN53</f>
        <v>0.49087005473204548</v>
      </c>
      <c r="CF53" s="115"/>
      <c r="CG53" s="125">
        <f>CC53/49</f>
        <v>0</v>
      </c>
      <c r="CH53" s="116">
        <v>3.7000000000000002E-3</v>
      </c>
      <c r="CI53" s="115"/>
      <c r="CJ53" s="115">
        <v>-2.33</v>
      </c>
      <c r="CQ53" s="67" t="s">
        <v>435</v>
      </c>
      <c r="CR53" s="129" t="e">
        <f>#REF!</f>
        <v>#REF!</v>
      </c>
      <c r="CS53" s="67" t="s">
        <v>379</v>
      </c>
      <c r="CT53" s="67"/>
      <c r="CU53" s="129" t="e">
        <f>CR53*#REF!</f>
        <v>#REF!</v>
      </c>
      <c r="CV53" s="130" t="e">
        <f>CR53*#REF!</f>
        <v>#REF!</v>
      </c>
      <c r="CW53" s="130" t="e">
        <f>CR53*#REF!</f>
        <v>#REF!</v>
      </c>
      <c r="CX53" s="67"/>
      <c r="CY53" s="67"/>
      <c r="DA53" s="67" t="s">
        <v>435</v>
      </c>
      <c r="DB53" s="129" t="e">
        <f>#REF!</f>
        <v>#REF!</v>
      </c>
      <c r="DC53" s="67" t="s">
        <v>436</v>
      </c>
      <c r="DD53" s="67"/>
      <c r="DE53" s="129" t="e">
        <f>DB53*#REF!</f>
        <v>#REF!</v>
      </c>
      <c r="DF53" s="130" t="e">
        <f>DB53*#REF!</f>
        <v>#REF!</v>
      </c>
      <c r="DG53" s="130" t="e">
        <f>DB53*#REF!</f>
        <v>#REF!</v>
      </c>
      <c r="DH53" s="67"/>
      <c r="DI53" s="67"/>
    </row>
    <row r="54" spans="1:113">
      <c r="F54" s="48"/>
      <c r="G54" s="114"/>
      <c r="H54" s="114"/>
      <c r="I54" s="115"/>
      <c r="J54" s="114"/>
      <c r="K54" s="115"/>
      <c r="L54" s="115"/>
      <c r="M54" s="115"/>
      <c r="N54" s="115"/>
      <c r="O54" s="115"/>
      <c r="P54" s="115"/>
      <c r="Q54" s="115"/>
      <c r="R54" s="115"/>
      <c r="S54" s="115"/>
      <c r="T54" s="114"/>
      <c r="U54" s="114"/>
      <c r="V54" s="114"/>
      <c r="W54" s="115"/>
      <c r="X54" s="115"/>
      <c r="Y54" s="114"/>
      <c r="Z54" s="114"/>
      <c r="AA54" s="114"/>
      <c r="AB54" s="114"/>
      <c r="AC54" s="115"/>
      <c r="AD54" s="115"/>
      <c r="AE54" s="115"/>
      <c r="AF54" s="115"/>
      <c r="AG54" s="116"/>
      <c r="AH54" s="116"/>
      <c r="AI54" s="116"/>
      <c r="AJ54" s="115"/>
      <c r="AK54" s="115"/>
      <c r="AL54" s="116"/>
      <c r="AM54" s="125"/>
      <c r="AN54" s="125"/>
      <c r="AO54" s="125"/>
      <c r="AP54" s="115"/>
      <c r="AQ54" s="125"/>
      <c r="AR54" s="115"/>
      <c r="AS54" s="115"/>
      <c r="AT54" s="115"/>
      <c r="AU54" s="115"/>
      <c r="AV54" s="114"/>
      <c r="AW54" s="114"/>
      <c r="AX54" s="115"/>
      <c r="AY54" s="115"/>
      <c r="AZ54" s="115"/>
      <c r="BA54" s="114"/>
      <c r="BB54" s="115"/>
      <c r="BC54" s="115"/>
      <c r="BD54" s="115"/>
      <c r="BE54" s="115"/>
      <c r="BF54" s="115"/>
      <c r="BG54" s="115"/>
      <c r="BH54" s="115"/>
      <c r="BI54" s="115"/>
      <c r="BJ54" s="115"/>
      <c r="BK54" s="115"/>
      <c r="BL54" s="115"/>
      <c r="BM54" s="115"/>
      <c r="BN54" s="115"/>
      <c r="BO54" s="115"/>
      <c r="BP54" s="115"/>
      <c r="BQ54" s="125"/>
      <c r="BR54" s="125"/>
      <c r="BS54" s="125"/>
      <c r="BT54" s="115"/>
      <c r="BU54" s="125"/>
      <c r="BV54" s="125"/>
      <c r="BW54" s="125"/>
      <c r="BX54" s="125"/>
      <c r="BY54" s="125"/>
      <c r="BZ54" s="115"/>
      <c r="CA54" s="125"/>
      <c r="CB54" s="125"/>
      <c r="CC54" s="125"/>
      <c r="CD54" s="115"/>
      <c r="CE54" s="115"/>
      <c r="CF54" s="115"/>
      <c r="CG54" s="125"/>
      <c r="CH54" s="116"/>
      <c r="CI54" s="115"/>
      <c r="CJ54" s="115"/>
      <c r="CQ54" s="67" t="s">
        <v>350</v>
      </c>
      <c r="CR54" s="129" t="e">
        <f>#REF!</f>
        <v>#REF!</v>
      </c>
      <c r="CS54" s="67" t="s">
        <v>381</v>
      </c>
      <c r="CT54" s="67"/>
      <c r="CU54" s="129" t="e">
        <f>#REF!*CR54</f>
        <v>#REF!</v>
      </c>
      <c r="CV54" s="129" t="e">
        <f>#REF!*CR54</f>
        <v>#REF!</v>
      </c>
      <c r="CW54" s="129" t="e">
        <f>#REF!*CR54</f>
        <v>#REF!</v>
      </c>
      <c r="CX54" s="67"/>
      <c r="CY54" s="67"/>
      <c r="DA54" s="67" t="s">
        <v>350</v>
      </c>
      <c r="DB54" s="129" t="e">
        <f>#REF!</f>
        <v>#REF!</v>
      </c>
      <c r="DC54" s="67" t="s">
        <v>437</v>
      </c>
      <c r="DD54" s="67"/>
      <c r="DE54" s="129" t="e">
        <f>DB54*#REF!</f>
        <v>#REF!</v>
      </c>
      <c r="DF54" s="129" t="e">
        <f>DB54*#REF!</f>
        <v>#REF!</v>
      </c>
      <c r="DG54" s="129" t="e">
        <f>DB54*#REF!</f>
        <v>#REF!</v>
      </c>
      <c r="DH54" s="67"/>
      <c r="DI54" s="67"/>
    </row>
    <row r="55" spans="1:113">
      <c r="B55" s="42" t="s">
        <v>438</v>
      </c>
      <c r="E55" s="42" t="s">
        <v>439</v>
      </c>
      <c r="F55" s="48" t="s">
        <v>428</v>
      </c>
      <c r="G55" s="115">
        <v>668.9</v>
      </c>
      <c r="H55" s="115">
        <v>602</v>
      </c>
      <c r="I55" s="115"/>
      <c r="J55" s="115">
        <v>663.2</v>
      </c>
      <c r="K55" s="115">
        <v>217.9</v>
      </c>
      <c r="L55" s="115">
        <v>76.7</v>
      </c>
      <c r="M55" s="115">
        <v>44.3</v>
      </c>
      <c r="N55" s="115"/>
      <c r="O55" s="115">
        <f t="shared" si="44"/>
        <v>0.32855850422195415</v>
      </c>
      <c r="P55" s="115">
        <f t="shared" si="45"/>
        <v>0.11565138721351025</v>
      </c>
      <c r="Q55" s="115">
        <f t="shared" si="46"/>
        <v>8.1272617611580208E-2</v>
      </c>
      <c r="R55" s="115">
        <f t="shared" si="47"/>
        <v>6.6797346200241248E-2</v>
      </c>
      <c r="S55" s="115"/>
      <c r="T55" s="115">
        <v>638.79999999999995</v>
      </c>
      <c r="U55" s="115">
        <v>723.2</v>
      </c>
      <c r="V55" s="115">
        <v>69.5</v>
      </c>
      <c r="W55" s="115">
        <v>84.8</v>
      </c>
      <c r="X55" s="115"/>
      <c r="Y55" s="115">
        <v>10.24</v>
      </c>
      <c r="Z55" s="115">
        <v>8.85</v>
      </c>
      <c r="AA55" s="115">
        <v>11.51</v>
      </c>
      <c r="AB55" s="115">
        <v>12.44</v>
      </c>
      <c r="AC55" s="115"/>
      <c r="AD55" s="115"/>
      <c r="AE55" s="115">
        <v>0.43099999999999999</v>
      </c>
      <c r="AF55" s="115"/>
      <c r="AG55" s="116">
        <v>0.1283</v>
      </c>
      <c r="AH55" s="116">
        <v>0.16830000000000001</v>
      </c>
      <c r="AI55" s="116">
        <v>9.5299999999999996E-2</v>
      </c>
      <c r="AJ55" s="115"/>
      <c r="AK55" s="115"/>
      <c r="AL55" s="116">
        <v>1.24E-2</v>
      </c>
      <c r="AM55" s="125" t="s">
        <v>368</v>
      </c>
      <c r="AN55" s="125" t="s">
        <v>368</v>
      </c>
      <c r="AO55" s="125" t="s">
        <v>368</v>
      </c>
      <c r="AP55" s="115"/>
      <c r="AQ55" s="125">
        <v>98.66</v>
      </c>
      <c r="AR55" s="115"/>
      <c r="AS55" s="115"/>
      <c r="AT55" s="115"/>
      <c r="AU55" s="115"/>
      <c r="AV55" s="114">
        <f t="shared" si="48"/>
        <v>663.2</v>
      </c>
      <c r="AW55" s="114">
        <f t="shared" si="49"/>
        <v>723.2</v>
      </c>
      <c r="AX55" s="115">
        <v>764</v>
      </c>
      <c r="AY55" s="115"/>
      <c r="AZ55" s="115">
        <f t="shared" si="50"/>
        <v>76.7</v>
      </c>
      <c r="BA55" s="114">
        <f t="shared" si="51"/>
        <v>723.2</v>
      </c>
      <c r="BB55" s="115">
        <v>90.8</v>
      </c>
      <c r="BC55" s="115"/>
      <c r="BD55" s="115">
        <v>53.9</v>
      </c>
      <c r="BE55" s="115">
        <v>60.7</v>
      </c>
      <c r="BF55" s="115">
        <v>64.7</v>
      </c>
      <c r="BG55" s="115"/>
      <c r="BH55" s="115">
        <f t="shared" si="52"/>
        <v>0.11565138721351025</v>
      </c>
      <c r="BI55" s="115"/>
      <c r="BJ55" s="115">
        <f t="shared" si="53"/>
        <v>10.24</v>
      </c>
      <c r="BK55" s="115">
        <f t="shared" si="54"/>
        <v>11.51</v>
      </c>
      <c r="BL55" s="115">
        <f t="shared" si="55"/>
        <v>12.44</v>
      </c>
      <c r="BM55" s="115"/>
      <c r="BN55" s="115">
        <f t="shared" si="56"/>
        <v>0.21484375</v>
      </c>
      <c r="BO55" s="115"/>
      <c r="BP55" s="115"/>
      <c r="BQ55" s="125">
        <f t="shared" si="57"/>
        <v>7.8487614080834414</v>
      </c>
      <c r="BR55" s="125">
        <v>6.96</v>
      </c>
      <c r="BS55" s="125">
        <v>6.5</v>
      </c>
      <c r="BT55" s="115"/>
      <c r="BU55" s="125">
        <f t="shared" si="58"/>
        <v>9.6238938053097335E-3</v>
      </c>
      <c r="BV55" s="125" t="str">
        <f t="shared" si="59"/>
        <v>-</v>
      </c>
      <c r="BW55" s="125" t="e">
        <f t="shared" si="60"/>
        <v>#VALUE!</v>
      </c>
      <c r="BX55" s="125">
        <f t="shared" si="61"/>
        <v>0.90772014475271401</v>
      </c>
      <c r="BY55" s="125">
        <f t="shared" ref="BY55:BY61" si="63">H55/BD55</f>
        <v>11.168831168831169</v>
      </c>
      <c r="BZ55" s="115"/>
      <c r="CA55" s="125">
        <v>13.65</v>
      </c>
      <c r="CB55" s="125">
        <v>13.37</v>
      </c>
      <c r="CC55" s="125">
        <v>12.38</v>
      </c>
      <c r="CD55" s="115"/>
      <c r="CE55" s="115">
        <f t="shared" si="62"/>
        <v>0.21484375</v>
      </c>
      <c r="CF55" s="115"/>
      <c r="CG55" s="125">
        <f>CC55/21/48</f>
        <v>1.2281746031746033E-2</v>
      </c>
      <c r="CH55" s="116">
        <v>6.0499999999999998E-2</v>
      </c>
      <c r="CI55" s="115"/>
      <c r="CJ55" s="115">
        <v>9.7200000000000006</v>
      </c>
      <c r="CQ55" s="67" t="s">
        <v>351</v>
      </c>
      <c r="CR55" s="67" t="e">
        <f>#REF!</f>
        <v>#REF!</v>
      </c>
      <c r="CS55" s="67" t="s">
        <v>440</v>
      </c>
      <c r="CT55" s="67"/>
      <c r="CU55" s="67" t="e">
        <f>CR55*#REF!</f>
        <v>#REF!</v>
      </c>
      <c r="CV55" s="67" t="e">
        <f>CR55*#REF!</f>
        <v>#REF!</v>
      </c>
      <c r="CW55" s="67" t="e">
        <f>CR55*#REF!</f>
        <v>#REF!</v>
      </c>
      <c r="CX55" s="67"/>
      <c r="CY55" s="67"/>
      <c r="DA55" s="67" t="s">
        <v>351</v>
      </c>
      <c r="DB55" s="129" t="e">
        <f>#REF!</f>
        <v>#REF!</v>
      </c>
      <c r="DC55" s="67" t="s">
        <v>441</v>
      </c>
      <c r="DD55" s="67"/>
      <c r="DE55" s="129" t="e">
        <f>DB55*#REF!</f>
        <v>#REF!</v>
      </c>
      <c r="DF55" s="129" t="e">
        <f>DB55*#REF!</f>
        <v>#REF!</v>
      </c>
      <c r="DG55" s="129" t="e">
        <f>DB55*#REF!</f>
        <v>#REF!</v>
      </c>
      <c r="DH55" s="67"/>
      <c r="DI55" s="67"/>
    </row>
    <row r="56" spans="1:113" ht="14.65" customHeight="1">
      <c r="F56" s="48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15"/>
      <c r="AE56" s="115"/>
      <c r="AF56" s="115"/>
      <c r="AG56" s="115"/>
      <c r="AH56" s="115"/>
      <c r="AI56" s="115"/>
      <c r="AJ56" s="115"/>
      <c r="AK56" s="115"/>
      <c r="AL56" s="115"/>
      <c r="AM56" s="125"/>
      <c r="AN56" s="125"/>
      <c r="AO56" s="125"/>
      <c r="AP56" s="115"/>
      <c r="AQ56" s="125"/>
      <c r="AR56" s="115"/>
      <c r="AS56" s="115"/>
      <c r="AT56" s="115"/>
      <c r="AU56" s="115"/>
      <c r="AV56" s="114"/>
      <c r="AW56" s="114"/>
      <c r="AX56" s="115"/>
      <c r="AY56" s="115"/>
      <c r="AZ56" s="115"/>
      <c r="BA56" s="114"/>
      <c r="BB56" s="115"/>
      <c r="BC56" s="115"/>
      <c r="BD56" s="115"/>
      <c r="BE56" s="115"/>
      <c r="BF56" s="115"/>
      <c r="BG56" s="115"/>
      <c r="BH56" s="115"/>
      <c r="BI56" s="115"/>
      <c r="BJ56" s="115"/>
      <c r="BK56" s="115"/>
      <c r="BL56" s="115"/>
      <c r="BM56" s="115"/>
      <c r="BN56" s="115"/>
      <c r="BO56" s="115"/>
      <c r="BP56" s="115"/>
      <c r="BQ56" s="125"/>
      <c r="BR56" s="125"/>
      <c r="BS56" s="125"/>
      <c r="BT56" s="115"/>
      <c r="BU56" s="125"/>
      <c r="BV56" s="125"/>
      <c r="BW56" s="125"/>
      <c r="BX56" s="125"/>
      <c r="BY56" s="125"/>
      <c r="BZ56" s="115"/>
      <c r="CA56" s="125"/>
      <c r="CB56" s="125"/>
      <c r="CC56" s="125"/>
      <c r="CD56" s="115"/>
      <c r="CE56" s="115"/>
      <c r="CF56" s="115"/>
      <c r="CG56" s="125"/>
      <c r="CH56" s="115"/>
      <c r="CI56" s="115"/>
      <c r="CJ56" s="115"/>
      <c r="CQ56" s="67"/>
      <c r="CR56" s="67"/>
      <c r="CS56" s="211" t="s">
        <v>442</v>
      </c>
      <c r="CT56" s="211"/>
      <c r="CU56" s="211"/>
      <c r="CV56" s="211"/>
      <c r="CW56" s="211"/>
      <c r="CX56" s="211"/>
      <c r="CY56" s="211"/>
      <c r="CZ56" s="211"/>
      <c r="DA56" s="211"/>
      <c r="DB56" s="211"/>
      <c r="DC56" s="211"/>
      <c r="DD56" s="67"/>
      <c r="DE56" s="67"/>
      <c r="DF56" s="67"/>
      <c r="DG56" s="67"/>
      <c r="DH56" s="67"/>
      <c r="DI56" s="67"/>
    </row>
    <row r="57" spans="1:113">
      <c r="B57" s="42" t="s">
        <v>443</v>
      </c>
      <c r="E57" s="42" t="s">
        <v>444</v>
      </c>
      <c r="F57" s="48" t="s">
        <v>445</v>
      </c>
      <c r="G57" s="115">
        <v>564.4</v>
      </c>
      <c r="H57" s="114">
        <v>1150.5999999999999</v>
      </c>
      <c r="I57" s="115"/>
      <c r="J57" s="114">
        <v>1099.8</v>
      </c>
      <c r="K57" s="115">
        <v>373.6</v>
      </c>
      <c r="L57" s="115">
        <v>245.5</v>
      </c>
      <c r="M57" s="115">
        <v>65.099999999999994</v>
      </c>
      <c r="N57" s="115"/>
      <c r="O57" s="115">
        <f t="shared" si="44"/>
        <v>0.3396981269321695</v>
      </c>
      <c r="P57" s="115">
        <f t="shared" si="45"/>
        <v>0.22322240407346791</v>
      </c>
      <c r="Q57" s="115">
        <f t="shared" si="46"/>
        <v>0.18939807237679579</v>
      </c>
      <c r="R57" s="115">
        <f t="shared" si="47"/>
        <v>5.9192580469176213E-2</v>
      </c>
      <c r="S57" s="115"/>
      <c r="T57" s="114">
        <v>1106</v>
      </c>
      <c r="U57" s="114">
        <v>1137.7</v>
      </c>
      <c r="V57" s="115">
        <v>250.2</v>
      </c>
      <c r="W57" s="115">
        <v>250.9</v>
      </c>
      <c r="X57" s="115"/>
      <c r="Y57" s="115">
        <v>7.41</v>
      </c>
      <c r="Z57" s="115">
        <v>8.69</v>
      </c>
      <c r="AA57" s="115">
        <v>11.48</v>
      </c>
      <c r="AB57" s="115">
        <v>12.51</v>
      </c>
      <c r="AC57" s="115"/>
      <c r="AD57" s="115"/>
      <c r="AE57" s="115">
        <v>0.52700000000000002</v>
      </c>
      <c r="AF57" s="115"/>
      <c r="AG57" s="116">
        <v>8.1900000000000001E-2</v>
      </c>
      <c r="AH57" s="116">
        <v>0.1048</v>
      </c>
      <c r="AI57" s="116">
        <v>3.4599999999999999E-2</v>
      </c>
      <c r="AJ57" s="115"/>
      <c r="AK57" s="115"/>
      <c r="AL57" s="116">
        <v>0.35210000000000002</v>
      </c>
      <c r="AM57" s="125">
        <v>2.85</v>
      </c>
      <c r="AN57" s="125">
        <v>0.76</v>
      </c>
      <c r="AO57" s="125">
        <v>17.53</v>
      </c>
      <c r="AP57" s="115"/>
      <c r="AQ57" s="125">
        <v>6.84</v>
      </c>
      <c r="AR57" s="115"/>
      <c r="AS57" s="115"/>
      <c r="AT57" s="115"/>
      <c r="AU57" s="115"/>
      <c r="AV57" s="114">
        <f t="shared" si="48"/>
        <v>1099.8</v>
      </c>
      <c r="AW57" s="114">
        <f t="shared" si="49"/>
        <v>1137.7</v>
      </c>
      <c r="AX57" s="114">
        <v>1195.2</v>
      </c>
      <c r="AY57" s="115"/>
      <c r="AZ57" s="115">
        <f t="shared" si="50"/>
        <v>245.5</v>
      </c>
      <c r="BA57" s="114">
        <f t="shared" si="51"/>
        <v>1137.7</v>
      </c>
      <c r="BB57" s="115">
        <v>264.7</v>
      </c>
      <c r="BC57" s="115"/>
      <c r="BD57" s="115">
        <v>208.3</v>
      </c>
      <c r="BE57" s="115">
        <v>215.8</v>
      </c>
      <c r="BF57" s="115">
        <v>227.2</v>
      </c>
      <c r="BG57" s="115"/>
      <c r="BH57" s="115">
        <f t="shared" si="52"/>
        <v>0.22322240407346791</v>
      </c>
      <c r="BI57" s="115"/>
      <c r="BJ57" s="115">
        <f t="shared" si="53"/>
        <v>7.41</v>
      </c>
      <c r="BK57" s="115">
        <f t="shared" si="54"/>
        <v>11.48</v>
      </c>
      <c r="BL57" s="115">
        <f t="shared" si="55"/>
        <v>12.51</v>
      </c>
      <c r="BM57" s="115"/>
      <c r="BN57" s="115">
        <f t="shared" si="56"/>
        <v>0.68825910931174072</v>
      </c>
      <c r="BO57" s="115"/>
      <c r="BP57" s="115"/>
      <c r="BQ57" s="125">
        <f t="shared" si="57"/>
        <v>4.6867617107942969</v>
      </c>
      <c r="BR57" s="125">
        <v>4.76</v>
      </c>
      <c r="BS57" s="125">
        <v>4.51</v>
      </c>
      <c r="BT57" s="115"/>
      <c r="BU57" s="125">
        <f t="shared" si="58"/>
        <v>4.183879757405291E-3</v>
      </c>
      <c r="BV57" s="125">
        <f t="shared" si="59"/>
        <v>0.76</v>
      </c>
      <c r="BW57" s="125">
        <f t="shared" si="60"/>
        <v>5.7045065601825436E-2</v>
      </c>
      <c r="BX57" s="125">
        <f t="shared" si="61"/>
        <v>1.0461902164029824</v>
      </c>
      <c r="BY57" s="125">
        <f t="shared" si="63"/>
        <v>5.5237638022083528</v>
      </c>
      <c r="BZ57" s="115"/>
      <c r="CA57" s="125">
        <v>7.84</v>
      </c>
      <c r="CB57" s="125">
        <v>5.67</v>
      </c>
      <c r="CC57" s="125">
        <v>5.2</v>
      </c>
      <c r="CD57" s="115"/>
      <c r="CE57" s="115">
        <f t="shared" si="62"/>
        <v>0.68825910931174072</v>
      </c>
      <c r="CF57" s="115"/>
      <c r="CG57" s="125">
        <f>CC57/68.8</f>
        <v>7.5581395348837219E-2</v>
      </c>
      <c r="CH57" s="116">
        <v>4.0399999999999998E-2</v>
      </c>
      <c r="CI57" s="115"/>
      <c r="CJ57" s="115">
        <v>19.399999999999999</v>
      </c>
      <c r="CQ57" s="67"/>
      <c r="CR57" s="67"/>
      <c r="CS57" s="212" t="s">
        <v>327</v>
      </c>
      <c r="CT57" s="212"/>
      <c r="CU57" s="212"/>
      <c r="CV57" s="212"/>
      <c r="CW57" s="212"/>
      <c r="CX57" s="174"/>
      <c r="CY57" s="174"/>
      <c r="CZ57" s="174"/>
      <c r="DA57" s="174"/>
      <c r="DB57" s="174"/>
      <c r="DC57" s="174"/>
      <c r="DD57" s="174"/>
      <c r="DE57" s="174"/>
      <c r="DF57" s="67"/>
      <c r="DG57" s="67"/>
      <c r="DH57" s="67"/>
      <c r="DI57" s="67"/>
    </row>
    <row r="58" spans="1:113">
      <c r="F58" s="48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  <c r="AH58" s="115"/>
      <c r="AI58" s="115"/>
      <c r="AJ58" s="115"/>
      <c r="AK58" s="115"/>
      <c r="AL58" s="115"/>
      <c r="AM58" s="125"/>
      <c r="AN58" s="125"/>
      <c r="AO58" s="125"/>
      <c r="AP58" s="115"/>
      <c r="AQ58" s="125"/>
      <c r="AR58" s="115"/>
      <c r="AS58" s="115"/>
      <c r="AT58" s="115"/>
      <c r="AU58" s="115"/>
      <c r="AV58" s="114"/>
      <c r="AW58" s="114"/>
      <c r="AX58" s="115"/>
      <c r="AY58" s="115"/>
      <c r="AZ58" s="115"/>
      <c r="BA58" s="114"/>
      <c r="BB58" s="115"/>
      <c r="BC58" s="115"/>
      <c r="BD58" s="115"/>
      <c r="BE58" s="115"/>
      <c r="BF58" s="115"/>
      <c r="BG58" s="115"/>
      <c r="BH58" s="115"/>
      <c r="BI58" s="115"/>
      <c r="BJ58" s="115"/>
      <c r="BK58" s="115"/>
      <c r="BL58" s="115"/>
      <c r="BM58" s="115"/>
      <c r="BN58" s="115"/>
      <c r="BO58" s="115"/>
      <c r="BP58" s="115"/>
      <c r="BQ58" s="125"/>
      <c r="BR58" s="125"/>
      <c r="BS58" s="125"/>
      <c r="BT58" s="115"/>
      <c r="BU58" s="125"/>
      <c r="BV58" s="125"/>
      <c r="BW58" s="125"/>
      <c r="BX58" s="125"/>
      <c r="BY58" s="125"/>
      <c r="BZ58" s="115"/>
      <c r="CA58" s="125"/>
      <c r="CB58" s="125"/>
      <c r="CC58" s="125"/>
      <c r="CD58" s="115"/>
      <c r="CE58" s="115"/>
      <c r="CF58" s="115"/>
      <c r="CG58" s="125"/>
      <c r="CH58" s="115"/>
      <c r="CI58" s="115"/>
      <c r="CJ58" s="115"/>
      <c r="CQ58" s="67"/>
      <c r="CR58" s="67"/>
      <c r="CS58" s="174" t="s">
        <v>7</v>
      </c>
      <c r="CT58" s="174" t="s">
        <v>370</v>
      </c>
      <c r="CU58" s="174" t="s">
        <v>372</v>
      </c>
      <c r="CV58" s="174" t="s">
        <v>371</v>
      </c>
      <c r="CW58" s="174"/>
      <c r="CX58" s="174" t="s">
        <v>7</v>
      </c>
      <c r="CY58" s="174" t="s">
        <v>370</v>
      </c>
      <c r="CZ58" s="174" t="s">
        <v>372</v>
      </c>
      <c r="DA58" s="174" t="s">
        <v>371</v>
      </c>
      <c r="DB58" s="174"/>
      <c r="DC58" s="174"/>
      <c r="DD58" s="174"/>
      <c r="DE58" s="174"/>
      <c r="DF58" s="67"/>
      <c r="DG58" s="67"/>
      <c r="DH58" s="67"/>
      <c r="DI58" s="67"/>
    </row>
    <row r="59" spans="1:113">
      <c r="B59" s="42" t="s">
        <v>446</v>
      </c>
      <c r="E59" s="42" t="s">
        <v>447</v>
      </c>
      <c r="F59" s="48" t="s">
        <v>434</v>
      </c>
      <c r="G59" s="115">
        <v>271.5</v>
      </c>
      <c r="H59" s="115">
        <v>168.4</v>
      </c>
      <c r="I59" s="115"/>
      <c r="J59" s="115">
        <v>369.3</v>
      </c>
      <c r="K59" s="115">
        <v>104.4</v>
      </c>
      <c r="L59" s="115">
        <v>31.3</v>
      </c>
      <c r="M59" s="115">
        <v>16.8</v>
      </c>
      <c r="N59" s="115"/>
      <c r="O59" s="115">
        <f t="shared" si="44"/>
        <v>0.28269699431356621</v>
      </c>
      <c r="P59" s="115">
        <f t="shared" si="45"/>
        <v>8.4754941781749249E-2</v>
      </c>
      <c r="Q59" s="115">
        <f t="shared" si="46"/>
        <v>4.8740861088545896E-2</v>
      </c>
      <c r="R59" s="115">
        <f t="shared" si="47"/>
        <v>4.5491470349309504E-2</v>
      </c>
      <c r="S59" s="115"/>
      <c r="T59" s="115">
        <v>381.8</v>
      </c>
      <c r="U59" s="115">
        <v>379.3</v>
      </c>
      <c r="V59" s="115">
        <v>31.4</v>
      </c>
      <c r="W59" s="115">
        <v>34.299999999999997</v>
      </c>
      <c r="X59" s="115"/>
      <c r="Y59" s="114">
        <v>2785.26</v>
      </c>
      <c r="Z59" s="114">
        <v>2874.6</v>
      </c>
      <c r="AA59" s="114">
        <v>3183.02</v>
      </c>
      <c r="AB59" s="114">
        <v>3592.25</v>
      </c>
      <c r="AC59" s="115"/>
      <c r="AD59" s="115"/>
      <c r="AE59" s="115">
        <v>8.4000000000000005E-2</v>
      </c>
      <c r="AF59" s="115"/>
      <c r="AG59" s="116">
        <v>4.58E-2</v>
      </c>
      <c r="AH59" s="116">
        <v>5.9499999999999997E-2</v>
      </c>
      <c r="AI59" s="116">
        <v>4.3999999999999997E-2</v>
      </c>
      <c r="AJ59" s="115"/>
      <c r="AK59" s="115"/>
      <c r="AL59" s="116">
        <v>5.6500000000000002E-2</v>
      </c>
      <c r="AM59" s="125">
        <v>0.6</v>
      </c>
      <c r="AN59" s="125">
        <v>-3.32</v>
      </c>
      <c r="AO59" s="125">
        <v>-35.380000000000003</v>
      </c>
      <c r="AP59" s="115"/>
      <c r="AQ59" s="125">
        <v>46.47</v>
      </c>
      <c r="AR59" s="115"/>
      <c r="AS59" s="115"/>
      <c r="AT59" s="115"/>
      <c r="AU59" s="115"/>
      <c r="AV59" s="114">
        <f t="shared" si="48"/>
        <v>369.3</v>
      </c>
      <c r="AW59" s="114">
        <f t="shared" si="49"/>
        <v>379.3</v>
      </c>
      <c r="AX59" s="115" t="s">
        <v>368</v>
      </c>
      <c r="AY59" s="115"/>
      <c r="AZ59" s="115">
        <f t="shared" si="50"/>
        <v>31.3</v>
      </c>
      <c r="BA59" s="114">
        <f t="shared" si="51"/>
        <v>379.3</v>
      </c>
      <c r="BB59" s="115" t="s">
        <v>368</v>
      </c>
      <c r="BC59" s="115"/>
      <c r="BD59" s="115">
        <v>18</v>
      </c>
      <c r="BE59" s="115">
        <v>23.9</v>
      </c>
      <c r="BF59" s="115" t="s">
        <v>368</v>
      </c>
      <c r="BG59" s="115"/>
      <c r="BH59" s="115">
        <f t="shared" si="52"/>
        <v>8.4754941781749249E-2</v>
      </c>
      <c r="BI59" s="115"/>
      <c r="BJ59" s="115">
        <f t="shared" si="53"/>
        <v>2785.26</v>
      </c>
      <c r="BK59" s="115">
        <f t="shared" si="54"/>
        <v>3183.02</v>
      </c>
      <c r="BL59" s="115">
        <f t="shared" si="55"/>
        <v>3592.25</v>
      </c>
      <c r="BM59" s="115"/>
      <c r="BN59" s="115">
        <f t="shared" si="56"/>
        <v>0.28973596719875339</v>
      </c>
      <c r="BO59" s="115"/>
      <c r="BP59" s="115"/>
      <c r="BQ59" s="125">
        <f t="shared" si="57"/>
        <v>5.380191693290735</v>
      </c>
      <c r="BR59" s="125">
        <v>4.49</v>
      </c>
      <c r="BS59" s="125" t="s">
        <v>368</v>
      </c>
      <c r="BT59" s="115"/>
      <c r="BU59" s="125">
        <f t="shared" si="58"/>
        <v>1.1837595570788294E-2</v>
      </c>
      <c r="BV59" s="125">
        <f t="shared" si="59"/>
        <v>-3.32</v>
      </c>
      <c r="BW59" s="125">
        <f t="shared" si="60"/>
        <v>-2.826455624646693E-2</v>
      </c>
      <c r="BX59" s="125">
        <f t="shared" si="61"/>
        <v>0.4559978337395072</v>
      </c>
      <c r="BY59" s="125">
        <f t="shared" si="63"/>
        <v>9.3555555555555561</v>
      </c>
      <c r="BZ59" s="115"/>
      <c r="CA59" s="125">
        <v>14.82</v>
      </c>
      <c r="CB59" s="125">
        <v>14.18</v>
      </c>
      <c r="CC59" s="125" t="s">
        <v>368</v>
      </c>
      <c r="CD59" s="115"/>
      <c r="CE59" s="115">
        <f t="shared" si="62"/>
        <v>0.28973596719875339</v>
      </c>
      <c r="CF59" s="115"/>
      <c r="CG59" s="125" t="s">
        <v>368</v>
      </c>
      <c r="CH59" s="115" t="s">
        <v>368</v>
      </c>
      <c r="CI59" s="115"/>
      <c r="CJ59" s="115">
        <v>8.67</v>
      </c>
      <c r="CQ59" s="67"/>
      <c r="CR59" s="67"/>
      <c r="CS59" s="174" t="s">
        <v>448</v>
      </c>
      <c r="CT59" s="179">
        <f>AG25</f>
        <v>3.8650000000000004E-2</v>
      </c>
      <c r="CU59" s="179">
        <f>AG26</f>
        <v>6.4299999999999996E-2</v>
      </c>
      <c r="CV59" s="179">
        <f t="shared" ref="CV59:CV67" si="64">CU59-CT59</f>
        <v>2.5649999999999992E-2</v>
      </c>
      <c r="CW59" s="174"/>
      <c r="CX59" s="174" t="s">
        <v>378</v>
      </c>
      <c r="CY59" s="179">
        <f>AH25</f>
        <v>4.7850000000000004E-2</v>
      </c>
      <c r="CZ59" s="179">
        <v>9.9000000000000005E-2</v>
      </c>
      <c r="DA59" s="174"/>
      <c r="DB59" s="174"/>
      <c r="DC59" s="174"/>
      <c r="DD59" s="174"/>
      <c r="DE59" s="174"/>
      <c r="DF59" s="67"/>
      <c r="DG59" s="67"/>
      <c r="DH59" s="67"/>
      <c r="DI59" s="67"/>
    </row>
    <row r="60" spans="1:113">
      <c r="F60" s="48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115"/>
      <c r="AE60" s="115"/>
      <c r="AF60" s="115"/>
      <c r="AG60" s="115"/>
      <c r="AH60" s="115"/>
      <c r="AI60" s="115"/>
      <c r="AJ60" s="115"/>
      <c r="AK60" s="115"/>
      <c r="AL60" s="115"/>
      <c r="AM60" s="125"/>
      <c r="AN60" s="125"/>
      <c r="AO60" s="125"/>
      <c r="AP60" s="115"/>
      <c r="AQ60" s="125"/>
      <c r="AR60" s="115"/>
      <c r="AS60" s="115"/>
      <c r="AT60" s="115"/>
      <c r="AU60" s="115"/>
      <c r="AV60" s="114"/>
      <c r="AW60" s="114"/>
      <c r="AX60" s="115"/>
      <c r="AY60" s="115"/>
      <c r="AZ60" s="115"/>
      <c r="BA60" s="114"/>
      <c r="BB60" s="115"/>
      <c r="BC60" s="115"/>
      <c r="BD60" s="115"/>
      <c r="BE60" s="115"/>
      <c r="BF60" s="115"/>
      <c r="BG60" s="115"/>
      <c r="BH60" s="115"/>
      <c r="BI60" s="115"/>
      <c r="BJ60" s="115"/>
      <c r="BK60" s="115"/>
      <c r="BL60" s="115"/>
      <c r="BM60" s="115"/>
      <c r="BN60" s="115"/>
      <c r="BO60" s="115"/>
      <c r="BP60" s="115"/>
      <c r="BQ60" s="125"/>
      <c r="BR60" s="125"/>
      <c r="BS60" s="125"/>
      <c r="BT60" s="115"/>
      <c r="BU60" s="125"/>
      <c r="BV60" s="125"/>
      <c r="BW60" s="125"/>
      <c r="BX60" s="125"/>
      <c r="BY60" s="125"/>
      <c r="BZ60" s="115"/>
      <c r="CA60" s="125"/>
      <c r="CB60" s="125"/>
      <c r="CC60" s="125"/>
      <c r="CD60" s="115"/>
      <c r="CE60" s="115"/>
      <c r="CF60" s="115"/>
      <c r="CG60" s="125"/>
      <c r="CH60" s="115"/>
      <c r="CI60" s="115"/>
      <c r="CJ60" s="115"/>
      <c r="CS60" s="174" t="s">
        <v>449</v>
      </c>
      <c r="CT60" s="179">
        <f>AH25</f>
        <v>4.7850000000000004E-2</v>
      </c>
      <c r="CU60" s="179">
        <v>9.9000000000000005E-2</v>
      </c>
      <c r="CV60" s="179">
        <f t="shared" si="64"/>
        <v>5.1150000000000001E-2</v>
      </c>
      <c r="CW60" s="174"/>
      <c r="CX60" s="174" t="s">
        <v>403</v>
      </c>
      <c r="CY60" s="174"/>
      <c r="CZ60" s="174"/>
      <c r="DA60" s="174"/>
      <c r="DB60" s="174"/>
      <c r="DC60" s="174"/>
      <c r="DD60" s="174"/>
      <c r="DE60" s="174"/>
    </row>
    <row r="61" spans="1:113">
      <c r="B61" s="42" t="s">
        <v>450</v>
      </c>
      <c r="E61" s="42" t="s">
        <v>451</v>
      </c>
      <c r="F61" s="48" t="s">
        <v>452</v>
      </c>
      <c r="G61" s="114">
        <v>4043.3</v>
      </c>
      <c r="H61" s="114">
        <v>6088.3</v>
      </c>
      <c r="I61" s="115"/>
      <c r="J61" s="114">
        <v>2804.6</v>
      </c>
      <c r="K61" s="115">
        <v>950.6</v>
      </c>
      <c r="L61" s="115">
        <v>550</v>
      </c>
      <c r="M61" s="115">
        <v>300.8</v>
      </c>
      <c r="N61" s="115"/>
      <c r="O61" s="115">
        <f t="shared" si="44"/>
        <v>0.33894316480068459</v>
      </c>
      <c r="P61" s="115">
        <f t="shared" si="45"/>
        <v>0.19610639663410112</v>
      </c>
      <c r="Q61" s="115">
        <f t="shared" si="46"/>
        <v>0.16729658418312773</v>
      </c>
      <c r="R61" s="115">
        <f t="shared" si="47"/>
        <v>0.10725237110461386</v>
      </c>
      <c r="S61" s="115"/>
      <c r="T61" s="114">
        <v>2931</v>
      </c>
      <c r="U61" s="114">
        <v>2919.2</v>
      </c>
      <c r="V61" s="115">
        <v>632.4</v>
      </c>
      <c r="W61" s="115">
        <v>547.70000000000005</v>
      </c>
      <c r="X61" s="115"/>
      <c r="Y61" s="115">
        <v>549.65</v>
      </c>
      <c r="Z61" s="115">
        <v>667.89</v>
      </c>
      <c r="AA61" s="115">
        <v>573.16999999999996</v>
      </c>
      <c r="AB61" s="115">
        <v>584.24</v>
      </c>
      <c r="AC61" s="115"/>
      <c r="AD61" s="115"/>
      <c r="AE61" s="115">
        <v>-0.192</v>
      </c>
      <c r="AF61" s="115"/>
      <c r="AG61" s="116">
        <v>0.10199999999999999</v>
      </c>
      <c r="AH61" s="116">
        <v>0.2175</v>
      </c>
      <c r="AI61" s="116">
        <v>6.1100000000000002E-2</v>
      </c>
      <c r="AJ61" s="115"/>
      <c r="AK61" s="115"/>
      <c r="AL61" s="116">
        <v>0.46250000000000002</v>
      </c>
      <c r="AM61" s="125">
        <v>3.73</v>
      </c>
      <c r="AN61" s="125">
        <v>3.54</v>
      </c>
      <c r="AO61" s="125">
        <v>139.9</v>
      </c>
      <c r="AP61" s="115"/>
      <c r="AQ61" s="125">
        <v>7.32</v>
      </c>
      <c r="AR61" s="115"/>
      <c r="AS61" s="115"/>
      <c r="AT61" s="115"/>
      <c r="AU61" s="115"/>
      <c r="AV61" s="114">
        <f t="shared" si="48"/>
        <v>2804.6</v>
      </c>
      <c r="AW61" s="114">
        <f t="shared" si="49"/>
        <v>2919.2</v>
      </c>
      <c r="AX61" s="114">
        <v>2897.5</v>
      </c>
      <c r="AY61" s="115"/>
      <c r="AZ61" s="115">
        <f t="shared" si="50"/>
        <v>550</v>
      </c>
      <c r="BA61" s="114">
        <f t="shared" si="51"/>
        <v>2919.2</v>
      </c>
      <c r="BB61" s="115">
        <v>550.4</v>
      </c>
      <c r="BC61" s="115"/>
      <c r="BD61" s="115">
        <v>469.2</v>
      </c>
      <c r="BE61" s="115">
        <v>458.7</v>
      </c>
      <c r="BF61" s="115">
        <v>460</v>
      </c>
      <c r="BG61" s="115"/>
      <c r="BH61" s="115">
        <f t="shared" si="52"/>
        <v>0.19610639663410112</v>
      </c>
      <c r="BI61" s="115"/>
      <c r="BJ61" s="115">
        <f t="shared" si="53"/>
        <v>549.65</v>
      </c>
      <c r="BK61" s="115">
        <f t="shared" si="54"/>
        <v>573.16999999999996</v>
      </c>
      <c r="BL61" s="115">
        <f t="shared" si="55"/>
        <v>584.24</v>
      </c>
      <c r="BM61" s="115"/>
      <c r="BN61" s="115">
        <f t="shared" si="56"/>
        <v>6.2930956062949184E-2</v>
      </c>
      <c r="BO61" s="115"/>
      <c r="BP61" s="115"/>
      <c r="BQ61" s="125">
        <f t="shared" si="57"/>
        <v>11.069636363636365</v>
      </c>
      <c r="BR61" s="125">
        <v>11.12</v>
      </c>
      <c r="BS61" s="125">
        <v>11.06</v>
      </c>
      <c r="BT61" s="115"/>
      <c r="BU61" s="125">
        <f t="shared" si="58"/>
        <v>3.809262811729241E-3</v>
      </c>
      <c r="BV61" s="125">
        <f t="shared" si="59"/>
        <v>3.54</v>
      </c>
      <c r="BW61" s="125">
        <f t="shared" si="60"/>
        <v>7.1479628305932807E-3</v>
      </c>
      <c r="BX61" s="125">
        <f t="shared" si="61"/>
        <v>2.1708264993225415</v>
      </c>
      <c r="BY61" s="125">
        <f t="shared" si="63"/>
        <v>12.975916453537938</v>
      </c>
      <c r="BZ61" s="115"/>
      <c r="CA61" s="125">
        <v>13.14</v>
      </c>
      <c r="CB61" s="125">
        <v>13.22</v>
      </c>
      <c r="CC61" s="125">
        <v>12.97</v>
      </c>
      <c r="CD61" s="115"/>
      <c r="CE61" s="115">
        <f t="shared" si="62"/>
        <v>6.2930956062949184E-2</v>
      </c>
      <c r="CF61" s="115"/>
      <c r="CG61" s="125">
        <f>CC61/6.2</f>
        <v>2.0919354838709676</v>
      </c>
      <c r="CH61" s="116">
        <v>5.0200000000000002E-2</v>
      </c>
      <c r="CI61" s="115"/>
      <c r="CJ61" s="115">
        <v>6.78</v>
      </c>
      <c r="CS61" s="174" t="s">
        <v>453</v>
      </c>
      <c r="CT61" s="179">
        <f>AI25</f>
        <v>3.1300000000000001E-2</v>
      </c>
      <c r="CU61" s="179">
        <v>5.0200000000000002E-2</v>
      </c>
      <c r="CV61" s="179">
        <f t="shared" si="64"/>
        <v>1.89E-2</v>
      </c>
      <c r="CW61" s="174"/>
      <c r="CX61" s="174" t="s">
        <v>406</v>
      </c>
      <c r="CY61" s="174"/>
      <c r="CZ61" s="174"/>
      <c r="DA61" s="174"/>
      <c r="DB61" s="174"/>
      <c r="DC61" s="174"/>
      <c r="DD61" s="174"/>
      <c r="DE61" s="174"/>
    </row>
    <row r="62" spans="1:113"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  <c r="AB62" s="115"/>
      <c r="AC62" s="115"/>
      <c r="AD62" s="115"/>
      <c r="AE62" s="115"/>
      <c r="AF62" s="115"/>
      <c r="AG62" s="115"/>
      <c r="AH62" s="115"/>
      <c r="AI62" s="115"/>
      <c r="AJ62" s="115"/>
      <c r="AK62" s="115"/>
      <c r="AL62" s="115"/>
      <c r="AM62" s="125"/>
      <c r="AN62" s="125"/>
      <c r="AO62" s="125"/>
      <c r="AP62" s="115"/>
      <c r="AQ62" s="125"/>
      <c r="AR62" s="115"/>
      <c r="AS62" s="115"/>
      <c r="AT62" s="115"/>
      <c r="AU62" s="115"/>
      <c r="AV62" s="115"/>
      <c r="AW62" s="115"/>
      <c r="AX62" s="115"/>
      <c r="AY62" s="115"/>
      <c r="AZ62" s="115"/>
      <c r="BA62" s="115"/>
      <c r="BB62" s="115"/>
      <c r="BC62" s="115"/>
      <c r="BD62" s="115"/>
      <c r="BE62" s="115"/>
      <c r="BF62" s="115"/>
      <c r="BG62" s="115"/>
      <c r="BH62" s="115"/>
      <c r="BI62" s="115"/>
      <c r="BJ62" s="115"/>
      <c r="BK62" s="115"/>
      <c r="BL62" s="115"/>
      <c r="BM62" s="115"/>
      <c r="BN62" s="115"/>
      <c r="BO62" s="115"/>
      <c r="BP62" s="115"/>
      <c r="BQ62" s="125"/>
      <c r="BR62" s="125"/>
      <c r="BS62" s="125"/>
      <c r="BT62" s="115"/>
      <c r="BU62" s="125"/>
      <c r="BV62" s="125"/>
      <c r="BW62" s="125"/>
      <c r="BX62" s="125"/>
      <c r="BY62" s="125"/>
      <c r="BZ62" s="115"/>
      <c r="CA62" s="125"/>
      <c r="CB62" s="125"/>
      <c r="CC62" s="125"/>
      <c r="CD62" s="115"/>
      <c r="CE62" s="115"/>
      <c r="CF62" s="115"/>
      <c r="CG62" s="125"/>
      <c r="CH62" s="115"/>
      <c r="CI62" s="115"/>
      <c r="CJ62" s="115"/>
      <c r="CS62" s="174" t="s">
        <v>454</v>
      </c>
      <c r="CT62" s="179">
        <f>AG65</f>
        <v>8.6925000000000002E-2</v>
      </c>
      <c r="CU62" s="179">
        <f>AG66</f>
        <v>0.137075</v>
      </c>
      <c r="CV62" s="179">
        <f t="shared" si="64"/>
        <v>5.015E-2</v>
      </c>
      <c r="CW62" s="174"/>
      <c r="CX62" s="174" t="s">
        <v>385</v>
      </c>
      <c r="CY62" s="174"/>
      <c r="CZ62" s="174"/>
      <c r="DA62" s="174"/>
      <c r="DB62" s="174"/>
      <c r="DC62" s="174"/>
      <c r="DD62" s="174"/>
      <c r="DE62" s="174"/>
    </row>
    <row r="63" spans="1:113">
      <c r="B63" s="47" t="s">
        <v>30</v>
      </c>
      <c r="C63" s="70"/>
      <c r="D63" s="70"/>
      <c r="E63" s="70"/>
      <c r="F63" s="70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8"/>
      <c r="AB63" s="118"/>
      <c r="AC63" s="115"/>
      <c r="AD63" s="115"/>
      <c r="AE63" s="120"/>
      <c r="AF63" s="118"/>
      <c r="AG63" s="118"/>
      <c r="AH63" s="118"/>
      <c r="AI63" s="118"/>
      <c r="AJ63" s="118"/>
      <c r="AK63" s="118"/>
      <c r="AL63" s="118"/>
      <c r="AM63" s="127"/>
      <c r="AN63" s="127"/>
      <c r="AO63" s="127"/>
      <c r="AP63" s="118"/>
      <c r="AQ63" s="127"/>
      <c r="AR63" s="118"/>
      <c r="AS63" s="119"/>
      <c r="AT63" s="119"/>
      <c r="AU63" s="119"/>
      <c r="AV63" s="120" t="s">
        <v>30</v>
      </c>
      <c r="AW63" s="118"/>
      <c r="AX63" s="118"/>
      <c r="AY63" s="118"/>
      <c r="AZ63" s="118"/>
      <c r="BA63" s="118"/>
      <c r="BB63" s="118"/>
      <c r="BC63" s="118"/>
      <c r="BD63" s="118"/>
      <c r="BE63" s="118"/>
      <c r="BF63" s="118"/>
      <c r="BG63" s="118"/>
      <c r="BH63" s="118"/>
      <c r="BI63" s="118"/>
      <c r="BJ63" s="118"/>
      <c r="BK63" s="118"/>
      <c r="BL63" s="118"/>
      <c r="BM63" s="118"/>
      <c r="BN63" s="118"/>
      <c r="BO63" s="115"/>
      <c r="BP63" s="120" t="s">
        <v>30</v>
      </c>
      <c r="BQ63" s="128"/>
      <c r="BR63" s="127"/>
      <c r="BS63" s="127"/>
      <c r="BT63" s="118"/>
      <c r="BU63" s="127"/>
      <c r="BV63" s="127"/>
      <c r="BW63" s="127"/>
      <c r="BX63" s="127"/>
      <c r="BY63" s="127"/>
      <c r="BZ63" s="118"/>
      <c r="CA63" s="127"/>
      <c r="CB63" s="127"/>
      <c r="CC63" s="127"/>
      <c r="CD63" s="118"/>
      <c r="CE63" s="118"/>
      <c r="CF63" s="118"/>
      <c r="CG63" s="127"/>
      <c r="CH63" s="118"/>
      <c r="CI63" s="118"/>
      <c r="CJ63" s="118"/>
      <c r="CS63" s="174" t="s">
        <v>455</v>
      </c>
      <c r="CT63" s="179">
        <f>AH65</f>
        <v>0.120675</v>
      </c>
      <c r="CU63" s="179">
        <f>AH66</f>
        <v>0.29864999999999997</v>
      </c>
      <c r="CV63" s="179">
        <f t="shared" si="64"/>
        <v>0.17797499999999997</v>
      </c>
      <c r="CW63" s="174"/>
      <c r="CX63" s="174" t="s">
        <v>409</v>
      </c>
      <c r="CY63" s="174"/>
      <c r="CZ63" s="174"/>
      <c r="DA63" s="174"/>
      <c r="DB63" s="174"/>
      <c r="DC63" s="174"/>
      <c r="DD63" s="174"/>
      <c r="DE63" s="174"/>
    </row>
    <row r="64" spans="1:113">
      <c r="B64" s="47" t="s">
        <v>399</v>
      </c>
      <c r="C64" s="47"/>
      <c r="D64" s="47"/>
      <c r="E64" s="47"/>
      <c r="F64" s="47"/>
      <c r="G64" s="121">
        <f>MEDIAN(G51:G61)</f>
        <v>754.15</v>
      </c>
      <c r="H64" s="121">
        <f t="shared" ref="H64:M64" si="65">MEDIAN(H51:H61)</f>
        <v>1008.4499999999999</v>
      </c>
      <c r="I64" s="121"/>
      <c r="J64" s="121">
        <f t="shared" si="65"/>
        <v>881.5</v>
      </c>
      <c r="K64" s="121">
        <f t="shared" si="65"/>
        <v>295.75</v>
      </c>
      <c r="L64" s="121">
        <f t="shared" si="65"/>
        <v>141.44999999999999</v>
      </c>
      <c r="M64" s="121">
        <f t="shared" si="65"/>
        <v>54.699999999999996</v>
      </c>
      <c r="N64" s="120"/>
      <c r="O64" s="164">
        <f>MEDIAN(O51:O61)</f>
        <v>0.33932064586642707</v>
      </c>
      <c r="P64" s="164">
        <f>MEDIAN(P51:P61)</f>
        <v>0.16053804680189904</v>
      </c>
      <c r="Q64" s="164">
        <f>MEDIAN(Q51:Q61)</f>
        <v>6.5006739350063056E-2</v>
      </c>
      <c r="R64" s="164">
        <f>MEDIAN(R51:R61)</f>
        <v>6.2994963334708734E-2</v>
      </c>
      <c r="S64" s="120"/>
      <c r="T64" s="121">
        <f>MEDIAN(T51:T61)</f>
        <v>872.4</v>
      </c>
      <c r="U64" s="121">
        <f t="shared" ref="U64:CC64" si="66">MEDIAN(U51:U61)</f>
        <v>930.45</v>
      </c>
      <c r="V64" s="121">
        <f t="shared" si="66"/>
        <v>134.80000000000001</v>
      </c>
      <c r="W64" s="121">
        <f t="shared" si="66"/>
        <v>157.39999999999998</v>
      </c>
      <c r="X64" s="121"/>
      <c r="Y64" s="121">
        <f t="shared" si="66"/>
        <v>282.39999999999998</v>
      </c>
      <c r="Z64" s="121">
        <f t="shared" si="66"/>
        <v>340.91499999999996</v>
      </c>
      <c r="AA64" s="121">
        <f t="shared" si="66"/>
        <v>295.06499999999994</v>
      </c>
      <c r="AB64" s="121">
        <f t="shared" si="66"/>
        <v>301.17</v>
      </c>
      <c r="AC64" s="123"/>
      <c r="AD64" s="123"/>
      <c r="AE64" s="121"/>
      <c r="AF64" s="121"/>
      <c r="AG64" s="121">
        <f t="shared" si="66"/>
        <v>0.11515</v>
      </c>
      <c r="AH64" s="121">
        <f t="shared" si="66"/>
        <v>0.19290000000000002</v>
      </c>
      <c r="AI64" s="121">
        <f t="shared" si="66"/>
        <v>6.7299999999999999E-2</v>
      </c>
      <c r="AJ64" s="121"/>
      <c r="AK64" s="121"/>
      <c r="AL64" s="121">
        <f t="shared" si="66"/>
        <v>0.24410000000000001</v>
      </c>
      <c r="AM64" s="128">
        <f t="shared" si="66"/>
        <v>1.96</v>
      </c>
      <c r="AN64" s="128">
        <f t="shared" si="66"/>
        <v>0.60499999999999998</v>
      </c>
      <c r="AO64" s="128">
        <f t="shared" si="66"/>
        <v>19.73</v>
      </c>
      <c r="AP64" s="121"/>
      <c r="AQ64" s="128">
        <f t="shared" si="66"/>
        <v>22.97</v>
      </c>
      <c r="AR64" s="121"/>
      <c r="AS64" s="123"/>
      <c r="AT64" s="123"/>
      <c r="AU64" s="123"/>
      <c r="AV64" s="121"/>
      <c r="AW64" s="121"/>
      <c r="AX64" s="121">
        <f t="shared" si="66"/>
        <v>979.6</v>
      </c>
      <c r="AY64" s="121"/>
      <c r="AZ64" s="121"/>
      <c r="BA64" s="121"/>
      <c r="BB64" s="121">
        <f t="shared" si="66"/>
        <v>177.75</v>
      </c>
      <c r="BC64" s="121"/>
      <c r="BD64" s="121">
        <f t="shared" si="66"/>
        <v>53.9</v>
      </c>
      <c r="BE64" s="121">
        <f t="shared" si="66"/>
        <v>60.7</v>
      </c>
      <c r="BF64" s="121">
        <f t="shared" si="66"/>
        <v>151.69999999999999</v>
      </c>
      <c r="BG64" s="121"/>
      <c r="BH64" s="121"/>
      <c r="BI64" s="121"/>
      <c r="BJ64" s="121"/>
      <c r="BK64" s="121"/>
      <c r="BL64" s="121"/>
      <c r="BM64" s="121"/>
      <c r="BN64" s="121"/>
      <c r="BO64" s="123"/>
      <c r="BP64" s="121" t="s">
        <v>399</v>
      </c>
      <c r="BQ64" s="128">
        <f t="shared" si="66"/>
        <v>7.678745398513108</v>
      </c>
      <c r="BR64" s="128">
        <f t="shared" si="66"/>
        <v>6.8599999999999994</v>
      </c>
      <c r="BS64" s="128">
        <f t="shared" si="66"/>
        <v>6.5</v>
      </c>
      <c r="BT64" s="121"/>
      <c r="BU64" s="128"/>
      <c r="BV64" s="128"/>
      <c r="BW64" s="128"/>
      <c r="BX64" s="128"/>
      <c r="BY64" s="128"/>
      <c r="BZ64" s="121"/>
      <c r="CA64" s="128">
        <f t="shared" si="66"/>
        <v>14.234999999999999</v>
      </c>
      <c r="CB64" s="128">
        <f t="shared" si="66"/>
        <v>13.774999999999999</v>
      </c>
      <c r="CC64" s="128">
        <f t="shared" si="66"/>
        <v>12.675000000000001</v>
      </c>
      <c r="CD64" s="121"/>
      <c r="CE64" s="121"/>
      <c r="CF64" s="121"/>
      <c r="CG64" s="128"/>
      <c r="CH64" s="164">
        <f t="shared" ref="CH64:CJ64" si="67">MEDIAN(CH51:CH61)</f>
        <v>5.0200000000000002E-2</v>
      </c>
      <c r="CI64" s="121"/>
      <c r="CJ64" s="121">
        <f t="shared" si="67"/>
        <v>8.379999999999999</v>
      </c>
      <c r="CQ64" s="43" t="s">
        <v>456</v>
      </c>
      <c r="CR64" s="43"/>
      <c r="CS64" s="174" t="s">
        <v>457</v>
      </c>
      <c r="CT64" s="179">
        <f>AI65</f>
        <v>4.8274999999999998E-2</v>
      </c>
      <c r="CU64" s="179">
        <f>8.99%</f>
        <v>8.9900000000000008E-2</v>
      </c>
      <c r="CV64" s="179">
        <f t="shared" si="64"/>
        <v>4.1625000000000009E-2</v>
      </c>
      <c r="CW64" s="176"/>
      <c r="CX64" s="174" t="s">
        <v>410</v>
      </c>
      <c r="CY64" s="176"/>
      <c r="CZ64" s="174"/>
      <c r="DA64" s="176"/>
      <c r="DB64" s="176"/>
      <c r="DC64" s="176"/>
      <c r="DD64" s="176"/>
      <c r="DE64" s="176"/>
      <c r="DF64" s="43"/>
      <c r="DG64" s="43"/>
      <c r="DH64" s="43"/>
      <c r="DI64" s="43"/>
    </row>
    <row r="65" spans="1:113">
      <c r="B65" s="47" t="s">
        <v>370</v>
      </c>
      <c r="C65" s="47"/>
      <c r="D65" s="47"/>
      <c r="E65" s="47"/>
      <c r="F65" s="47"/>
      <c r="G65" s="120">
        <f>_xlfn.PERCENTILE.INC(G51:G61,0.25)</f>
        <v>590.52499999999998</v>
      </c>
      <c r="H65" s="120">
        <f t="shared" ref="H65:BS65" si="68">_xlfn.PERCENTILE.INC(H51:H61,0.25)</f>
        <v>668.07500000000005</v>
      </c>
      <c r="I65" s="120"/>
      <c r="J65" s="120">
        <f t="shared" si="68"/>
        <v>442.77500000000003</v>
      </c>
      <c r="K65" s="120">
        <f t="shared" si="68"/>
        <v>132.77500000000001</v>
      </c>
      <c r="L65" s="120">
        <f t="shared" si="68"/>
        <v>61.325000000000003</v>
      </c>
      <c r="M65" s="120">
        <f t="shared" si="68"/>
        <v>40.4</v>
      </c>
      <c r="N65" s="120"/>
      <c r="O65" s="164">
        <f>_xlfn.PERCENTILE.INC(O51:O61,0.25)</f>
        <v>0.33115466936663673</v>
      </c>
      <c r="P65" s="164">
        <f t="shared" si="68"/>
        <v>0.11798096465255692</v>
      </c>
      <c r="Q65" s="164">
        <f t="shared" si="68"/>
        <v>3.4867033453954657E-2</v>
      </c>
      <c r="R65" s="164">
        <f t="shared" si="68"/>
        <v>5.3616326935475869E-2</v>
      </c>
      <c r="S65" s="120"/>
      <c r="T65" s="120">
        <f t="shared" si="68"/>
        <v>446.05</v>
      </c>
      <c r="U65" s="120">
        <f t="shared" si="68"/>
        <v>465.27500000000003</v>
      </c>
      <c r="V65" s="120">
        <f t="shared" si="68"/>
        <v>49.924999999999997</v>
      </c>
      <c r="W65" s="120">
        <f t="shared" si="68"/>
        <v>68.75</v>
      </c>
      <c r="X65" s="120"/>
      <c r="Y65" s="120">
        <f t="shared" si="68"/>
        <v>11.467500000000001</v>
      </c>
      <c r="Z65" s="120">
        <f t="shared" si="68"/>
        <v>10.122499999999999</v>
      </c>
      <c r="AA65" s="120">
        <f t="shared" si="68"/>
        <v>12.8725</v>
      </c>
      <c r="AB65" s="120">
        <f t="shared" si="68"/>
        <v>13.907500000000001</v>
      </c>
      <c r="AC65" s="122"/>
      <c r="AD65" s="122"/>
      <c r="AE65" s="120"/>
      <c r="AF65" s="120"/>
      <c r="AG65" s="164">
        <f t="shared" si="68"/>
        <v>8.6925000000000002E-2</v>
      </c>
      <c r="AH65" s="164">
        <f t="shared" si="68"/>
        <v>0.120675</v>
      </c>
      <c r="AI65" s="164">
        <f t="shared" si="68"/>
        <v>4.8274999999999998E-2</v>
      </c>
      <c r="AJ65" s="120"/>
      <c r="AK65" s="120"/>
      <c r="AL65" s="120">
        <f t="shared" si="68"/>
        <v>0.100825</v>
      </c>
      <c r="AM65" s="128">
        <f t="shared" si="68"/>
        <v>0.95250000000000001</v>
      </c>
      <c r="AN65" s="128">
        <f t="shared" si="68"/>
        <v>-0.49249999999999972</v>
      </c>
      <c r="AO65" s="128">
        <f t="shared" si="68"/>
        <v>4.302500000000002</v>
      </c>
      <c r="AP65" s="120"/>
      <c r="AQ65" s="128">
        <f t="shared" si="68"/>
        <v>11.100000000000001</v>
      </c>
      <c r="AR65" s="120"/>
      <c r="AS65" s="122"/>
      <c r="AT65" s="122"/>
      <c r="AU65" s="122"/>
      <c r="AV65" s="120">
        <f t="shared" si="68"/>
        <v>442.77500000000003</v>
      </c>
      <c r="AW65" s="120">
        <f t="shared" si="68"/>
        <v>465.27500000000003</v>
      </c>
      <c r="AX65" s="120">
        <f t="shared" si="68"/>
        <v>653.79999999999995</v>
      </c>
      <c r="AY65" s="120"/>
      <c r="AZ65" s="120">
        <f t="shared" si="68"/>
        <v>61.325000000000003</v>
      </c>
      <c r="BA65" s="120">
        <f t="shared" si="68"/>
        <v>465.27500000000003</v>
      </c>
      <c r="BB65" s="120">
        <f t="shared" si="68"/>
        <v>89.25</v>
      </c>
      <c r="BC65" s="120"/>
      <c r="BD65" s="120">
        <f t="shared" si="68"/>
        <v>49.9</v>
      </c>
      <c r="BE65" s="120">
        <f t="shared" si="68"/>
        <v>56.5</v>
      </c>
      <c r="BF65" s="120">
        <f t="shared" si="68"/>
        <v>73.325000000000003</v>
      </c>
      <c r="BG65" s="120"/>
      <c r="BH65" s="120">
        <f t="shared" si="68"/>
        <v>0.11798096465255692</v>
      </c>
      <c r="BI65" s="120"/>
      <c r="BJ65" s="120">
        <f t="shared" si="68"/>
        <v>11.467500000000001</v>
      </c>
      <c r="BK65" s="120">
        <f t="shared" si="68"/>
        <v>12.8725</v>
      </c>
      <c r="BL65" s="120">
        <f t="shared" si="68"/>
        <v>13.907500000000001</v>
      </c>
      <c r="BM65" s="120"/>
      <c r="BN65" s="120">
        <f t="shared" si="68"/>
        <v>0.19975054146039606</v>
      </c>
      <c r="BO65" s="122"/>
      <c r="BP65" s="120" t="s">
        <v>370</v>
      </c>
      <c r="BQ65" s="128">
        <f t="shared" si="68"/>
        <v>5.9123261172037447</v>
      </c>
      <c r="BR65" s="128">
        <f t="shared" si="68"/>
        <v>5.26</v>
      </c>
      <c r="BS65" s="128">
        <f t="shared" si="68"/>
        <v>6.5</v>
      </c>
      <c r="BT65" s="120"/>
      <c r="BU65" s="128">
        <f t="shared" ref="BU65:CJ65" si="69">_xlfn.PERCENTILE.INC(BU51:BU61,0.25)</f>
        <v>3.9029170481482533E-3</v>
      </c>
      <c r="BV65" s="128">
        <f t="shared" si="69"/>
        <v>-0.49249999999999972</v>
      </c>
      <c r="BW65" s="128"/>
      <c r="BX65" s="128">
        <f t="shared" si="69"/>
        <v>0.91538101765544455</v>
      </c>
      <c r="BY65" s="128">
        <f>_xlfn.PERCENTILE.INC(BY51:BY61,0.25)</f>
        <v>9.3555555555555561</v>
      </c>
      <c r="BZ65" s="120"/>
      <c r="CA65" s="128">
        <f t="shared" si="69"/>
        <v>13.2675</v>
      </c>
      <c r="CB65" s="128">
        <f t="shared" si="69"/>
        <v>13.2575</v>
      </c>
      <c r="CC65" s="128">
        <f t="shared" si="69"/>
        <v>10.585000000000001</v>
      </c>
      <c r="CD65" s="120"/>
      <c r="CE65" s="120">
        <f t="shared" si="69"/>
        <v>0.19975054146039606</v>
      </c>
      <c r="CF65" s="120"/>
      <c r="CG65" s="128">
        <f>_xlfn.PERCENTILE.INC(CG51:CG61,0.25)</f>
        <v>1.2281746031746033E-2</v>
      </c>
      <c r="CH65" s="164">
        <f t="shared" si="69"/>
        <v>4.0399999999999998E-2</v>
      </c>
      <c r="CI65" s="120"/>
      <c r="CJ65" s="120">
        <f t="shared" si="69"/>
        <v>7.1074999999999999</v>
      </c>
      <c r="CQ65" s="67" t="s">
        <v>7</v>
      </c>
      <c r="CR65" s="67" t="s">
        <v>429</v>
      </c>
      <c r="CS65" s="174" t="s">
        <v>458</v>
      </c>
      <c r="CT65" s="179">
        <f>AG65</f>
        <v>8.6925000000000002E-2</v>
      </c>
      <c r="CU65" s="179">
        <v>0.1371</v>
      </c>
      <c r="CV65" s="179">
        <f t="shared" si="64"/>
        <v>5.0174999999999997E-2</v>
      </c>
      <c r="CW65" s="174"/>
      <c r="CX65" s="174" t="s">
        <v>393</v>
      </c>
      <c r="CY65" s="174"/>
      <c r="CZ65" s="174"/>
      <c r="DA65" s="174"/>
      <c r="DB65" s="174"/>
      <c r="DC65" s="175"/>
      <c r="DD65" s="174"/>
      <c r="DE65" s="174"/>
      <c r="DH65" s="67"/>
      <c r="DI65" s="67"/>
    </row>
    <row r="66" spans="1:113">
      <c r="B66" s="47" t="s">
        <v>372</v>
      </c>
      <c r="C66" s="47"/>
      <c r="D66" s="47"/>
      <c r="E66" s="47"/>
      <c r="F66" s="47"/>
      <c r="G66" s="120">
        <f>_xlfn.PERCENTILE.INC(G51:G61,0.75)</f>
        <v>1268.925</v>
      </c>
      <c r="H66" s="120">
        <f t="shared" ref="H66:BS66" si="70">_xlfn.PERCENTILE.INC(H51:H61,0.75)</f>
        <v>1448.875</v>
      </c>
      <c r="I66" s="120"/>
      <c r="J66" s="120">
        <f t="shared" si="70"/>
        <v>1512.45</v>
      </c>
      <c r="K66" s="120">
        <f t="shared" si="70"/>
        <v>514.6</v>
      </c>
      <c r="L66" s="120">
        <f t="shared" si="70"/>
        <v>235.67500000000001</v>
      </c>
      <c r="M66" s="120">
        <f t="shared" si="70"/>
        <v>80.325000000000003</v>
      </c>
      <c r="N66" s="120"/>
      <c r="O66" s="164">
        <f t="shared" si="70"/>
        <v>0.34019725900576964</v>
      </c>
      <c r="P66" s="164">
        <f t="shared" si="70"/>
        <v>0.21644340221362621</v>
      </c>
      <c r="Q66" s="164">
        <f t="shared" si="70"/>
        <v>0.14579059254024085</v>
      </c>
      <c r="R66" s="164">
        <f t="shared" si="70"/>
        <v>9.7138614878520713E-2</v>
      </c>
      <c r="S66" s="120"/>
      <c r="T66" s="120">
        <f t="shared" si="70"/>
        <v>1550.4499999999998</v>
      </c>
      <c r="U66" s="120">
        <f t="shared" si="70"/>
        <v>1636.9</v>
      </c>
      <c r="V66" s="120">
        <f t="shared" si="70"/>
        <v>237.67499999999998</v>
      </c>
      <c r="W66" s="120">
        <f t="shared" si="70"/>
        <v>245.67500000000001</v>
      </c>
      <c r="X66" s="120"/>
      <c r="Y66" s="120">
        <f t="shared" si="70"/>
        <v>2226.3575000000001</v>
      </c>
      <c r="Z66" s="120">
        <f t="shared" si="70"/>
        <v>2322.9225000000001</v>
      </c>
      <c r="AA66" s="120">
        <f t="shared" si="70"/>
        <v>2530.5574999999999</v>
      </c>
      <c r="AB66" s="120">
        <f t="shared" si="70"/>
        <v>2840.2475000000004</v>
      </c>
      <c r="AC66" s="122" t="e">
        <f t="shared" si="70"/>
        <v>#NUM!</v>
      </c>
      <c r="AD66" s="122"/>
      <c r="AE66" s="120"/>
      <c r="AF66" s="120"/>
      <c r="AG66" s="164">
        <f t="shared" si="70"/>
        <v>0.137075</v>
      </c>
      <c r="AH66" s="164">
        <f t="shared" si="70"/>
        <v>0.29864999999999997</v>
      </c>
      <c r="AI66" s="164">
        <f t="shared" si="70"/>
        <v>8.9849999999999999E-2</v>
      </c>
      <c r="AJ66" s="120"/>
      <c r="AK66" s="120"/>
      <c r="AL66" s="120">
        <f t="shared" si="70"/>
        <v>0.32767500000000005</v>
      </c>
      <c r="AM66" s="128">
        <f t="shared" si="70"/>
        <v>3.0700000000000003</v>
      </c>
      <c r="AN66" s="128">
        <f t="shared" si="70"/>
        <v>1.4550000000000001</v>
      </c>
      <c r="AO66" s="128">
        <f t="shared" si="70"/>
        <v>51.422499999999999</v>
      </c>
      <c r="AP66" s="120"/>
      <c r="AQ66" s="128">
        <f t="shared" si="70"/>
        <v>40.727499999999999</v>
      </c>
      <c r="AR66" s="120"/>
      <c r="AS66" s="122"/>
      <c r="AT66" s="122"/>
      <c r="AU66" s="122"/>
      <c r="AV66" s="120">
        <f t="shared" si="70"/>
        <v>1512.45</v>
      </c>
      <c r="AW66" s="120">
        <f t="shared" si="70"/>
        <v>1636.9</v>
      </c>
      <c r="AX66" s="120">
        <f t="shared" si="70"/>
        <v>1620.7750000000001</v>
      </c>
      <c r="AY66" s="120"/>
      <c r="AZ66" s="120">
        <f t="shared" si="70"/>
        <v>235.67500000000001</v>
      </c>
      <c r="BA66" s="120">
        <f t="shared" si="70"/>
        <v>1636.9</v>
      </c>
      <c r="BB66" s="120">
        <f t="shared" si="70"/>
        <v>336.125</v>
      </c>
      <c r="BC66" s="120"/>
      <c r="BD66" s="120">
        <f t="shared" si="70"/>
        <v>208.3</v>
      </c>
      <c r="BE66" s="120">
        <f t="shared" si="70"/>
        <v>215.8</v>
      </c>
      <c r="BF66" s="120">
        <f t="shared" si="70"/>
        <v>285.39999999999998</v>
      </c>
      <c r="BG66" s="120"/>
      <c r="BH66" s="120">
        <f t="shared" si="70"/>
        <v>0.21644340221362621</v>
      </c>
      <c r="BI66" s="120"/>
      <c r="BJ66" s="120">
        <f t="shared" si="70"/>
        <v>2226.3575000000001</v>
      </c>
      <c r="BK66" s="120">
        <f t="shared" si="70"/>
        <v>2530.5574999999999</v>
      </c>
      <c r="BL66" s="120">
        <f t="shared" si="70"/>
        <v>2840.2475000000004</v>
      </c>
      <c r="BM66" s="120"/>
      <c r="BN66" s="120">
        <f t="shared" si="70"/>
        <v>0.44058653284872246</v>
      </c>
      <c r="BO66" s="122"/>
      <c r="BP66" s="120" t="s">
        <v>372</v>
      </c>
      <c r="BQ66" s="128">
        <f t="shared" si="70"/>
        <v>10.264417624748134</v>
      </c>
      <c r="BR66" s="128">
        <f t="shared" si="70"/>
        <v>10.079999999999998</v>
      </c>
      <c r="BS66" s="128">
        <f t="shared" si="70"/>
        <v>10.6</v>
      </c>
      <c r="BT66" s="120"/>
      <c r="BU66" s="128">
        <f t="shared" ref="BU66:CJ66" si="71">_xlfn.PERCENTILE.INC(BU51:BU61,0.75)</f>
        <v>1.1284170129418654E-2</v>
      </c>
      <c r="BV66" s="128">
        <f t="shared" si="71"/>
        <v>1.4550000000000001</v>
      </c>
      <c r="BW66" s="128"/>
      <c r="BX66" s="128">
        <f t="shared" si="71"/>
        <v>1.8896674285926518</v>
      </c>
      <c r="BY66" s="128">
        <f>_xlfn.PERCENTILE.INC(BY51:BY61,0.75)</f>
        <v>12.975916453537938</v>
      </c>
      <c r="BZ66" s="120"/>
      <c r="CA66" s="128">
        <f t="shared" si="71"/>
        <v>15.09</v>
      </c>
      <c r="CB66" s="128">
        <f t="shared" si="71"/>
        <v>14.57</v>
      </c>
      <c r="CC66" s="128">
        <f t="shared" si="71"/>
        <v>13.17</v>
      </c>
      <c r="CD66" s="120"/>
      <c r="CE66" s="120">
        <f t="shared" si="71"/>
        <v>0.44058653284872246</v>
      </c>
      <c r="CF66" s="120"/>
      <c r="CG66" s="128">
        <f>_xlfn.PERCENTILE.INC(CG51:CG61,0.75)</f>
        <v>0.7071692686935086</v>
      </c>
      <c r="CH66" s="164">
        <f t="shared" si="71"/>
        <v>5.79E-2</v>
      </c>
      <c r="CI66" s="120"/>
      <c r="CJ66" s="120">
        <f t="shared" si="71"/>
        <v>9.4574999999999996</v>
      </c>
      <c r="CQ66" s="67"/>
      <c r="CR66" s="67"/>
      <c r="CS66" s="174" t="s">
        <v>459</v>
      </c>
      <c r="CT66" s="179">
        <f>AH65</f>
        <v>0.120675</v>
      </c>
      <c r="CU66" s="179">
        <v>0.29870000000000002</v>
      </c>
      <c r="CV66" s="179">
        <f t="shared" si="64"/>
        <v>0.17802500000000002</v>
      </c>
      <c r="CW66" s="174"/>
      <c r="CX66" s="174" t="s">
        <v>413</v>
      </c>
      <c r="CY66" s="174"/>
      <c r="CZ66" s="174"/>
      <c r="DA66" s="174"/>
      <c r="DB66" s="174"/>
      <c r="DC66" s="174"/>
      <c r="DD66" s="174"/>
      <c r="DE66" s="174"/>
      <c r="DF66" s="67" t="s">
        <v>399</v>
      </c>
      <c r="DG66" s="67" t="s">
        <v>372</v>
      </c>
      <c r="DH66" s="67"/>
      <c r="DI66" s="67"/>
    </row>
    <row r="67" spans="1:113"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  <c r="AB67" s="115"/>
      <c r="AC67" s="115"/>
      <c r="AD67" s="115"/>
      <c r="AE67" s="115"/>
      <c r="AF67" s="115"/>
      <c r="AG67" s="115"/>
      <c r="AH67" s="115"/>
      <c r="AI67" s="115"/>
      <c r="AJ67" s="115"/>
      <c r="AK67" s="115"/>
      <c r="AL67" s="115"/>
      <c r="AM67" s="115"/>
      <c r="AN67" s="115"/>
      <c r="AO67" s="115"/>
      <c r="AP67" s="115"/>
      <c r="AQ67" s="115"/>
      <c r="AR67" s="115"/>
      <c r="AS67" s="115"/>
      <c r="AT67" s="115"/>
      <c r="AU67" s="115"/>
      <c r="AV67" s="115"/>
      <c r="AW67" s="115"/>
      <c r="AX67" s="115"/>
      <c r="AY67" s="115"/>
      <c r="AZ67" s="115"/>
      <c r="BA67" s="115"/>
      <c r="BB67" s="115"/>
      <c r="BC67" s="115"/>
      <c r="BD67" s="115"/>
      <c r="BE67" s="115"/>
      <c r="BF67" s="115"/>
      <c r="BG67" s="115"/>
      <c r="BH67" s="115"/>
      <c r="BI67" s="115"/>
      <c r="BJ67" s="115"/>
      <c r="BK67" s="115"/>
      <c r="BL67" s="115"/>
      <c r="BM67" s="115"/>
      <c r="BN67" s="115"/>
      <c r="BO67" s="115"/>
      <c r="BP67" s="115"/>
      <c r="BQ67" s="115"/>
      <c r="BR67" s="115"/>
      <c r="BS67" s="115"/>
      <c r="BT67" s="115"/>
      <c r="BU67" s="115"/>
      <c r="BV67" s="115"/>
      <c r="BW67" s="115"/>
      <c r="BX67" s="115"/>
      <c r="BY67" s="115"/>
      <c r="BZ67" s="115"/>
      <c r="CA67" s="115"/>
      <c r="CB67" s="115"/>
      <c r="CC67" s="115"/>
      <c r="CD67" s="115"/>
      <c r="CE67" s="115"/>
      <c r="CF67" s="115"/>
      <c r="CG67" s="115"/>
      <c r="CH67" s="115"/>
      <c r="CI67" s="115"/>
      <c r="CJ67" s="115"/>
      <c r="CQ67" s="67" t="s">
        <v>460</v>
      </c>
      <c r="CR67" s="129" t="e">
        <f>CR53</f>
        <v>#REF!</v>
      </c>
      <c r="CS67" s="174" t="s">
        <v>461</v>
      </c>
      <c r="CT67" s="179">
        <f>AI65</f>
        <v>4.8274999999999998E-2</v>
      </c>
      <c r="CU67" s="179">
        <f>AI66</f>
        <v>8.9849999999999999E-2</v>
      </c>
      <c r="CV67" s="179">
        <f t="shared" si="64"/>
        <v>4.1575000000000001E-2</v>
      </c>
      <c r="CW67" s="178"/>
      <c r="CX67" s="174" t="s">
        <v>416</v>
      </c>
      <c r="CY67" s="174"/>
      <c r="CZ67" s="174"/>
      <c r="DA67" s="174"/>
      <c r="DB67" s="177"/>
      <c r="DC67" s="174"/>
      <c r="DD67" s="174"/>
      <c r="DE67" s="177"/>
      <c r="DF67" s="130">
        <f>DB67*FJ11</f>
        <v>0</v>
      </c>
      <c r="DG67" s="130">
        <f>DB67*FJ13</f>
        <v>0</v>
      </c>
      <c r="DH67" s="67"/>
      <c r="DI67" s="67"/>
    </row>
    <row r="68" spans="1:113"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  <c r="AB68" s="115"/>
      <c r="AC68" s="115"/>
      <c r="AD68" s="115"/>
      <c r="AE68" s="115"/>
      <c r="AF68" s="115"/>
      <c r="AG68" s="115"/>
      <c r="AH68" s="115"/>
      <c r="AI68" s="115"/>
      <c r="AJ68" s="115"/>
      <c r="AK68" s="115"/>
      <c r="AL68" s="115"/>
      <c r="AM68" s="115"/>
      <c r="AN68" s="115"/>
      <c r="AO68" s="115"/>
      <c r="AP68" s="115"/>
      <c r="AQ68" s="115"/>
      <c r="AR68" s="115"/>
      <c r="AS68" s="115"/>
      <c r="AT68" s="115"/>
      <c r="AU68" s="115"/>
      <c r="AV68" s="115"/>
      <c r="AW68" s="115"/>
      <c r="AX68" s="115"/>
      <c r="AY68" s="115"/>
      <c r="AZ68" s="115"/>
      <c r="BA68" s="115"/>
      <c r="BB68" s="115"/>
      <c r="BC68" s="115"/>
      <c r="BD68" s="115"/>
      <c r="BE68" s="115"/>
      <c r="BF68" s="115"/>
      <c r="BG68" s="115"/>
      <c r="BH68" s="115"/>
      <c r="BI68" s="115"/>
      <c r="BJ68" s="115"/>
      <c r="BK68" s="115"/>
      <c r="BL68" s="115"/>
      <c r="BM68" s="115"/>
      <c r="BN68" s="115"/>
      <c r="BO68" s="115"/>
      <c r="BP68" s="115"/>
      <c r="BQ68" s="115"/>
      <c r="BR68" s="115"/>
      <c r="BS68" s="115"/>
      <c r="BT68" s="115"/>
      <c r="BU68" s="115"/>
      <c r="BV68" s="115"/>
      <c r="BW68" s="115"/>
      <c r="BX68" s="115"/>
      <c r="BY68" s="115"/>
      <c r="BZ68" s="115"/>
      <c r="CA68" s="115"/>
      <c r="CB68" s="115"/>
      <c r="CC68" s="115"/>
      <c r="CD68" s="115"/>
      <c r="CE68" s="115"/>
      <c r="CF68" s="115"/>
      <c r="CG68" s="115"/>
      <c r="CH68" s="115"/>
      <c r="CI68" s="115"/>
      <c r="CJ68" s="115"/>
      <c r="CQ68" s="67" t="s">
        <v>462</v>
      </c>
      <c r="CR68" s="129" t="e">
        <f>CR54</f>
        <v>#REF!</v>
      </c>
      <c r="CS68" s="174"/>
      <c r="CT68" s="174"/>
      <c r="CU68" s="177"/>
      <c r="CV68" s="177"/>
      <c r="CW68" s="177"/>
      <c r="CX68" s="174"/>
      <c r="CY68" s="174"/>
      <c r="CZ68" s="174"/>
      <c r="DA68" s="174"/>
      <c r="DB68" s="177"/>
      <c r="DC68" s="174"/>
      <c r="DD68" s="174"/>
      <c r="DE68" s="177"/>
      <c r="DF68" s="129">
        <f>DB68*FK11</f>
        <v>0</v>
      </c>
      <c r="DG68" s="129">
        <f>DB68*FK13</f>
        <v>0</v>
      </c>
      <c r="DH68" s="67"/>
      <c r="DI68" s="67"/>
    </row>
    <row r="69" spans="1:113">
      <c r="A69" s="43"/>
      <c r="B69" s="71" t="s">
        <v>463</v>
      </c>
      <c r="C69" s="71"/>
      <c r="D69" s="71"/>
      <c r="E69" s="71"/>
      <c r="F69" s="71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  <c r="W69" s="124"/>
      <c r="X69" s="124"/>
      <c r="Y69" s="124"/>
      <c r="Z69" s="124"/>
      <c r="AA69" s="124"/>
      <c r="AB69" s="124"/>
      <c r="AC69" s="124"/>
      <c r="AD69" s="124"/>
      <c r="AE69" s="124"/>
      <c r="AF69" s="124"/>
      <c r="AG69" s="124"/>
      <c r="AH69" s="124"/>
      <c r="AI69" s="124"/>
      <c r="AJ69" s="124"/>
      <c r="AK69" s="124"/>
      <c r="AL69" s="124"/>
      <c r="AM69" s="124"/>
      <c r="AN69" s="124"/>
      <c r="AO69" s="124"/>
      <c r="AP69" s="124"/>
      <c r="AQ69" s="124"/>
      <c r="AR69" s="124"/>
      <c r="AS69" s="124"/>
      <c r="AT69" s="124"/>
      <c r="AU69" s="124"/>
      <c r="AV69" s="124"/>
      <c r="AW69" s="124"/>
      <c r="AX69" s="124"/>
      <c r="AY69" s="124"/>
      <c r="AZ69" s="124"/>
      <c r="BA69" s="124"/>
      <c r="BB69" s="124"/>
      <c r="BC69" s="124"/>
      <c r="BD69" s="124"/>
      <c r="BE69" s="124"/>
      <c r="BF69" s="124"/>
      <c r="BG69" s="124"/>
      <c r="BH69" s="124"/>
      <c r="BI69" s="124"/>
      <c r="BJ69" s="124"/>
      <c r="BK69" s="124"/>
      <c r="BL69" s="124"/>
      <c r="BM69" s="124"/>
      <c r="BN69" s="124"/>
      <c r="BO69" s="124"/>
      <c r="BP69" s="124"/>
      <c r="BQ69" s="124"/>
      <c r="BR69" s="124"/>
      <c r="BS69" s="124"/>
      <c r="BT69" s="124"/>
      <c r="BU69" s="124"/>
      <c r="BV69" s="124"/>
      <c r="BW69" s="124"/>
      <c r="BX69" s="124"/>
      <c r="BY69" s="124"/>
      <c r="BZ69" s="124"/>
      <c r="CA69" s="124"/>
      <c r="CB69" s="124"/>
      <c r="CC69" s="124"/>
      <c r="CD69" s="124"/>
      <c r="CE69" s="124"/>
      <c r="CF69" s="124"/>
      <c r="CG69" s="124"/>
      <c r="CH69" s="124"/>
      <c r="CI69" s="124"/>
      <c r="CJ69" s="124"/>
      <c r="CQ69" s="67" t="s">
        <v>464</v>
      </c>
      <c r="CR69" s="129" t="e">
        <f>CR55</f>
        <v>#REF!</v>
      </c>
      <c r="CS69" s="174"/>
      <c r="CT69" s="174"/>
      <c r="CU69" s="174"/>
      <c r="CV69" s="174"/>
      <c r="CW69" s="174"/>
      <c r="CX69" s="174"/>
      <c r="CY69" s="174"/>
      <c r="CZ69" s="174"/>
      <c r="DA69" s="174"/>
      <c r="DB69" s="177"/>
      <c r="DC69" s="174"/>
      <c r="DD69" s="174"/>
      <c r="DE69" s="177"/>
      <c r="DF69" s="129">
        <f>DB69*FL11</f>
        <v>0</v>
      </c>
      <c r="DG69" s="129">
        <f>DB69*FL13</f>
        <v>0</v>
      </c>
      <c r="DH69" s="67"/>
      <c r="DI69" s="67"/>
    </row>
    <row r="70" spans="1:113"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  <c r="AB70" s="115"/>
      <c r="AC70" s="115"/>
      <c r="AD70" s="115"/>
      <c r="AE70" s="115"/>
      <c r="AF70" s="115"/>
      <c r="AG70" s="115"/>
      <c r="AH70" s="115"/>
      <c r="AI70" s="115"/>
      <c r="AJ70" s="115"/>
      <c r="AK70" s="115"/>
      <c r="AL70" s="115"/>
      <c r="AM70" s="115"/>
      <c r="AN70" s="115"/>
      <c r="AO70" s="115"/>
      <c r="AP70" s="115"/>
      <c r="AQ70" s="115"/>
      <c r="AR70" s="115"/>
      <c r="AS70" s="115"/>
      <c r="AT70" s="115"/>
      <c r="AU70" s="115"/>
      <c r="AV70" s="115"/>
      <c r="AW70" s="115"/>
      <c r="AX70" s="115"/>
      <c r="AY70" s="115"/>
      <c r="AZ70" s="115"/>
      <c r="BA70" s="115"/>
      <c r="BB70" s="115"/>
      <c r="BC70" s="115"/>
      <c r="BD70" s="115"/>
      <c r="BE70" s="115"/>
      <c r="BF70" s="115"/>
      <c r="BG70" s="115"/>
      <c r="BH70" s="115"/>
      <c r="BI70" s="115"/>
      <c r="BJ70" s="115"/>
      <c r="BK70" s="115"/>
      <c r="BL70" s="115"/>
      <c r="BM70" s="115"/>
      <c r="BN70" s="115"/>
      <c r="BO70" s="115"/>
      <c r="BP70" s="115"/>
      <c r="BQ70" s="115"/>
      <c r="BR70" s="115"/>
      <c r="BS70" s="115"/>
      <c r="BT70" s="115"/>
      <c r="BU70" s="115"/>
      <c r="BV70" s="115"/>
      <c r="BW70" s="115"/>
      <c r="BX70" s="115"/>
      <c r="BY70" s="115"/>
      <c r="BZ70" s="115"/>
      <c r="CA70" s="115"/>
      <c r="CB70" s="115"/>
      <c r="CC70" s="115"/>
      <c r="CD70" s="115"/>
      <c r="CE70" s="115"/>
      <c r="CF70" s="115"/>
      <c r="CG70" s="115"/>
      <c r="CH70" s="115"/>
      <c r="CI70" s="115"/>
      <c r="CJ70" s="115"/>
      <c r="CQ70" s="67"/>
      <c r="CR70" s="67"/>
      <c r="CS70" s="67"/>
      <c r="CT70" s="67"/>
      <c r="CU70" s="67"/>
      <c r="CV70" s="67"/>
      <c r="CW70" s="67"/>
      <c r="CX70" s="67"/>
      <c r="CY70" s="67"/>
      <c r="DA70" s="67"/>
      <c r="DB70" s="67"/>
      <c r="DC70" s="67"/>
      <c r="DD70" s="67"/>
      <c r="DE70" s="67"/>
      <c r="DF70" s="67"/>
      <c r="DG70" s="67"/>
      <c r="DH70" s="67"/>
      <c r="DI70" s="67"/>
    </row>
    <row r="71" spans="1:113">
      <c r="B71" s="47" t="s">
        <v>30</v>
      </c>
      <c r="C71" s="70"/>
      <c r="D71" s="70"/>
      <c r="E71" s="70"/>
      <c r="F71" s="70"/>
      <c r="G71" s="208" t="s">
        <v>465</v>
      </c>
      <c r="H71" s="208"/>
      <c r="I71" s="208"/>
      <c r="J71" s="208"/>
      <c r="K71" s="208"/>
      <c r="L71" s="208"/>
      <c r="M71" s="208"/>
      <c r="N71" s="208"/>
      <c r="O71" s="208"/>
      <c r="P71" s="208"/>
      <c r="Q71" s="208"/>
      <c r="R71" s="208"/>
      <c r="S71" s="208"/>
      <c r="T71" s="208"/>
      <c r="U71" s="208"/>
      <c r="V71" s="208"/>
      <c r="W71" s="208"/>
      <c r="X71" s="208"/>
      <c r="Y71" s="208"/>
      <c r="Z71" s="208"/>
      <c r="AA71" s="208"/>
      <c r="AB71" s="208"/>
      <c r="AC71" s="208"/>
      <c r="AD71" s="208"/>
      <c r="AE71" s="208"/>
      <c r="AF71" s="208"/>
      <c r="AG71" s="208"/>
      <c r="AH71" s="208"/>
      <c r="AI71" s="208"/>
      <c r="AJ71" s="208"/>
      <c r="AK71" s="208"/>
      <c r="AL71" s="208"/>
      <c r="AM71" s="208"/>
      <c r="AN71" s="208"/>
      <c r="AO71" s="208"/>
      <c r="AP71" s="208"/>
      <c r="AQ71" s="208"/>
      <c r="AR71" s="208"/>
      <c r="AS71" s="208"/>
      <c r="AT71" s="208"/>
      <c r="AU71" s="208"/>
      <c r="AV71" s="208"/>
      <c r="AW71" s="208"/>
      <c r="AX71" s="208"/>
      <c r="AY71" s="208"/>
      <c r="AZ71" s="208"/>
      <c r="BA71" s="208"/>
      <c r="BB71" s="208"/>
      <c r="BC71" s="208"/>
      <c r="BD71" s="208"/>
      <c r="BE71" s="208"/>
      <c r="BF71" s="208"/>
      <c r="BG71" s="208"/>
      <c r="BH71" s="208"/>
      <c r="BI71" s="208"/>
      <c r="BJ71" s="208"/>
      <c r="BK71" s="208"/>
      <c r="BL71" s="208"/>
      <c r="BM71" s="208"/>
      <c r="BN71" s="208"/>
      <c r="BO71" s="208"/>
      <c r="BP71" s="118"/>
      <c r="BQ71" s="118"/>
      <c r="BR71" s="118"/>
      <c r="BS71" s="118"/>
      <c r="BT71" s="118"/>
      <c r="BU71" s="118"/>
      <c r="BV71" s="118"/>
      <c r="BW71" s="118"/>
      <c r="BX71" s="118"/>
      <c r="BY71" s="118"/>
      <c r="BZ71" s="118"/>
      <c r="CA71" s="118"/>
      <c r="CB71" s="118"/>
      <c r="CC71" s="118"/>
      <c r="CD71" s="118"/>
      <c r="CE71" s="118"/>
      <c r="CF71" s="118"/>
      <c r="CG71" s="118"/>
      <c r="CH71" s="118"/>
      <c r="CI71" s="118"/>
      <c r="CJ71" s="118"/>
      <c r="CQ71" s="67"/>
      <c r="CR71" s="67"/>
      <c r="CS71" s="67"/>
      <c r="CT71" s="67"/>
      <c r="CU71" s="67"/>
      <c r="CV71" s="67"/>
      <c r="CW71" s="67"/>
      <c r="CX71" s="67"/>
      <c r="CY71" s="67"/>
      <c r="DA71" s="67"/>
      <c r="DB71" s="67"/>
      <c r="DC71" s="67"/>
      <c r="DD71" s="67"/>
      <c r="DE71" s="67"/>
      <c r="DF71" s="67"/>
      <c r="DG71" s="67"/>
      <c r="DH71" s="67"/>
      <c r="DI71" s="67"/>
    </row>
    <row r="72" spans="1:113">
      <c r="B72" s="47" t="s">
        <v>399</v>
      </c>
      <c r="C72" s="47"/>
      <c r="D72" s="47"/>
      <c r="E72" s="47"/>
      <c r="F72" s="47"/>
      <c r="G72" s="208"/>
      <c r="H72" s="208"/>
      <c r="I72" s="208"/>
      <c r="J72" s="208"/>
      <c r="K72" s="208"/>
      <c r="L72" s="208"/>
      <c r="M72" s="208"/>
      <c r="N72" s="208"/>
      <c r="O72" s="208"/>
      <c r="P72" s="208"/>
      <c r="Q72" s="208"/>
      <c r="R72" s="208"/>
      <c r="S72" s="208"/>
      <c r="T72" s="208"/>
      <c r="U72" s="208"/>
      <c r="V72" s="208"/>
      <c r="W72" s="208"/>
      <c r="X72" s="208"/>
      <c r="Y72" s="208"/>
      <c r="Z72" s="208"/>
      <c r="AA72" s="208"/>
      <c r="AB72" s="208"/>
      <c r="AC72" s="208"/>
      <c r="AD72" s="208"/>
      <c r="AE72" s="208"/>
      <c r="AF72" s="208"/>
      <c r="AG72" s="208"/>
      <c r="AH72" s="208"/>
      <c r="AI72" s="208"/>
      <c r="AJ72" s="208"/>
      <c r="AK72" s="208"/>
      <c r="AL72" s="208"/>
      <c r="AM72" s="208"/>
      <c r="AN72" s="208"/>
      <c r="AO72" s="208"/>
      <c r="AP72" s="208"/>
      <c r="AQ72" s="208"/>
      <c r="AR72" s="208"/>
      <c r="AS72" s="208"/>
      <c r="AT72" s="208"/>
      <c r="AU72" s="208"/>
      <c r="AV72" s="208"/>
      <c r="AW72" s="208"/>
      <c r="AX72" s="208"/>
      <c r="AY72" s="208"/>
      <c r="AZ72" s="208"/>
      <c r="BA72" s="208"/>
      <c r="BB72" s="208"/>
      <c r="BC72" s="208"/>
      <c r="BD72" s="208"/>
      <c r="BE72" s="208"/>
      <c r="BF72" s="208"/>
      <c r="BG72" s="208"/>
      <c r="BH72" s="208"/>
      <c r="BI72" s="208"/>
      <c r="BJ72" s="208"/>
      <c r="BK72" s="208"/>
      <c r="BL72" s="208"/>
      <c r="BM72" s="208"/>
      <c r="BN72" s="208"/>
      <c r="BO72" s="208"/>
      <c r="BP72" s="120"/>
      <c r="BQ72" s="121">
        <f>MEDIAN(BQ64,BQ45,BQ24)</f>
        <v>8.7774390243902438</v>
      </c>
      <c r="BR72" s="120"/>
      <c r="BS72" s="120"/>
      <c r="BT72" s="120"/>
      <c r="BU72" s="120"/>
      <c r="BV72" s="120"/>
      <c r="BW72" s="120"/>
      <c r="BX72" s="120"/>
      <c r="BY72" s="120"/>
      <c r="BZ72" s="120"/>
      <c r="CA72" s="120"/>
      <c r="CB72" s="120"/>
      <c r="CC72" s="120"/>
      <c r="CD72" s="120"/>
      <c r="CE72" s="120"/>
      <c r="CF72" s="120"/>
      <c r="CG72" s="120"/>
      <c r="CH72" s="120"/>
      <c r="CI72" s="120"/>
      <c r="CJ72" s="120"/>
      <c r="CQ72" s="67"/>
      <c r="CR72" s="67"/>
      <c r="CS72" s="67"/>
      <c r="CT72" s="67"/>
      <c r="CU72" s="67"/>
      <c r="CV72" s="67"/>
      <c r="CW72" s="67"/>
      <c r="CX72" s="67"/>
      <c r="CY72" s="67"/>
      <c r="DA72" s="67"/>
      <c r="DB72" s="67"/>
      <c r="DC72" s="67"/>
      <c r="DD72" s="67"/>
      <c r="DE72" s="67"/>
      <c r="DF72" s="67"/>
      <c r="DG72" s="67"/>
      <c r="DH72" s="67"/>
      <c r="DI72" s="67"/>
    </row>
    <row r="73" spans="1:113">
      <c r="B73" s="47" t="s">
        <v>370</v>
      </c>
      <c r="C73" s="47"/>
      <c r="D73" s="47"/>
      <c r="E73" s="47"/>
      <c r="F73" s="47"/>
      <c r="G73" s="208"/>
      <c r="H73" s="208"/>
      <c r="I73" s="208"/>
      <c r="J73" s="208"/>
      <c r="K73" s="208"/>
      <c r="L73" s="208"/>
      <c r="M73" s="208"/>
      <c r="N73" s="208"/>
      <c r="O73" s="208"/>
      <c r="P73" s="208"/>
      <c r="Q73" s="208"/>
      <c r="R73" s="208"/>
      <c r="S73" s="208"/>
      <c r="T73" s="208"/>
      <c r="U73" s="208"/>
      <c r="V73" s="208"/>
      <c r="W73" s="208"/>
      <c r="X73" s="208"/>
      <c r="Y73" s="208"/>
      <c r="Z73" s="208"/>
      <c r="AA73" s="208"/>
      <c r="AB73" s="208"/>
      <c r="AC73" s="208"/>
      <c r="AD73" s="208"/>
      <c r="AE73" s="208"/>
      <c r="AF73" s="208"/>
      <c r="AG73" s="208"/>
      <c r="AH73" s="208"/>
      <c r="AI73" s="208"/>
      <c r="AJ73" s="208"/>
      <c r="AK73" s="208"/>
      <c r="AL73" s="208"/>
      <c r="AM73" s="208"/>
      <c r="AN73" s="208"/>
      <c r="AO73" s="208"/>
      <c r="AP73" s="208"/>
      <c r="AQ73" s="208"/>
      <c r="AR73" s="208"/>
      <c r="AS73" s="208"/>
      <c r="AT73" s="208"/>
      <c r="AU73" s="208"/>
      <c r="AV73" s="208"/>
      <c r="AW73" s="208"/>
      <c r="AX73" s="208"/>
      <c r="AY73" s="208"/>
      <c r="AZ73" s="208"/>
      <c r="BA73" s="208"/>
      <c r="BB73" s="208"/>
      <c r="BC73" s="208"/>
      <c r="BD73" s="208"/>
      <c r="BE73" s="208"/>
      <c r="BF73" s="208"/>
      <c r="BG73" s="208"/>
      <c r="BH73" s="208"/>
      <c r="BI73" s="208"/>
      <c r="BJ73" s="208"/>
      <c r="BK73" s="208"/>
      <c r="BL73" s="208"/>
      <c r="BM73" s="208"/>
      <c r="BN73" s="208"/>
      <c r="BO73" s="208"/>
      <c r="BP73" s="120"/>
      <c r="BQ73" s="120"/>
      <c r="BR73" s="120"/>
      <c r="BS73" s="120"/>
      <c r="BT73" s="120"/>
      <c r="BU73" s="120"/>
      <c r="BV73" s="120"/>
      <c r="BW73" s="120"/>
      <c r="BX73" s="120"/>
      <c r="BY73" s="120"/>
      <c r="BZ73" s="120"/>
      <c r="CA73" s="120"/>
      <c r="CB73" s="120"/>
      <c r="CC73" s="120"/>
      <c r="CD73" s="120"/>
      <c r="CE73" s="120"/>
      <c r="CF73" s="120"/>
      <c r="CG73" s="120"/>
      <c r="CH73" s="120"/>
      <c r="CI73" s="120"/>
      <c r="CJ73" s="120"/>
      <c r="CQ73" s="67"/>
      <c r="CR73" s="67"/>
      <c r="CS73" s="67"/>
      <c r="CT73" s="67"/>
      <c r="CU73" s="67"/>
      <c r="CV73" s="67"/>
      <c r="CW73" s="67"/>
      <c r="CX73" s="67"/>
      <c r="CY73" s="67"/>
      <c r="DA73" s="67"/>
      <c r="DB73" s="67"/>
      <c r="DC73" s="67"/>
      <c r="DD73" s="67"/>
      <c r="DE73" s="67"/>
      <c r="DF73" s="67"/>
      <c r="DG73" s="67"/>
      <c r="DH73" s="67"/>
      <c r="DI73" s="67"/>
    </row>
    <row r="74" spans="1:113">
      <c r="B74" s="47" t="s">
        <v>372</v>
      </c>
      <c r="C74" s="47"/>
      <c r="D74" s="47"/>
      <c r="E74" s="47"/>
      <c r="F74" s="47"/>
      <c r="G74" s="208"/>
      <c r="H74" s="208"/>
      <c r="I74" s="208"/>
      <c r="J74" s="208"/>
      <c r="K74" s="208"/>
      <c r="L74" s="208"/>
      <c r="M74" s="208"/>
      <c r="N74" s="208"/>
      <c r="O74" s="208"/>
      <c r="P74" s="208"/>
      <c r="Q74" s="208"/>
      <c r="R74" s="208"/>
      <c r="S74" s="208"/>
      <c r="T74" s="208"/>
      <c r="U74" s="208"/>
      <c r="V74" s="208"/>
      <c r="W74" s="208"/>
      <c r="X74" s="208"/>
      <c r="Y74" s="208"/>
      <c r="Z74" s="208"/>
      <c r="AA74" s="208"/>
      <c r="AB74" s="208"/>
      <c r="AC74" s="208"/>
      <c r="AD74" s="208"/>
      <c r="AE74" s="208"/>
      <c r="AF74" s="208"/>
      <c r="AG74" s="208"/>
      <c r="AH74" s="208"/>
      <c r="AI74" s="208"/>
      <c r="AJ74" s="208"/>
      <c r="AK74" s="208"/>
      <c r="AL74" s="208"/>
      <c r="AM74" s="208"/>
      <c r="AN74" s="208"/>
      <c r="AO74" s="208"/>
      <c r="AP74" s="208"/>
      <c r="AQ74" s="208"/>
      <c r="AR74" s="208"/>
      <c r="AS74" s="208"/>
      <c r="AT74" s="208"/>
      <c r="AU74" s="208"/>
      <c r="AV74" s="208"/>
      <c r="AW74" s="208"/>
      <c r="AX74" s="208"/>
      <c r="AY74" s="208"/>
      <c r="AZ74" s="208"/>
      <c r="BA74" s="208"/>
      <c r="BB74" s="208"/>
      <c r="BC74" s="208"/>
      <c r="BD74" s="208"/>
      <c r="BE74" s="208"/>
      <c r="BF74" s="208"/>
      <c r="BG74" s="208"/>
      <c r="BH74" s="208"/>
      <c r="BI74" s="208"/>
      <c r="BJ74" s="208"/>
      <c r="BK74" s="208"/>
      <c r="BL74" s="208"/>
      <c r="BM74" s="208"/>
      <c r="BN74" s="208"/>
      <c r="BO74" s="208"/>
      <c r="BP74" s="120"/>
      <c r="BQ74" s="120"/>
      <c r="BR74" s="120"/>
      <c r="BS74" s="120"/>
      <c r="BT74" s="120"/>
      <c r="BU74" s="120"/>
      <c r="BV74" s="120"/>
      <c r="BW74" s="120"/>
      <c r="BX74" s="120"/>
      <c r="BY74" s="120"/>
      <c r="BZ74" s="120"/>
      <c r="CA74" s="120"/>
      <c r="CB74" s="120"/>
      <c r="CC74" s="120"/>
      <c r="CD74" s="120"/>
      <c r="CE74" s="120"/>
      <c r="CF74" s="120"/>
      <c r="CG74" s="120"/>
      <c r="CH74" s="120"/>
      <c r="CI74" s="120"/>
      <c r="CJ74" s="120"/>
    </row>
    <row r="75" spans="1:113"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  <c r="AB75" s="115"/>
      <c r="AC75" s="115"/>
      <c r="AD75" s="115"/>
      <c r="AE75" s="115"/>
      <c r="AF75" s="115"/>
      <c r="AG75" s="115"/>
      <c r="AH75" s="115"/>
      <c r="AI75" s="115"/>
      <c r="AJ75" s="115"/>
      <c r="AK75" s="115"/>
      <c r="AL75" s="115"/>
      <c r="AM75" s="115"/>
      <c r="AN75" s="115"/>
      <c r="AO75" s="115"/>
      <c r="AP75" s="115"/>
      <c r="AQ75" s="115"/>
      <c r="AR75" s="115"/>
      <c r="AS75" s="115"/>
      <c r="AT75" s="115"/>
      <c r="AU75" s="115"/>
      <c r="AV75" s="115"/>
      <c r="AW75" s="115"/>
      <c r="AX75" s="115"/>
      <c r="AY75" s="115"/>
      <c r="AZ75" s="115"/>
      <c r="BA75" s="115"/>
      <c r="BB75" s="115"/>
      <c r="BC75" s="115"/>
      <c r="BD75" s="115"/>
      <c r="BE75" s="115"/>
      <c r="BF75" s="115"/>
      <c r="BG75" s="115"/>
      <c r="BH75" s="115"/>
      <c r="BI75" s="115"/>
      <c r="BJ75" s="115"/>
      <c r="BK75" s="115"/>
      <c r="BL75" s="115"/>
      <c r="BM75" s="115"/>
      <c r="BN75" s="115"/>
      <c r="BO75" s="115"/>
      <c r="BP75" s="115"/>
      <c r="BQ75" s="115"/>
      <c r="BR75" s="115"/>
      <c r="BS75" s="115"/>
      <c r="BT75" s="115"/>
      <c r="BU75" s="115"/>
      <c r="BV75" s="115"/>
      <c r="BW75" s="115"/>
      <c r="BX75" s="115"/>
      <c r="BY75" s="115"/>
      <c r="BZ75" s="115"/>
      <c r="CA75" s="115"/>
      <c r="CB75" s="115"/>
      <c r="CC75" s="115"/>
      <c r="CD75" s="115"/>
      <c r="CE75" s="115"/>
      <c r="CF75" s="115"/>
      <c r="CG75" s="115"/>
      <c r="CH75" s="115"/>
      <c r="CI75" s="115"/>
      <c r="CJ75" s="115"/>
    </row>
    <row r="76" spans="1:113">
      <c r="B76" s="47" t="s">
        <v>376</v>
      </c>
      <c r="C76" s="70"/>
      <c r="D76" s="70"/>
      <c r="E76" s="70"/>
      <c r="F76" s="70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  <c r="AA76" s="118"/>
      <c r="AB76" s="118"/>
      <c r="AC76" s="118"/>
      <c r="AD76" s="118"/>
      <c r="AE76" s="118"/>
      <c r="AF76" s="118"/>
      <c r="AG76" s="118"/>
      <c r="AH76" s="118"/>
      <c r="AI76" s="118"/>
      <c r="AJ76" s="118"/>
      <c r="AK76" s="118"/>
      <c r="AL76" s="118"/>
      <c r="AM76" s="118"/>
      <c r="AN76" s="118"/>
      <c r="AO76" s="118"/>
      <c r="AP76" s="118"/>
      <c r="AQ76" s="118"/>
      <c r="AR76" s="118"/>
      <c r="AS76" s="118"/>
      <c r="AT76" s="118"/>
      <c r="AU76" s="118"/>
      <c r="AV76" s="118"/>
      <c r="AW76" s="118"/>
      <c r="AX76" s="118"/>
      <c r="AY76" s="118"/>
      <c r="AZ76" s="118"/>
      <c r="BA76" s="118"/>
      <c r="BB76" s="118"/>
      <c r="BC76" s="118"/>
      <c r="BD76" s="118"/>
      <c r="BE76" s="118"/>
      <c r="BF76" s="118"/>
      <c r="BG76" s="118"/>
      <c r="BH76" s="118"/>
      <c r="BI76" s="118"/>
      <c r="BJ76" s="118"/>
      <c r="BK76" s="118"/>
      <c r="BL76" s="118"/>
      <c r="BM76" s="118"/>
      <c r="BN76" s="118"/>
      <c r="BO76" s="118"/>
      <c r="BP76" s="118"/>
      <c r="BQ76" s="118"/>
      <c r="BR76" s="118"/>
      <c r="BS76" s="118"/>
      <c r="BT76" s="118"/>
      <c r="BU76" s="118"/>
      <c r="BV76" s="118"/>
      <c r="BW76" s="118"/>
      <c r="BX76" s="118"/>
      <c r="BY76" s="118"/>
      <c r="BZ76" s="118"/>
      <c r="CA76" s="118"/>
      <c r="CB76" s="118"/>
      <c r="CC76" s="118"/>
      <c r="CD76" s="118"/>
      <c r="CE76" s="118"/>
      <c r="CF76" s="118"/>
      <c r="CG76" s="118"/>
      <c r="CH76" s="118"/>
      <c r="CI76" s="118"/>
      <c r="CJ76" s="118"/>
    </row>
    <row r="77" spans="1:113">
      <c r="B77" s="47" t="s">
        <v>375</v>
      </c>
      <c r="C77" s="47"/>
      <c r="D77" s="47"/>
      <c r="E77" s="47"/>
      <c r="F77" s="47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20"/>
      <c r="AB77" s="120"/>
      <c r="AC77" s="120"/>
      <c r="AD77" s="120"/>
      <c r="AE77" s="120"/>
      <c r="AF77" s="120"/>
      <c r="AG77" s="120"/>
      <c r="AH77" s="120"/>
      <c r="AI77" s="120"/>
      <c r="AJ77" s="120"/>
      <c r="AK77" s="120"/>
      <c r="AL77" s="120"/>
      <c r="AM77" s="120"/>
      <c r="AN77" s="120"/>
      <c r="AO77" s="120"/>
      <c r="AP77" s="120"/>
      <c r="AQ77" s="120"/>
      <c r="AR77" s="120"/>
      <c r="AS77" s="120"/>
      <c r="AT77" s="120"/>
      <c r="AU77" s="120"/>
      <c r="AV77" s="120"/>
      <c r="AW77" s="120"/>
      <c r="AX77" s="120"/>
      <c r="AY77" s="120"/>
      <c r="AZ77" s="120"/>
      <c r="BA77" s="120"/>
      <c r="BB77" s="120"/>
      <c r="BC77" s="120"/>
      <c r="BD77" s="120"/>
      <c r="BE77" s="120"/>
      <c r="BF77" s="120"/>
      <c r="BG77" s="120"/>
      <c r="BH77" s="120"/>
      <c r="BI77" s="120"/>
      <c r="BJ77" s="120"/>
      <c r="BK77" s="120"/>
      <c r="BL77" s="120"/>
      <c r="BM77" s="120"/>
      <c r="BN77" s="120"/>
      <c r="BO77" s="120"/>
      <c r="BP77" s="120"/>
      <c r="BQ77" s="120"/>
      <c r="BR77" s="120"/>
      <c r="BS77" s="120"/>
      <c r="BT77" s="120"/>
      <c r="BU77" s="120"/>
      <c r="BV77" s="120"/>
      <c r="BW77" s="120"/>
      <c r="BX77" s="120"/>
      <c r="BY77" s="120"/>
      <c r="BZ77" s="120"/>
      <c r="CA77" s="120"/>
      <c r="CB77" s="120"/>
      <c r="CC77" s="120"/>
      <c r="CD77" s="120"/>
      <c r="CE77" s="120"/>
      <c r="CF77" s="120"/>
      <c r="CG77" s="120"/>
      <c r="CH77" s="120"/>
      <c r="CI77" s="120"/>
      <c r="CJ77" s="120"/>
    </row>
    <row r="78" spans="1:113">
      <c r="B78" s="47" t="s">
        <v>370</v>
      </c>
      <c r="C78" s="47"/>
      <c r="D78" s="47"/>
      <c r="E78" s="47"/>
      <c r="F78" s="47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20"/>
      <c r="AB78" s="120"/>
      <c r="AC78" s="120"/>
      <c r="AD78" s="120"/>
      <c r="AE78" s="120"/>
      <c r="AF78" s="120"/>
      <c r="AG78" s="120"/>
      <c r="AH78" s="120"/>
      <c r="AI78" s="120"/>
      <c r="AJ78" s="120"/>
      <c r="AK78" s="120"/>
      <c r="AL78" s="120"/>
      <c r="AM78" s="120"/>
      <c r="AN78" s="120"/>
      <c r="AO78" s="120"/>
      <c r="AP78" s="120"/>
      <c r="AQ78" s="120"/>
      <c r="AR78" s="120"/>
      <c r="AS78" s="120"/>
      <c r="AT78" s="120"/>
      <c r="AU78" s="120"/>
      <c r="AV78" s="120"/>
      <c r="AW78" s="120"/>
      <c r="AX78" s="120"/>
      <c r="AY78" s="120"/>
      <c r="AZ78" s="120"/>
      <c r="BA78" s="120"/>
      <c r="BB78" s="120"/>
      <c r="BC78" s="120"/>
      <c r="BD78" s="120"/>
      <c r="BE78" s="120"/>
      <c r="BF78" s="120"/>
      <c r="BG78" s="120"/>
      <c r="BH78" s="120"/>
      <c r="BI78" s="120"/>
      <c r="BJ78" s="120"/>
      <c r="BK78" s="120"/>
      <c r="BL78" s="120"/>
      <c r="BM78" s="120"/>
      <c r="BN78" s="120"/>
      <c r="BO78" s="120"/>
      <c r="BP78" s="120"/>
      <c r="BQ78" s="120"/>
      <c r="BR78" s="120"/>
      <c r="BS78" s="120"/>
      <c r="BT78" s="120"/>
      <c r="BU78" s="120"/>
      <c r="BV78" s="120"/>
      <c r="BW78" s="120"/>
      <c r="BX78" s="120"/>
      <c r="BY78" s="120"/>
      <c r="BZ78" s="120"/>
      <c r="CA78" s="120"/>
      <c r="CB78" s="120"/>
      <c r="CC78" s="120"/>
      <c r="CD78" s="120"/>
      <c r="CE78" s="120"/>
      <c r="CF78" s="120"/>
      <c r="CG78" s="120"/>
      <c r="CH78" s="120"/>
      <c r="CI78" s="120"/>
      <c r="CJ78" s="120"/>
    </row>
    <row r="79" spans="1:113">
      <c r="B79" s="47" t="s">
        <v>372</v>
      </c>
      <c r="C79" s="47"/>
      <c r="D79" s="47"/>
      <c r="E79" s="47"/>
      <c r="F79" s="47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20"/>
      <c r="AB79" s="120"/>
      <c r="AC79" s="120"/>
      <c r="AD79" s="120"/>
      <c r="AE79" s="120"/>
      <c r="AF79" s="120"/>
      <c r="AG79" s="120"/>
      <c r="AH79" s="120"/>
      <c r="AI79" s="120"/>
      <c r="AJ79" s="120"/>
      <c r="AK79" s="120"/>
      <c r="AL79" s="120"/>
      <c r="AM79" s="120"/>
      <c r="AN79" s="120"/>
      <c r="AO79" s="120"/>
      <c r="AP79" s="120"/>
      <c r="AQ79" s="120"/>
      <c r="AR79" s="120"/>
      <c r="AS79" s="120"/>
      <c r="AT79" s="120"/>
      <c r="AU79" s="120"/>
      <c r="AV79" s="120"/>
      <c r="AW79" s="120"/>
      <c r="AX79" s="120"/>
      <c r="AY79" s="120"/>
      <c r="AZ79" s="120"/>
      <c r="BA79" s="120"/>
      <c r="BB79" s="120"/>
      <c r="BC79" s="120"/>
      <c r="BD79" s="120"/>
      <c r="BE79" s="120"/>
      <c r="BF79" s="120"/>
      <c r="BG79" s="120"/>
      <c r="BH79" s="120"/>
      <c r="BI79" s="120"/>
      <c r="BJ79" s="120"/>
      <c r="BK79" s="120"/>
      <c r="BL79" s="120"/>
      <c r="BM79" s="120"/>
      <c r="BN79" s="120"/>
      <c r="BO79" s="120"/>
      <c r="BP79" s="120"/>
      <c r="BQ79" s="120"/>
      <c r="BR79" s="120"/>
      <c r="BS79" s="120"/>
      <c r="BT79" s="120"/>
      <c r="BU79" s="120"/>
      <c r="BV79" s="120"/>
      <c r="BW79" s="120"/>
      <c r="BX79" s="120"/>
      <c r="BY79" s="120"/>
      <c r="BZ79" s="120"/>
      <c r="CA79" s="120"/>
      <c r="CB79" s="120"/>
      <c r="CC79" s="120"/>
      <c r="CD79" s="120"/>
      <c r="CE79" s="120"/>
      <c r="CF79" s="120"/>
      <c r="CG79" s="120"/>
      <c r="CH79" s="120"/>
      <c r="CI79" s="120"/>
      <c r="CJ79" s="120"/>
    </row>
    <row r="84" spans="8:111">
      <c r="H84" s="210" t="s">
        <v>301</v>
      </c>
      <c r="I84" s="210"/>
      <c r="J84" s="210"/>
      <c r="K84" s="210"/>
      <c r="L84" s="210"/>
      <c r="M84" s="210"/>
      <c r="N84" s="210"/>
      <c r="O84" s="210"/>
      <c r="P84" s="210"/>
      <c r="R84" s="210" t="s">
        <v>425</v>
      </c>
      <c r="S84" s="210"/>
      <c r="T84" s="210"/>
      <c r="U84" s="210"/>
      <c r="V84" s="210"/>
      <c r="W84" s="210"/>
      <c r="X84" s="210"/>
      <c r="Y84" s="210"/>
      <c r="Z84" s="210"/>
    </row>
    <row r="85" spans="8:111" ht="14.65" customHeight="1">
      <c r="H85" s="72" t="s">
        <v>7</v>
      </c>
      <c r="I85" s="72" t="s">
        <v>429</v>
      </c>
      <c r="J85" s="72" t="s">
        <v>369</v>
      </c>
      <c r="K85" s="72"/>
      <c r="L85" s="209" t="s">
        <v>430</v>
      </c>
      <c r="M85" s="209"/>
      <c r="N85" s="209"/>
      <c r="O85" s="72"/>
      <c r="P85" s="72"/>
      <c r="R85" s="72" t="s">
        <v>7</v>
      </c>
      <c r="S85" s="72"/>
      <c r="T85" s="72" t="s">
        <v>466</v>
      </c>
      <c r="U85" s="72"/>
      <c r="V85" s="209" t="s">
        <v>431</v>
      </c>
      <c r="W85" s="209"/>
      <c r="X85" s="209"/>
      <c r="Y85" s="72"/>
      <c r="Z85" s="72"/>
      <c r="CS85" s="211" t="s">
        <v>356</v>
      </c>
      <c r="CT85" s="211"/>
      <c r="CU85" s="211"/>
      <c r="CV85" s="211"/>
      <c r="CW85" s="211"/>
      <c r="CX85" s="211"/>
      <c r="CY85" s="211"/>
      <c r="CZ85" s="211"/>
      <c r="DA85" s="211"/>
    </row>
    <row r="86" spans="8:111">
      <c r="H86" s="72"/>
      <c r="I86" s="72"/>
      <c r="J86" s="72"/>
      <c r="K86" s="72"/>
      <c r="L86" s="72" t="s">
        <v>370</v>
      </c>
      <c r="M86" s="72" t="s">
        <v>399</v>
      </c>
      <c r="N86" s="72" t="s">
        <v>372</v>
      </c>
      <c r="O86" s="72"/>
      <c r="P86" s="72"/>
      <c r="R86" s="72"/>
      <c r="S86" s="72"/>
      <c r="T86" s="72"/>
      <c r="U86" s="72"/>
      <c r="V86" s="72" t="s">
        <v>370</v>
      </c>
      <c r="W86" s="72" t="s">
        <v>399</v>
      </c>
      <c r="X86" s="72" t="s">
        <v>372</v>
      </c>
      <c r="Y86" s="72"/>
      <c r="Z86" s="72"/>
      <c r="CS86" s="45" t="s">
        <v>7</v>
      </c>
      <c r="CU86" s="45" t="s">
        <v>370</v>
      </c>
      <c r="CV86" s="45" t="s">
        <v>371</v>
      </c>
      <c r="CW86" s="45" t="s">
        <v>372</v>
      </c>
    </row>
    <row r="87" spans="8:111">
      <c r="H87" s="72" t="s">
        <v>435</v>
      </c>
      <c r="I87" s="172">
        <f>L5</f>
        <v>89.5</v>
      </c>
      <c r="J87" s="72" t="s">
        <v>379</v>
      </c>
      <c r="K87" s="72"/>
      <c r="L87" s="73">
        <f>I87*BQ25</f>
        <v>821.34831695331684</v>
      </c>
      <c r="M87" s="75">
        <f>I87*BQ24</f>
        <v>1051.2792930826638</v>
      </c>
      <c r="N87" s="75">
        <f>I87*BQ26</f>
        <v>1217.8195243042576</v>
      </c>
      <c r="O87" s="72"/>
      <c r="P87" s="72"/>
      <c r="R87" s="72" t="s">
        <v>435</v>
      </c>
      <c r="S87" s="73">
        <f>Y5</f>
        <v>174.92</v>
      </c>
      <c r="T87" s="72" t="s">
        <v>436</v>
      </c>
      <c r="U87" s="72"/>
      <c r="V87" s="73">
        <f>S87*CA25</f>
        <v>4102.7485999999999</v>
      </c>
      <c r="W87" s="75">
        <f>S87*CA24</f>
        <v>4165.7197999999989</v>
      </c>
      <c r="X87" s="75">
        <f>S87*CA26</f>
        <v>6996.7999999999993</v>
      </c>
      <c r="Y87" s="73">
        <f>MEDIAN(V87:X87)</f>
        <v>4165.7197999999989</v>
      </c>
      <c r="Z87" s="73">
        <f>AVERAGE(V87:X87)</f>
        <v>5088.4227999999994</v>
      </c>
      <c r="CS87" s="42" t="s">
        <v>378</v>
      </c>
      <c r="CU87" s="126">
        <f>BY25</f>
        <v>16.334180183701388</v>
      </c>
      <c r="CV87" s="126">
        <f>CW87-CU87</f>
        <v>7.7455849239145067</v>
      </c>
      <c r="CW87" s="126">
        <f>BY26</f>
        <v>24.079765107615895</v>
      </c>
    </row>
    <row r="88" spans="8:111">
      <c r="H88" s="72" t="s">
        <v>350</v>
      </c>
      <c r="I88" s="73">
        <f>W5</f>
        <v>100.5</v>
      </c>
      <c r="J88" s="72" t="s">
        <v>381</v>
      </c>
      <c r="K88" s="72"/>
      <c r="L88" s="73">
        <f>BQ25*I88</f>
        <v>922.29615479115466</v>
      </c>
      <c r="M88" s="73">
        <f>BR24*I88</f>
        <v>1110.5250000000001</v>
      </c>
      <c r="N88" s="73">
        <f>BR26*I88</f>
        <v>1321.575</v>
      </c>
      <c r="O88" s="72"/>
      <c r="P88" s="72"/>
      <c r="R88" s="72" t="s">
        <v>350</v>
      </c>
      <c r="S88" s="73">
        <f>AA5</f>
        <v>159.76</v>
      </c>
      <c r="T88" s="72" t="s">
        <v>437</v>
      </c>
      <c r="U88" s="72"/>
      <c r="V88" s="73">
        <f>S88*CB25</f>
        <v>3436.0382</v>
      </c>
      <c r="W88" s="73">
        <f>S88*CB24</f>
        <v>3613.7711999999992</v>
      </c>
      <c r="X88" s="73">
        <f>S88*CB26</f>
        <v>4463.6943999999994</v>
      </c>
      <c r="Y88" s="73">
        <f t="shared" ref="Y88:Y89" si="72">MEDIAN(V88:X88)</f>
        <v>3613.7711999999992</v>
      </c>
      <c r="Z88" s="73">
        <f t="shared" ref="Z88:Z89" si="73">AVERAGE(V88:X88)</f>
        <v>3837.8345999999997</v>
      </c>
      <c r="CS88" s="42" t="s">
        <v>385</v>
      </c>
      <c r="CU88" s="126">
        <f>BY46</f>
        <v>0.69941732749854757</v>
      </c>
      <c r="CV88" s="126">
        <f>CW88-CU88</f>
        <v>0.69430678237174948</v>
      </c>
      <c r="CW88" s="126">
        <f>BY47</f>
        <v>1.393724109870297</v>
      </c>
    </row>
    <row r="89" spans="8:111">
      <c r="H89" s="72" t="s">
        <v>351</v>
      </c>
      <c r="I89" s="72">
        <f>BB5</f>
        <v>110.3</v>
      </c>
      <c r="J89" s="72" t="s">
        <v>440</v>
      </c>
      <c r="K89" s="72"/>
      <c r="L89" s="72">
        <f>I89*BS25</f>
        <v>882.12425000000007</v>
      </c>
      <c r="M89" s="72">
        <f>I89*BS24</f>
        <v>1078.1825000000001</v>
      </c>
      <c r="N89" s="72">
        <f>I89*BS26</f>
        <v>1323.8757500000002</v>
      </c>
      <c r="O89" s="72"/>
      <c r="P89" s="72"/>
      <c r="R89" s="72" t="s">
        <v>351</v>
      </c>
      <c r="S89" s="73">
        <f>AB5</f>
        <v>177.71</v>
      </c>
      <c r="T89" s="72" t="s">
        <v>441</v>
      </c>
      <c r="U89" s="72"/>
      <c r="V89" s="73">
        <f>S89*CC25</f>
        <v>3451.1282000000006</v>
      </c>
      <c r="W89" s="73">
        <f>S89*CC24</f>
        <v>3826.9848500000003</v>
      </c>
      <c r="X89" s="73">
        <f>S89*CC26</f>
        <v>4452.0797750000002</v>
      </c>
      <c r="Y89" s="73">
        <f t="shared" si="72"/>
        <v>3826.9848500000003</v>
      </c>
      <c r="Z89" s="73">
        <f t="shared" si="73"/>
        <v>3910.0642750000006</v>
      </c>
      <c r="CS89" s="42" t="s">
        <v>393</v>
      </c>
      <c r="CU89" s="126">
        <f>BY65</f>
        <v>9.3555555555555561</v>
      </c>
      <c r="CV89" s="126">
        <f>CW89-CU89</f>
        <v>3.6203608979823816</v>
      </c>
      <c r="CW89" s="126">
        <f>BY66</f>
        <v>12.975916453537938</v>
      </c>
    </row>
    <row r="90" spans="8:111">
      <c r="H90" s="72"/>
      <c r="I90" s="72"/>
      <c r="J90" s="72"/>
      <c r="K90" s="72"/>
      <c r="L90" s="72"/>
      <c r="M90" s="72"/>
      <c r="N90" s="72"/>
      <c r="O90" s="72"/>
      <c r="P90" s="72"/>
      <c r="R90" s="72"/>
      <c r="S90" s="72"/>
      <c r="T90" s="72"/>
      <c r="U90" s="72"/>
      <c r="V90" s="72"/>
      <c r="W90" s="72"/>
      <c r="X90" s="72"/>
      <c r="Y90" s="72"/>
      <c r="Z90" s="72"/>
      <c r="CO90" s="210" t="s">
        <v>301</v>
      </c>
      <c r="CP90" s="210"/>
      <c r="CQ90" s="210"/>
      <c r="CR90" s="210"/>
      <c r="CS90" s="215"/>
      <c r="CT90" s="210"/>
      <c r="CU90" s="210"/>
      <c r="CV90" s="210"/>
      <c r="CW90" s="210"/>
      <c r="CY90" s="210" t="s">
        <v>425</v>
      </c>
      <c r="CZ90" s="210"/>
      <c r="DA90" s="210"/>
      <c r="DB90" s="210"/>
      <c r="DC90" s="210"/>
      <c r="DD90" s="210"/>
      <c r="DE90" s="210"/>
      <c r="DF90" s="210"/>
      <c r="DG90" s="210"/>
    </row>
    <row r="91" spans="8:111">
      <c r="H91" s="72"/>
      <c r="I91" s="72"/>
      <c r="J91" s="72"/>
      <c r="K91" s="72"/>
      <c r="L91" s="72"/>
      <c r="M91" s="72"/>
      <c r="N91" s="72"/>
      <c r="O91" s="72"/>
      <c r="P91" s="72"/>
      <c r="R91" s="72"/>
      <c r="S91" s="72"/>
      <c r="T91" s="72"/>
      <c r="U91" s="72"/>
      <c r="V91" s="72"/>
      <c r="W91" s="72"/>
      <c r="X91" s="72"/>
      <c r="Y91" s="72"/>
      <c r="Z91" s="72"/>
      <c r="CO91" s="72" t="s">
        <v>7</v>
      </c>
      <c r="CP91" s="72" t="s">
        <v>429</v>
      </c>
      <c r="CQ91" s="72" t="s">
        <v>369</v>
      </c>
      <c r="CR91" s="72"/>
      <c r="CS91" s="215"/>
      <c r="CT91" s="209"/>
      <c r="CU91" s="209"/>
      <c r="CV91" s="72"/>
      <c r="CW91" s="72"/>
      <c r="CY91" s="72" t="s">
        <v>7</v>
      </c>
      <c r="CZ91" s="72" t="s">
        <v>308</v>
      </c>
      <c r="DA91" s="72" t="s">
        <v>369</v>
      </c>
      <c r="DB91" s="72"/>
      <c r="DC91" s="209" t="s">
        <v>431</v>
      </c>
      <c r="DD91" s="209"/>
      <c r="DE91" s="209"/>
      <c r="DF91" s="72"/>
      <c r="DG91" s="72"/>
    </row>
    <row r="92" spans="8:111">
      <c r="H92" s="72"/>
      <c r="I92" s="72"/>
      <c r="J92" s="72"/>
      <c r="K92" s="72"/>
      <c r="L92" s="72"/>
      <c r="M92" s="72"/>
      <c r="N92" s="72"/>
      <c r="O92" s="72"/>
      <c r="P92" s="72"/>
      <c r="R92" s="72"/>
      <c r="S92" s="72"/>
      <c r="T92" s="72"/>
      <c r="U92" s="72"/>
      <c r="V92" s="72"/>
      <c r="W92" s="72"/>
      <c r="X92" s="72"/>
      <c r="Y92" s="72"/>
      <c r="Z92" s="72"/>
      <c r="CO92" s="72"/>
      <c r="CP92" s="72"/>
      <c r="CQ92" s="72"/>
      <c r="CR92" s="72"/>
      <c r="CT92" s="72" t="s">
        <v>399</v>
      </c>
      <c r="CU92" s="72" t="s">
        <v>372</v>
      </c>
      <c r="CV92" s="72"/>
      <c r="CW92" s="72"/>
      <c r="CY92" s="72"/>
      <c r="CZ92" s="72"/>
      <c r="DA92" s="72"/>
      <c r="DB92" s="72"/>
      <c r="DC92" s="72" t="s">
        <v>370</v>
      </c>
      <c r="DD92" s="72" t="s">
        <v>399</v>
      </c>
      <c r="DE92" s="72" t="s">
        <v>372</v>
      </c>
      <c r="DF92" s="72"/>
      <c r="DG92" s="72"/>
    </row>
    <row r="93" spans="8:111">
      <c r="H93" s="72"/>
      <c r="I93" s="72"/>
      <c r="J93" s="72"/>
      <c r="K93" s="72"/>
      <c r="L93" s="72"/>
      <c r="M93" s="72"/>
      <c r="N93" s="72"/>
      <c r="O93" s="72"/>
      <c r="P93" s="72"/>
      <c r="R93" s="72"/>
      <c r="S93" s="72"/>
      <c r="T93" s="72"/>
      <c r="U93" s="72"/>
      <c r="V93" s="72"/>
      <c r="W93" s="72"/>
      <c r="X93" s="72"/>
      <c r="Y93" s="72"/>
      <c r="Z93" s="72"/>
      <c r="CO93" s="72" t="s">
        <v>435</v>
      </c>
      <c r="CP93" s="73">
        <f>CS11</f>
        <v>0</v>
      </c>
      <c r="CQ93" s="72" t="s">
        <v>379</v>
      </c>
      <c r="CR93" s="72"/>
      <c r="CT93" s="75">
        <f>CP93*EX30</f>
        <v>0</v>
      </c>
      <c r="CU93" s="75">
        <f>CP93*EX32</f>
        <v>0</v>
      </c>
      <c r="CV93" s="72"/>
      <c r="CW93" s="72"/>
      <c r="CY93" s="72" t="s">
        <v>435</v>
      </c>
      <c r="CZ93" s="73">
        <f>DF11</f>
        <v>0</v>
      </c>
      <c r="DA93" s="72" t="s">
        <v>436</v>
      </c>
      <c r="DB93" s="72"/>
      <c r="DC93" s="73">
        <f>CZ93*FH31</f>
        <v>0</v>
      </c>
      <c r="DD93" s="75">
        <f>CZ93*FH30</f>
        <v>0</v>
      </c>
      <c r="DE93" s="75">
        <f>CZ93*FH32</f>
        <v>0</v>
      </c>
      <c r="DF93" s="72"/>
      <c r="DG93" s="72"/>
    </row>
    <row r="94" spans="8:111">
      <c r="CO94" s="72" t="s">
        <v>350</v>
      </c>
      <c r="CP94" s="73">
        <f>DD11</f>
        <v>0</v>
      </c>
      <c r="CQ94" s="72" t="s">
        <v>381</v>
      </c>
      <c r="CR94" s="72"/>
      <c r="CS94" s="73"/>
      <c r="CT94" s="73">
        <f>EY30*CP94</f>
        <v>0</v>
      </c>
      <c r="CU94" s="73">
        <f>EY32*CP94</f>
        <v>0</v>
      </c>
      <c r="CV94" s="72"/>
      <c r="CW94" s="72"/>
      <c r="CY94" s="72" t="s">
        <v>350</v>
      </c>
      <c r="CZ94" s="73">
        <f>DH11</f>
        <v>0</v>
      </c>
      <c r="DA94" s="72" t="s">
        <v>437</v>
      </c>
      <c r="DB94" s="72"/>
      <c r="DC94" s="73">
        <f>CZ94*FI31</f>
        <v>0</v>
      </c>
      <c r="DD94" s="73">
        <f>CZ94*FI30</f>
        <v>0</v>
      </c>
      <c r="DE94" s="73">
        <f>CZ94*FI32</f>
        <v>0</v>
      </c>
      <c r="DF94" s="72"/>
      <c r="DG94" s="72"/>
    </row>
    <row r="95" spans="8:111">
      <c r="CO95" s="72" t="s">
        <v>351</v>
      </c>
      <c r="CP95" s="72">
        <f>EI11</f>
        <v>0</v>
      </c>
      <c r="CQ95" s="72" t="s">
        <v>440</v>
      </c>
      <c r="CR95" s="72"/>
      <c r="CS95" s="72"/>
      <c r="CT95" s="72">
        <f>CP95*EZ30</f>
        <v>0</v>
      </c>
      <c r="CU95" s="72">
        <f>CP95*EZ32</f>
        <v>0</v>
      </c>
      <c r="CV95" s="72"/>
      <c r="CW95" s="72"/>
      <c r="CY95" s="72" t="s">
        <v>351</v>
      </c>
      <c r="CZ95" s="73">
        <f>DI11</f>
        <v>0</v>
      </c>
      <c r="DA95" s="72" t="s">
        <v>441</v>
      </c>
      <c r="DB95" s="72"/>
      <c r="DC95" s="73">
        <f>CZ95*FJ31</f>
        <v>0</v>
      </c>
      <c r="DD95" s="73">
        <f>CZ95*FJ30</f>
        <v>0</v>
      </c>
      <c r="DE95" s="73">
        <f>CZ95*FJ32</f>
        <v>0</v>
      </c>
      <c r="DF95" s="72"/>
      <c r="DG95" s="72"/>
    </row>
    <row r="96" spans="8:111">
      <c r="CO96" s="72"/>
      <c r="CP96" s="72"/>
      <c r="CQ96" s="72"/>
      <c r="CR96" s="72"/>
      <c r="CS96" s="72"/>
      <c r="CT96" s="72"/>
      <c r="CU96" s="72"/>
      <c r="CV96" s="72"/>
      <c r="CW96" s="72"/>
      <c r="CY96" s="72"/>
      <c r="CZ96" s="72"/>
      <c r="DA96" s="72"/>
      <c r="DB96" s="72"/>
      <c r="DC96" s="72"/>
      <c r="DD96" s="72"/>
      <c r="DE96" s="72"/>
      <c r="DF96" s="72"/>
      <c r="DG96" s="72"/>
    </row>
    <row r="97" spans="8:111">
      <c r="CO97" s="72"/>
      <c r="CP97" s="72"/>
      <c r="CQ97" s="72"/>
      <c r="CR97" s="72"/>
      <c r="CS97" s="72"/>
      <c r="CT97" s="72"/>
      <c r="CU97" s="72"/>
      <c r="CV97" s="72"/>
      <c r="CW97" s="72"/>
      <c r="CY97" s="72"/>
      <c r="CZ97" s="72"/>
      <c r="DA97" s="72"/>
      <c r="DB97" s="72"/>
      <c r="DC97" s="72"/>
      <c r="DD97" s="72"/>
      <c r="DE97" s="72"/>
      <c r="DF97" s="72"/>
      <c r="DG97" s="72"/>
    </row>
    <row r="98" spans="8:111">
      <c r="H98" s="210" t="s">
        <v>456</v>
      </c>
      <c r="I98" s="210"/>
      <c r="J98" s="210"/>
      <c r="K98" s="210"/>
      <c r="L98" s="210"/>
      <c r="M98" s="210"/>
      <c r="N98" s="210"/>
      <c r="O98" s="210"/>
      <c r="P98" s="210"/>
      <c r="R98" s="210" t="s">
        <v>467</v>
      </c>
      <c r="S98" s="210"/>
      <c r="T98" s="210"/>
      <c r="U98" s="210"/>
      <c r="V98" s="210"/>
      <c r="W98" s="210"/>
      <c r="X98" s="210"/>
      <c r="Y98" s="210"/>
      <c r="Z98" s="210"/>
      <c r="CO98" s="72"/>
      <c r="CP98" s="72"/>
      <c r="CQ98" s="72"/>
      <c r="CR98" s="72"/>
      <c r="CS98" s="72"/>
      <c r="CT98" s="72"/>
      <c r="CU98" s="72"/>
      <c r="CV98" s="72"/>
      <c r="CW98" s="72"/>
      <c r="CY98" s="72"/>
      <c r="CZ98" s="72"/>
      <c r="DA98" s="72"/>
      <c r="DB98" s="72"/>
      <c r="DC98" s="72"/>
      <c r="DD98" s="72"/>
      <c r="DE98" s="72"/>
      <c r="DF98" s="72"/>
      <c r="DG98" s="72"/>
    </row>
    <row r="99" spans="8:111">
      <c r="H99" s="72" t="s">
        <v>7</v>
      </c>
      <c r="I99" s="72" t="s">
        <v>429</v>
      </c>
      <c r="J99" s="72" t="s">
        <v>369</v>
      </c>
      <c r="K99" s="72"/>
      <c r="L99" s="209" t="s">
        <v>430</v>
      </c>
      <c r="M99" s="209"/>
      <c r="N99" s="209"/>
      <c r="O99" s="72"/>
      <c r="P99" s="72"/>
      <c r="R99" s="72" t="s">
        <v>7</v>
      </c>
      <c r="S99" s="72" t="s">
        <v>429</v>
      </c>
      <c r="T99" s="74" t="s">
        <v>369</v>
      </c>
      <c r="U99" s="72"/>
      <c r="V99" s="209" t="s">
        <v>431</v>
      </c>
      <c r="W99" s="209"/>
      <c r="X99" s="209"/>
      <c r="Y99" s="72"/>
      <c r="Z99" s="72"/>
      <c r="CO99" s="72"/>
      <c r="CP99" s="72"/>
      <c r="CQ99" s="72"/>
      <c r="CR99" s="72"/>
      <c r="CS99" s="72"/>
      <c r="CT99" s="72"/>
      <c r="CU99" s="72"/>
      <c r="CV99" s="72"/>
      <c r="CW99" s="72"/>
      <c r="CY99" s="72"/>
      <c r="CZ99" s="72"/>
      <c r="DA99" s="72"/>
      <c r="DB99" s="72"/>
      <c r="DC99" s="72"/>
      <c r="DD99" s="72"/>
      <c r="DE99" s="72"/>
      <c r="DF99" s="72"/>
      <c r="DG99" s="72"/>
    </row>
    <row r="100" spans="8:111">
      <c r="H100" s="72"/>
      <c r="I100" s="72"/>
      <c r="J100" s="72"/>
      <c r="K100" s="72"/>
      <c r="L100" s="72" t="s">
        <v>370</v>
      </c>
      <c r="M100" s="72" t="s">
        <v>399</v>
      </c>
      <c r="N100" s="72" t="s">
        <v>372</v>
      </c>
      <c r="O100" s="72"/>
      <c r="P100" s="72"/>
      <c r="R100" s="72"/>
      <c r="S100" s="72"/>
      <c r="T100" s="72"/>
      <c r="U100" s="72"/>
      <c r="V100" s="72" t="s">
        <v>370</v>
      </c>
      <c r="W100" s="72" t="s">
        <v>399</v>
      </c>
      <c r="X100" s="72" t="s">
        <v>372</v>
      </c>
      <c r="Y100" s="72"/>
      <c r="Z100" s="72"/>
    </row>
    <row r="101" spans="8:111">
      <c r="H101" s="72" t="s">
        <v>460</v>
      </c>
      <c r="I101" s="73">
        <f>I87</f>
        <v>89.5</v>
      </c>
      <c r="J101" s="72" t="s">
        <v>468</v>
      </c>
      <c r="K101" s="72"/>
      <c r="L101" s="73">
        <f>I101*BQ46</f>
        <v>724.02665951203483</v>
      </c>
      <c r="M101" s="75">
        <f>I101*BQ45</f>
        <v>785.58079268292681</v>
      </c>
      <c r="N101" s="75">
        <f>I101*BQ47</f>
        <v>967.87473974763407</v>
      </c>
      <c r="O101" s="72"/>
      <c r="P101" s="72"/>
      <c r="R101" s="72" t="s">
        <v>460</v>
      </c>
      <c r="S101" s="73">
        <f>S87</f>
        <v>174.92</v>
      </c>
      <c r="T101" s="72" t="s">
        <v>469</v>
      </c>
      <c r="U101" s="72"/>
      <c r="V101" s="73">
        <f>S101*CA46</f>
        <v>3182.6693999999998</v>
      </c>
      <c r="W101" s="75">
        <f>S101*CA45</f>
        <v>3633.0883999999996</v>
      </c>
      <c r="X101" s="75">
        <f>S101*CA47</f>
        <v>3841.2431999999999</v>
      </c>
      <c r="Y101" s="72"/>
      <c r="Z101" s="73">
        <f>AVERAGE(V101:X101)</f>
        <v>3552.3336666666669</v>
      </c>
    </row>
    <row r="102" spans="8:111">
      <c r="H102" s="72" t="s">
        <v>462</v>
      </c>
      <c r="I102" s="73">
        <f t="shared" ref="I102:I103" si="74">I88</f>
        <v>100.5</v>
      </c>
      <c r="J102" s="72" t="s">
        <v>470</v>
      </c>
      <c r="K102" s="72"/>
      <c r="L102" s="73">
        <f>I102*BR46</f>
        <v>794.95500000000004</v>
      </c>
      <c r="M102" s="73">
        <f>I102*BR45</f>
        <v>877.36500000000001</v>
      </c>
      <c r="N102" s="73">
        <f>I102*BR47</f>
        <v>1037.6624999999999</v>
      </c>
      <c r="O102" s="72"/>
      <c r="P102" s="72"/>
      <c r="R102" s="72" t="s">
        <v>462</v>
      </c>
      <c r="S102" s="73">
        <f>S88</f>
        <v>159.76</v>
      </c>
      <c r="T102" s="72" t="s">
        <v>471</v>
      </c>
      <c r="U102" s="72"/>
      <c r="V102" s="73">
        <f>S102*CB46</f>
        <v>2771.8360000000002</v>
      </c>
      <c r="W102" s="73">
        <f>S102*CB45</f>
        <v>2795.7999999999997</v>
      </c>
      <c r="X102" s="73">
        <f>S102*CB47</f>
        <v>2997.0975999999996</v>
      </c>
      <c r="Y102" s="72"/>
      <c r="Z102" s="73">
        <f t="shared" ref="Z102:Z103" si="75">AVERAGE(V102:X102)</f>
        <v>2854.9112</v>
      </c>
    </row>
    <row r="103" spans="8:111">
      <c r="H103" s="72" t="s">
        <v>464</v>
      </c>
      <c r="I103" s="73">
        <f t="shared" si="74"/>
        <v>110.3</v>
      </c>
      <c r="J103" s="72" t="s">
        <v>472</v>
      </c>
      <c r="K103" s="72"/>
      <c r="L103" s="72">
        <f>I103*BS46</f>
        <v>830.00750000000005</v>
      </c>
      <c r="M103" s="72">
        <f>I103*BS45</f>
        <v>935.34400000000005</v>
      </c>
      <c r="N103" s="72">
        <f>I103*BS47</f>
        <v>1067.1525000000001</v>
      </c>
      <c r="O103" s="72"/>
      <c r="P103" s="72"/>
      <c r="R103" s="72" t="s">
        <v>464</v>
      </c>
      <c r="S103" s="73">
        <f>S89</f>
        <v>177.71</v>
      </c>
      <c r="T103" s="72" t="s">
        <v>473</v>
      </c>
      <c r="U103" s="72"/>
      <c r="V103" s="73">
        <f>S103*CC46</f>
        <v>2735.8454500000003</v>
      </c>
      <c r="W103" s="73">
        <f>S103*CC45</f>
        <v>2887.7874999999999</v>
      </c>
      <c r="X103" s="73">
        <f>S103*CC47</f>
        <v>3118.8104999999996</v>
      </c>
      <c r="Y103" s="72"/>
      <c r="Z103" s="73">
        <f t="shared" si="75"/>
        <v>2914.1478166666661</v>
      </c>
    </row>
    <row r="104" spans="8:111">
      <c r="H104" s="72"/>
      <c r="I104" s="72"/>
      <c r="J104" s="72"/>
      <c r="K104" s="72"/>
      <c r="L104" s="72"/>
      <c r="M104" s="72"/>
      <c r="N104" s="72"/>
      <c r="O104" s="72"/>
      <c r="P104" s="72"/>
      <c r="R104" s="72"/>
      <c r="S104" s="72"/>
      <c r="T104" s="72"/>
      <c r="U104" s="72"/>
      <c r="V104" s="72"/>
      <c r="W104" s="72"/>
      <c r="X104" s="72"/>
      <c r="Y104" s="72"/>
      <c r="Z104" s="72"/>
      <c r="CO104" s="210" t="s">
        <v>456</v>
      </c>
      <c r="CP104" s="210"/>
      <c r="CQ104" s="210"/>
      <c r="CR104" s="210"/>
      <c r="CS104" s="210"/>
      <c r="CT104" s="210"/>
      <c r="CU104" s="210"/>
      <c r="CV104" s="210"/>
      <c r="CW104" s="210"/>
      <c r="CY104" s="210" t="s">
        <v>467</v>
      </c>
      <c r="CZ104" s="210"/>
      <c r="DA104" s="210"/>
      <c r="DB104" s="210"/>
      <c r="DC104" s="210"/>
      <c r="DD104" s="210"/>
      <c r="DE104" s="210"/>
      <c r="DF104" s="210"/>
      <c r="DG104" s="210"/>
    </row>
    <row r="105" spans="8:111">
      <c r="H105" s="72"/>
      <c r="I105" s="72"/>
      <c r="J105" s="72"/>
      <c r="K105" s="72"/>
      <c r="L105" s="72"/>
      <c r="M105" s="72"/>
      <c r="N105" s="72"/>
      <c r="O105" s="72"/>
      <c r="P105" s="72"/>
      <c r="R105" s="72"/>
      <c r="S105" s="72"/>
      <c r="T105" s="72"/>
      <c r="U105" s="72"/>
      <c r="V105" s="72"/>
      <c r="W105" s="72"/>
      <c r="X105" s="72"/>
      <c r="Y105" s="72"/>
      <c r="Z105" s="72"/>
      <c r="CO105" s="72" t="s">
        <v>7</v>
      </c>
      <c r="CP105" s="72" t="s">
        <v>429</v>
      </c>
      <c r="CQ105" s="72" t="s">
        <v>369</v>
      </c>
      <c r="CR105" s="72"/>
      <c r="CS105" s="209" t="s">
        <v>430</v>
      </c>
      <c r="CT105" s="209"/>
      <c r="CU105" s="209"/>
      <c r="CV105" s="72"/>
      <c r="CW105" s="72"/>
      <c r="CY105" s="72" t="s">
        <v>7</v>
      </c>
      <c r="CZ105" s="72" t="s">
        <v>429</v>
      </c>
      <c r="DA105" s="74" t="s">
        <v>369</v>
      </c>
      <c r="DB105" s="72"/>
      <c r="DC105" s="209" t="s">
        <v>431</v>
      </c>
      <c r="DD105" s="209"/>
      <c r="DE105" s="209"/>
      <c r="DF105" s="72"/>
      <c r="DG105" s="72"/>
    </row>
    <row r="106" spans="8:111">
      <c r="H106" s="72"/>
      <c r="I106" s="72"/>
      <c r="J106" s="72"/>
      <c r="K106" s="72"/>
      <c r="L106" s="72"/>
      <c r="M106" s="72"/>
      <c r="N106" s="72"/>
      <c r="O106" s="72"/>
      <c r="P106" s="72"/>
      <c r="R106" s="72"/>
      <c r="S106" s="72"/>
      <c r="T106" s="72"/>
      <c r="U106" s="72"/>
      <c r="V106" s="72"/>
      <c r="W106" s="72"/>
      <c r="X106" s="72"/>
      <c r="Y106" s="72"/>
      <c r="Z106" s="72"/>
      <c r="CO106" s="72"/>
      <c r="CP106" s="72"/>
      <c r="CQ106" s="72"/>
      <c r="CR106" s="72"/>
      <c r="CS106" s="72" t="s">
        <v>370</v>
      </c>
      <c r="CT106" s="72" t="s">
        <v>399</v>
      </c>
      <c r="CU106" s="72" t="s">
        <v>372</v>
      </c>
      <c r="CV106" s="72"/>
      <c r="CW106" s="72"/>
      <c r="CY106" s="72"/>
      <c r="CZ106" s="72"/>
      <c r="DA106" s="72"/>
      <c r="DB106" s="72"/>
      <c r="DC106" s="72" t="s">
        <v>370</v>
      </c>
      <c r="DD106" s="72" t="s">
        <v>399</v>
      </c>
      <c r="DE106" s="72" t="s">
        <v>372</v>
      </c>
      <c r="DF106" s="72"/>
      <c r="DG106" s="72"/>
    </row>
    <row r="107" spans="8:111">
      <c r="H107" s="72"/>
      <c r="I107" s="72"/>
      <c r="J107" s="72"/>
      <c r="K107" s="72"/>
      <c r="L107" s="72"/>
      <c r="M107" s="72"/>
      <c r="N107" s="72"/>
      <c r="O107" s="72"/>
      <c r="P107" s="72"/>
      <c r="R107" s="72"/>
      <c r="S107" s="72"/>
      <c r="T107" s="72"/>
      <c r="U107" s="72"/>
      <c r="V107" s="72"/>
      <c r="W107" s="72"/>
      <c r="X107" s="72"/>
      <c r="Y107" s="72"/>
      <c r="Z107" s="72"/>
      <c r="CO107" s="72" t="s">
        <v>460</v>
      </c>
      <c r="CP107" s="73">
        <f>CP93</f>
        <v>0</v>
      </c>
      <c r="CQ107" s="72" t="s">
        <v>468</v>
      </c>
      <c r="CR107" s="72"/>
      <c r="CS107" s="73">
        <f>CP107*EX52</f>
        <v>0</v>
      </c>
      <c r="CT107" s="75">
        <f>CP107*EX51</f>
        <v>0</v>
      </c>
      <c r="CU107" s="75">
        <f>CP107*EX53</f>
        <v>0</v>
      </c>
      <c r="CV107" s="72"/>
      <c r="CW107" s="72"/>
      <c r="CY107" s="72" t="s">
        <v>460</v>
      </c>
      <c r="CZ107" s="73">
        <f>CZ93</f>
        <v>0</v>
      </c>
      <c r="DA107" s="72" t="s">
        <v>469</v>
      </c>
      <c r="DB107" s="72"/>
      <c r="DC107" s="73">
        <f>CZ107*FH52</f>
        <v>0</v>
      </c>
      <c r="DD107" s="75">
        <f>CZ107*FH51</f>
        <v>0</v>
      </c>
      <c r="DE107" s="75">
        <f>CZ107*FH53</f>
        <v>0</v>
      </c>
      <c r="DF107" s="72"/>
      <c r="DG107" s="72"/>
    </row>
    <row r="108" spans="8:111">
      <c r="CO108" s="72" t="s">
        <v>462</v>
      </c>
      <c r="CP108" s="73">
        <f t="shared" ref="CP108:CP109" si="76">CP94</f>
        <v>0</v>
      </c>
      <c r="CQ108" s="72" t="s">
        <v>470</v>
      </c>
      <c r="CR108" s="72"/>
      <c r="CS108" s="73">
        <f>CP108*EY52</f>
        <v>0</v>
      </c>
      <c r="CT108" s="73">
        <f>CP108*EY51</f>
        <v>0</v>
      </c>
      <c r="CU108" s="73">
        <f>CP108*EY53</f>
        <v>0</v>
      </c>
      <c r="CV108" s="72"/>
      <c r="CW108" s="72"/>
      <c r="CY108" s="72" t="s">
        <v>462</v>
      </c>
      <c r="CZ108" s="73">
        <f>CZ94</f>
        <v>0</v>
      </c>
      <c r="DA108" s="72" t="s">
        <v>471</v>
      </c>
      <c r="DB108" s="72"/>
      <c r="DC108" s="73">
        <f>CZ108*FI52</f>
        <v>0</v>
      </c>
      <c r="DD108" s="73">
        <f>CZ108*FI51</f>
        <v>0</v>
      </c>
      <c r="DE108" s="73">
        <f>CZ108*FI53</f>
        <v>0</v>
      </c>
      <c r="DF108" s="72"/>
      <c r="DG108" s="72"/>
    </row>
    <row r="109" spans="8:111">
      <c r="CO109" s="72" t="s">
        <v>464</v>
      </c>
      <c r="CP109" s="73">
        <f t="shared" si="76"/>
        <v>0</v>
      </c>
      <c r="CQ109" s="72" t="s">
        <v>472</v>
      </c>
      <c r="CR109" s="72"/>
      <c r="CS109" s="72">
        <f>CP109*EZ52</f>
        <v>0</v>
      </c>
      <c r="CT109" s="72">
        <f>CP109*EZ51</f>
        <v>0</v>
      </c>
      <c r="CU109" s="72">
        <f>CP109*EZ53</f>
        <v>0</v>
      </c>
      <c r="CV109" s="72"/>
      <c r="CW109" s="72"/>
      <c r="CY109" s="72" t="s">
        <v>464</v>
      </c>
      <c r="CZ109" s="73">
        <f>CZ95</f>
        <v>0</v>
      </c>
      <c r="DA109" s="72" t="s">
        <v>473</v>
      </c>
      <c r="DB109" s="72"/>
      <c r="DC109" s="73">
        <f>CZ109*FJ52</f>
        <v>0</v>
      </c>
      <c r="DD109" s="73">
        <f>CZ109*FJ51</f>
        <v>0</v>
      </c>
      <c r="DE109" s="73">
        <f>CZ109*FJ53</f>
        <v>0</v>
      </c>
      <c r="DF109" s="72"/>
      <c r="DG109" s="72"/>
    </row>
    <row r="110" spans="8:111">
      <c r="CO110" s="72"/>
      <c r="CP110" s="72"/>
      <c r="CQ110" s="72"/>
      <c r="CR110" s="72"/>
      <c r="CS110" s="72"/>
      <c r="CT110" s="72"/>
      <c r="CU110" s="72"/>
      <c r="CV110" s="72"/>
      <c r="CW110" s="72"/>
      <c r="CY110" s="72"/>
      <c r="CZ110" s="72"/>
      <c r="DA110" s="72"/>
      <c r="DB110" s="72"/>
      <c r="DC110" s="72"/>
      <c r="DD110" s="72"/>
      <c r="DE110" s="72"/>
      <c r="DF110" s="72"/>
      <c r="DG110" s="72"/>
    </row>
    <row r="111" spans="8:111">
      <c r="CO111" s="72"/>
      <c r="CP111" s="72"/>
      <c r="CQ111" s="72"/>
      <c r="CR111" s="72"/>
      <c r="CS111" s="72"/>
      <c r="CT111" s="72"/>
      <c r="CU111" s="72"/>
      <c r="CV111" s="72"/>
      <c r="CW111" s="72"/>
      <c r="CY111" s="72"/>
      <c r="CZ111" s="72"/>
      <c r="DA111" s="72"/>
      <c r="DB111" s="72"/>
      <c r="DC111" s="72"/>
      <c r="DD111" s="72"/>
      <c r="DE111" s="72"/>
      <c r="DF111" s="72"/>
      <c r="DG111" s="72"/>
    </row>
    <row r="112" spans="8:111">
      <c r="H112" s="42" t="s">
        <v>474</v>
      </c>
      <c r="CO112" s="72"/>
      <c r="CP112" s="72"/>
      <c r="CQ112" s="72"/>
      <c r="CR112" s="72"/>
      <c r="CS112" s="72"/>
      <c r="CT112" s="72"/>
      <c r="CU112" s="72"/>
      <c r="CV112" s="72"/>
      <c r="CW112" s="72"/>
      <c r="CY112" s="72"/>
      <c r="CZ112" s="72"/>
      <c r="DA112" s="72"/>
      <c r="DB112" s="72"/>
      <c r="DC112" s="72"/>
      <c r="DD112" s="72"/>
      <c r="DE112" s="72"/>
      <c r="DF112" s="72"/>
      <c r="DG112" s="72"/>
    </row>
    <row r="113" spans="8:111">
      <c r="I113" s="72" t="s">
        <v>370</v>
      </c>
      <c r="J113" s="72" t="s">
        <v>371</v>
      </c>
      <c r="K113" s="72" t="s">
        <v>372</v>
      </c>
      <c r="R113" s="72" t="s">
        <v>435</v>
      </c>
      <c r="S113" s="73">
        <v>4102.7485999999999</v>
      </c>
      <c r="T113" s="68">
        <f>U113-S113</f>
        <v>2894.0513999999994</v>
      </c>
      <c r="U113" s="75">
        <v>6996.7999999999993</v>
      </c>
      <c r="CO113" s="72"/>
      <c r="CP113" s="72"/>
      <c r="CQ113" s="72"/>
      <c r="CR113" s="72"/>
      <c r="CS113" s="72"/>
      <c r="CT113" s="72"/>
      <c r="CU113" s="72"/>
      <c r="CV113" s="72"/>
      <c r="CW113" s="72"/>
      <c r="CY113" s="72"/>
      <c r="CZ113" s="72"/>
      <c r="DA113" s="72"/>
      <c r="DB113" s="72"/>
      <c r="DC113" s="72"/>
      <c r="DD113" s="72"/>
      <c r="DE113" s="72"/>
      <c r="DF113" s="72"/>
      <c r="DG113" s="72"/>
    </row>
    <row r="114" spans="8:111">
      <c r="H114" s="72" t="s">
        <v>435</v>
      </c>
      <c r="I114" s="75">
        <v>821.34831695331684</v>
      </c>
      <c r="J114" s="75">
        <f>K114-I114</f>
        <v>396.47120735094074</v>
      </c>
      <c r="K114" s="75">
        <v>1217.8195243042576</v>
      </c>
      <c r="R114" s="72" t="s">
        <v>350</v>
      </c>
      <c r="S114" s="73">
        <v>3436.0382</v>
      </c>
      <c r="T114" s="68">
        <f t="shared" ref="T114:T118" si="77">U114-S114</f>
        <v>1027.6561999999994</v>
      </c>
      <c r="U114" s="75">
        <v>4463.6943999999994</v>
      </c>
    </row>
    <row r="115" spans="8:111">
      <c r="H115" s="72" t="s">
        <v>350</v>
      </c>
      <c r="I115" s="75">
        <v>922.29615479115466</v>
      </c>
      <c r="J115" s="75">
        <f t="shared" ref="J115:J119" si="78">K115-I115</f>
        <v>399.27884520884538</v>
      </c>
      <c r="K115" s="75">
        <v>1321.575</v>
      </c>
      <c r="R115" s="72" t="s">
        <v>351</v>
      </c>
      <c r="S115" s="73">
        <v>3451.1282000000006</v>
      </c>
      <c r="T115" s="68">
        <f t="shared" si="77"/>
        <v>1000.9515749999996</v>
      </c>
      <c r="U115" s="75">
        <v>4452.0797750000002</v>
      </c>
    </row>
    <row r="116" spans="8:111">
      <c r="H116" s="72" t="s">
        <v>351</v>
      </c>
      <c r="I116" s="75">
        <v>882.12425000000007</v>
      </c>
      <c r="J116" s="75">
        <f t="shared" si="78"/>
        <v>441.75150000000008</v>
      </c>
      <c r="K116" s="75">
        <v>1323.8757500000002</v>
      </c>
      <c r="R116" s="72" t="s">
        <v>385</v>
      </c>
      <c r="S116" s="73">
        <v>3299.8658</v>
      </c>
      <c r="T116" s="68">
        <f t="shared" si="77"/>
        <v>599.10099999999966</v>
      </c>
      <c r="U116" s="75">
        <v>3898.9667999999997</v>
      </c>
    </row>
    <row r="117" spans="8:111">
      <c r="H117" s="72" t="s">
        <v>460</v>
      </c>
      <c r="I117" s="75">
        <v>763.02517237854318</v>
      </c>
      <c r="J117" s="75">
        <f t="shared" si="78"/>
        <v>232.78443724290787</v>
      </c>
      <c r="K117" s="75">
        <v>995.80960962145105</v>
      </c>
      <c r="R117" s="72" t="s">
        <v>475</v>
      </c>
      <c r="S117" s="73">
        <v>2788.6107999999999</v>
      </c>
      <c r="T117" s="68">
        <f t="shared" si="77"/>
        <v>210.08439999999973</v>
      </c>
      <c r="U117" s="75">
        <v>2998.6951999999997</v>
      </c>
    </row>
    <row r="118" spans="8:111">
      <c r="H118" s="72" t="s">
        <v>462</v>
      </c>
      <c r="I118" s="75">
        <v>814.05</v>
      </c>
      <c r="J118" s="75">
        <f t="shared" si="78"/>
        <v>240.94875000000002</v>
      </c>
      <c r="K118" s="75">
        <v>1054.99875</v>
      </c>
      <c r="R118" s="72" t="s">
        <v>390</v>
      </c>
      <c r="S118" s="73">
        <v>2885.12185</v>
      </c>
      <c r="T118" s="68">
        <f t="shared" si="77"/>
        <v>248.79399999999987</v>
      </c>
      <c r="U118" s="75">
        <v>3133.9158499999999</v>
      </c>
    </row>
    <row r="119" spans="8:111">
      <c r="H119" s="72" t="s">
        <v>464</v>
      </c>
      <c r="I119" s="75">
        <v>857.58249999999998</v>
      </c>
      <c r="J119" s="75">
        <f t="shared" si="78"/>
        <v>221.42724999999996</v>
      </c>
      <c r="K119" s="75">
        <v>1079.0097499999999</v>
      </c>
    </row>
  </sheetData>
  <mergeCells count="43">
    <mergeCell ref="CS57:CW57"/>
    <mergeCell ref="DB14:DD14"/>
    <mergeCell ref="DF14:DH14"/>
    <mergeCell ref="CS13:DM13"/>
    <mergeCell ref="CO104:CW104"/>
    <mergeCell ref="CY104:DG104"/>
    <mergeCell ref="CQ50:CY50"/>
    <mergeCell ref="DA50:DI50"/>
    <mergeCell ref="CU51:CW51"/>
    <mergeCell ref="DE51:DG51"/>
    <mergeCell ref="CS26:DA26"/>
    <mergeCell ref="CS56:DC56"/>
    <mergeCell ref="CS105:CU105"/>
    <mergeCell ref="DC105:DE105"/>
    <mergeCell ref="CS85:DA85"/>
    <mergeCell ref="CO90:CW90"/>
    <mergeCell ref="CY90:DG90"/>
    <mergeCell ref="CS91:CU91"/>
    <mergeCell ref="DC91:DE91"/>
    <mergeCell ref="G71:BO74"/>
    <mergeCell ref="L99:N99"/>
    <mergeCell ref="R98:Z98"/>
    <mergeCell ref="V99:X99"/>
    <mergeCell ref="H84:P84"/>
    <mergeCell ref="L85:N85"/>
    <mergeCell ref="R84:Z84"/>
    <mergeCell ref="V85:X85"/>
    <mergeCell ref="H98:P98"/>
    <mergeCell ref="AU2:BF2"/>
    <mergeCell ref="BJ2:BL2"/>
    <mergeCell ref="BQ2:BS2"/>
    <mergeCell ref="CA2:CC2"/>
    <mergeCell ref="T3:U3"/>
    <mergeCell ref="V3:W3"/>
    <mergeCell ref="Y3:AB3"/>
    <mergeCell ref="BQ3:BS3"/>
    <mergeCell ref="CA3:CC3"/>
    <mergeCell ref="AL2:AO2"/>
    <mergeCell ref="G2:H2"/>
    <mergeCell ref="J2:M2"/>
    <mergeCell ref="O2:R2"/>
    <mergeCell ref="T2:AB2"/>
    <mergeCell ref="AG2:AJ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FEB1F-6828-41C7-9BA9-125EC020114B}">
  <dimension ref="AA8"/>
  <sheetViews>
    <sheetView workbookViewId="0"/>
  </sheetViews>
  <sheetFormatPr defaultRowHeight="14.65"/>
  <sheetData>
    <row r="8" spans="27:27">
      <c r="AA8">
        <v>43082119275279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983086-1A6C-4FF9-A561-81AEF9EB93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2026-02-01T13:18:09Z</dcterms:created>
  <dcterms:modified xsi:type="dcterms:W3CDTF">2026-02-25T13:05:26Z</dcterms:modified>
  <cp:category/>
  <cp:contentStatus/>
</cp:coreProperties>
</file>