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ink/ink1.xml" ContentType="application/inkml+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entuedu.sharepoint.com/sites/EquityVal-GrpProject/Shared Documents/General/Macy's Inc Grp Project/Macy's Financial Models/"/>
    </mc:Choice>
  </mc:AlternateContent>
  <xr:revisionPtr revIDLastSave="91" documentId="8_{743090BD-A740-4526-914C-336AC1CA8CF8}" xr6:coauthVersionLast="47" xr6:coauthVersionMax="47" xr10:uidLastSave="{AFE359FA-FB25-4626-9843-8EDAF18C845A}"/>
  <bookViews>
    <workbookView xWindow="-98" yWindow="-98" windowWidth="22875" windowHeight="14370" tabRatio="779" firstSheet="13" activeTab="13" xr2:uid="{3A4A7B5C-8C0D-A240-8A08-8BEE09B36A0A}"/>
  </bookViews>
  <sheets>
    <sheet name="Trading Multiples" sheetId="32" r:id="rId1"/>
    <sheet name="Implied Valuation" sheetId="31" r:id="rId2"/>
    <sheet name="Cover" sheetId="1" r:id="rId3"/>
    <sheet name="Key Stats" sheetId="2" r:id="rId4"/>
    <sheet name="FA" sheetId="13" state="hidden" r:id="rId5"/>
    <sheet name="Financial Analysis" sheetId="16" r:id="rId6"/>
    <sheet name="FA Graphs" sheetId="20" r:id="rId7"/>
    <sheet name="3FS" sheetId="15" r:id="rId8"/>
    <sheet name="D&amp;A" sheetId="19" r:id="rId9"/>
    <sheet name="Stores" sheetId="27" r:id="rId10"/>
    <sheet name="Schedule's" sheetId="21" r:id="rId11"/>
    <sheet name="BS" sheetId="4" r:id="rId12"/>
    <sheet name="DCF (2)" sheetId="28" r:id="rId13"/>
    <sheet name="DCF" sheetId="22" r:id="rId14"/>
    <sheet name="IS" sheetId="3" r:id="rId15"/>
    <sheet name="CFS" sheetId="5" r:id="rId16"/>
    <sheet name="Relative Valuation" sheetId="24" r:id="rId17"/>
    <sheet name="Comparables' info" sheetId="25" r:id="rId18"/>
    <sheet name="Other stuff" sheetId="12" r:id="rId19"/>
    <sheet name="Segments" sheetId="18" r:id="rId20"/>
    <sheet name="Industry Specific (annual)" sheetId="9" r:id="rId21"/>
    <sheet name="Capital Structure Summary" sheetId="7" r:id="rId22"/>
    <sheet name="Schedule's (2)" sheetId="30" r:id="rId23"/>
    <sheet name="Revenue per store" sheetId="26" r:id="rId24"/>
  </sheets>
  <externalReferences>
    <externalReference r:id="rId25"/>
  </externalReferences>
  <definedNames>
    <definedName name="CIQWBGuid" hidden="1">"6a4c0e0f-2d6f-4249-88f7-2fe08405de6b"</definedName>
    <definedName name="CIQWBInfo" hidden="1">"{ ""CIQVersion"":""9.51.3510.3078"" }"</definedName>
    <definedName name="_xlnm.Print_Titles" localSheetId="7">'3FS'!$1:$3</definedName>
    <definedName name="_xlnm.Print_Titles" localSheetId="11">BS!$1:$3</definedName>
    <definedName name="_xlnm.Print_Titles" localSheetId="21">'Capital Structure Summary'!$1:$3</definedName>
    <definedName name="_xlnm.Print_Titles" localSheetId="15">CFS!$1:$3</definedName>
    <definedName name="_xlnm.Print_Titles" localSheetId="17">'Comparables'' info'!$1:$3</definedName>
    <definedName name="_xlnm.Print_Titles" localSheetId="6">'FA Graphs'!$1:$3</definedName>
    <definedName name="_xlnm.Print_Titles" localSheetId="5">'Financial Analysis'!$1:$3</definedName>
    <definedName name="_xlnm.Print_Titles" localSheetId="1">'Implied Valuation'!#REF!</definedName>
    <definedName name="_xlnm.Print_Titles" localSheetId="20">'Industry Specific (annual)'!$1:$3</definedName>
    <definedName name="_xlnm.Print_Titles" localSheetId="14">IS!$1:$3</definedName>
    <definedName name="_xlnm.Print_Titles" localSheetId="3">'Key Stats'!$1:$3</definedName>
    <definedName name="_xlnm.Print_Titles" localSheetId="0">'Trading Multiples'!#REF!</definedName>
  </definedNames>
  <calcPr calcId="191028" iterateDelta="9.999999999999445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2" l="1"/>
  <c r="C53" i="2"/>
  <c r="E8" i="32"/>
  <c r="F8" i="32" l="1"/>
  <c r="B8" i="32"/>
  <c r="C8" i="32"/>
  <c r="I14" i="32"/>
  <c r="H14" i="32"/>
  <c r="G14" i="32"/>
  <c r="F14" i="32"/>
  <c r="E14" i="32"/>
  <c r="D14" i="32"/>
  <c r="C14" i="32"/>
  <c r="B14" i="32"/>
  <c r="I13" i="32"/>
  <c r="H13" i="32"/>
  <c r="G13" i="32"/>
  <c r="F13" i="32"/>
  <c r="E13" i="32"/>
  <c r="D13" i="32"/>
  <c r="C13" i="32"/>
  <c r="B13" i="32"/>
  <c r="I12" i="32"/>
  <c r="H12" i="32"/>
  <c r="G12" i="32"/>
  <c r="F12" i="32"/>
  <c r="E12" i="32"/>
  <c r="D12" i="32"/>
  <c r="C12" i="32"/>
  <c r="B12" i="32"/>
  <c r="I11" i="32"/>
  <c r="H11" i="32"/>
  <c r="G11" i="32"/>
  <c r="F11" i="32"/>
  <c r="E11" i="32"/>
  <c r="D11" i="32"/>
  <c r="C11" i="32"/>
  <c r="B11" i="32"/>
  <c r="D35" i="31"/>
  <c r="D27" i="31"/>
  <c r="D25" i="31"/>
  <c r="D33" i="31" s="1"/>
  <c r="E16" i="31"/>
  <c r="E27" i="31" s="1"/>
  <c r="E35" i="31" s="1"/>
  <c r="D16" i="31"/>
  <c r="C16" i="31"/>
  <c r="C27" i="31" s="1"/>
  <c r="C35" i="31" s="1"/>
  <c r="D15" i="31"/>
  <c r="D26" i="31" s="1"/>
  <c r="D34" i="31" s="1"/>
  <c r="D14" i="31"/>
  <c r="F13" i="31"/>
  <c r="F24" i="31" s="1"/>
  <c r="F32" i="31" s="1"/>
  <c r="B13" i="31"/>
  <c r="B24" i="31" s="1"/>
  <c r="B32" i="31" s="1"/>
  <c r="I10" i="31"/>
  <c r="I27" i="31" s="1"/>
  <c r="I35" i="31" s="1"/>
  <c r="H10" i="31"/>
  <c r="H27" i="31" s="1"/>
  <c r="H35" i="31" s="1"/>
  <c r="G10" i="31"/>
  <c r="G27" i="31" s="1"/>
  <c r="G35" i="31" s="1"/>
  <c r="F10" i="31"/>
  <c r="F16" i="31" s="1"/>
  <c r="F27" i="31" s="1"/>
  <c r="F35" i="31" s="1"/>
  <c r="E10" i="31"/>
  <c r="C10" i="31"/>
  <c r="B10" i="31"/>
  <c r="B16" i="31" s="1"/>
  <c r="B27" i="31" s="1"/>
  <c r="B35" i="31" s="1"/>
  <c r="I9" i="31"/>
  <c r="I26" i="31" s="1"/>
  <c r="I34" i="31" s="1"/>
  <c r="H9" i="31"/>
  <c r="H26" i="31" s="1"/>
  <c r="H34" i="31" s="1"/>
  <c r="G9" i="31"/>
  <c r="G26" i="31" s="1"/>
  <c r="G34" i="31" s="1"/>
  <c r="F9" i="31"/>
  <c r="F15" i="31" s="1"/>
  <c r="F26" i="31" s="1"/>
  <c r="F34" i="31" s="1"/>
  <c r="E9" i="31"/>
  <c r="E15" i="31" s="1"/>
  <c r="E26" i="31" s="1"/>
  <c r="E34" i="31" s="1"/>
  <c r="C9" i="31"/>
  <c r="C15" i="31" s="1"/>
  <c r="C26" i="31" s="1"/>
  <c r="C34" i="31" s="1"/>
  <c r="B9" i="31"/>
  <c r="B15" i="31" s="1"/>
  <c r="B26" i="31" s="1"/>
  <c r="I8" i="31"/>
  <c r="I25" i="31" s="1"/>
  <c r="I33" i="31" s="1"/>
  <c r="H8" i="31"/>
  <c r="H25" i="31" s="1"/>
  <c r="H33" i="31" s="1"/>
  <c r="G8" i="31"/>
  <c r="G25" i="31" s="1"/>
  <c r="G33" i="31" s="1"/>
  <c r="F8" i="31"/>
  <c r="F14" i="31" s="1"/>
  <c r="F25" i="31" s="1"/>
  <c r="F33" i="31" s="1"/>
  <c r="E8" i="31"/>
  <c r="E14" i="31" s="1"/>
  <c r="E25" i="31" s="1"/>
  <c r="E33" i="31" s="1"/>
  <c r="C8" i="31"/>
  <c r="C14" i="31" s="1"/>
  <c r="C25" i="31" s="1"/>
  <c r="C33" i="31" s="1"/>
  <c r="B8" i="31"/>
  <c r="B14" i="31" s="1"/>
  <c r="B25" i="31" s="1"/>
  <c r="I7" i="31"/>
  <c r="I24" i="31" s="1"/>
  <c r="I32" i="31" s="1"/>
  <c r="H7" i="31"/>
  <c r="H24" i="31" s="1"/>
  <c r="H32" i="31" s="1"/>
  <c r="G7" i="31"/>
  <c r="G24" i="31" s="1"/>
  <c r="G32" i="31" s="1"/>
  <c r="F7" i="31"/>
  <c r="E7" i="31"/>
  <c r="E13" i="31" s="1"/>
  <c r="E24" i="31" s="1"/>
  <c r="E32" i="31" s="1"/>
  <c r="D7" i="31"/>
  <c r="D13" i="31" s="1"/>
  <c r="D24" i="31" s="1"/>
  <c r="D32" i="31" s="1"/>
  <c r="C7" i="31"/>
  <c r="C13" i="31" s="1"/>
  <c r="C24" i="31" s="1"/>
  <c r="C32" i="31" s="1"/>
  <c r="B7" i="31"/>
  <c r="G3" i="31"/>
  <c r="AX41" i="30"/>
  <c r="AV121" i="30"/>
  <c r="AU121" i="30"/>
  <c r="AS121" i="30"/>
  <c r="AQ121" i="30"/>
  <c r="AP121" i="30"/>
  <c r="AJ121" i="30"/>
  <c r="AI120" i="30"/>
  <c r="AD120" i="30"/>
  <c r="Y120" i="30"/>
  <c r="T120" i="30"/>
  <c r="O120" i="30"/>
  <c r="J120" i="30"/>
  <c r="AY119" i="30"/>
  <c r="AY121" i="30" s="1"/>
  <c r="AX119" i="30"/>
  <c r="AX121" i="30" s="1"/>
  <c r="AW119" i="30"/>
  <c r="AW121" i="30" s="1"/>
  <c r="AV119" i="30"/>
  <c r="AU119" i="30"/>
  <c r="AT119" i="30"/>
  <c r="AT121" i="30" s="1"/>
  <c r="AS119" i="30"/>
  <c r="AR119" i="30"/>
  <c r="AR121" i="30" s="1"/>
  <c r="AQ119" i="30"/>
  <c r="AP119" i="30"/>
  <c r="AO119" i="30"/>
  <c r="AO121" i="30" s="1"/>
  <c r="AN119" i="30"/>
  <c r="AN121" i="30" s="1"/>
  <c r="AM119" i="30"/>
  <c r="AM121" i="30" s="1"/>
  <c r="AL119" i="30"/>
  <c r="AL121" i="30" s="1"/>
  <c r="AK119" i="30"/>
  <c r="AK121" i="30" s="1"/>
  <c r="AJ119" i="30"/>
  <c r="AI119" i="30"/>
  <c r="AH119" i="30"/>
  <c r="AG119" i="30"/>
  <c r="AF119" i="30"/>
  <c r="AE119" i="30"/>
  <c r="AC119" i="30"/>
  <c r="AB119" i="30"/>
  <c r="AA119" i="30"/>
  <c r="Z119" i="30"/>
  <c r="X119" i="30"/>
  <c r="W119" i="30"/>
  <c r="V119" i="30"/>
  <c r="U119" i="30"/>
  <c r="T119" i="30"/>
  <c r="T121" i="30" s="1"/>
  <c r="S119" i="30"/>
  <c r="R119" i="30"/>
  <c r="Q119" i="30"/>
  <c r="P119" i="30"/>
  <c r="N119" i="30"/>
  <c r="M119" i="30"/>
  <c r="L119" i="30"/>
  <c r="K119" i="30"/>
  <c r="I119" i="30"/>
  <c r="H119" i="30"/>
  <c r="G119" i="30"/>
  <c r="F119" i="30"/>
  <c r="AM117" i="30"/>
  <c r="AL117" i="30"/>
  <c r="AK117" i="30"/>
  <c r="AJ117" i="30"/>
  <c r="AH117" i="30"/>
  <c r="AG117" i="30"/>
  <c r="AF117" i="30"/>
  <c r="AE117" i="30"/>
  <c r="AC117" i="30"/>
  <c r="AB117" i="30"/>
  <c r="AA117" i="30"/>
  <c r="Z117" i="30"/>
  <c r="Y117" i="30"/>
  <c r="X117" i="30"/>
  <c r="W117" i="30"/>
  <c r="V117" i="30"/>
  <c r="U117" i="30"/>
  <c r="T117" i="30"/>
  <c r="S117" i="30"/>
  <c r="R117" i="30"/>
  <c r="Q117" i="30"/>
  <c r="P117" i="30"/>
  <c r="N117" i="30"/>
  <c r="M117" i="30"/>
  <c r="L117" i="30"/>
  <c r="K117" i="30"/>
  <c r="I117" i="30"/>
  <c r="H117" i="30"/>
  <c r="G117" i="30"/>
  <c r="F117" i="30"/>
  <c r="AY114" i="30"/>
  <c r="AX114" i="30"/>
  <c r="AW114" i="30"/>
  <c r="AV114" i="30"/>
  <c r="AU114" i="30"/>
  <c r="AT114" i="30"/>
  <c r="AS114" i="30"/>
  <c r="AR114" i="30"/>
  <c r="AQ114" i="30"/>
  <c r="AP114" i="30"/>
  <c r="AO114" i="30"/>
  <c r="AN114" i="30"/>
  <c r="AM114" i="30"/>
  <c r="AL114" i="30"/>
  <c r="AK114" i="30"/>
  <c r="AJ114" i="30"/>
  <c r="AY112" i="30"/>
  <c r="AX112" i="30"/>
  <c r="AW112" i="30"/>
  <c r="AV112" i="30"/>
  <c r="AU112" i="30"/>
  <c r="AT112" i="30"/>
  <c r="AS112" i="30"/>
  <c r="AR112" i="30"/>
  <c r="AQ112" i="30"/>
  <c r="AP112" i="30"/>
  <c r="AO112" i="30"/>
  <c r="AN112" i="30"/>
  <c r="AI112" i="30"/>
  <c r="AH112" i="30"/>
  <c r="AG112" i="30"/>
  <c r="AF112" i="30"/>
  <c r="AE112" i="30"/>
  <c r="AD112" i="30"/>
  <c r="AC112" i="30"/>
  <c r="AB112" i="30"/>
  <c r="AA112" i="30"/>
  <c r="Z112" i="30"/>
  <c r="Y112" i="30"/>
  <c r="X112" i="30"/>
  <c r="W112" i="30"/>
  <c r="V112" i="30"/>
  <c r="U112" i="30"/>
  <c r="S112" i="30"/>
  <c r="R112" i="30"/>
  <c r="Q112" i="30"/>
  <c r="P112" i="30"/>
  <c r="N112" i="30"/>
  <c r="M112" i="30"/>
  <c r="L112" i="30"/>
  <c r="K112" i="30"/>
  <c r="J112" i="30"/>
  <c r="I112" i="30"/>
  <c r="H112" i="30"/>
  <c r="G112" i="30"/>
  <c r="F112" i="30"/>
  <c r="AY111" i="30"/>
  <c r="AX111" i="30"/>
  <c r="AW111" i="30"/>
  <c r="AV111" i="30"/>
  <c r="AU111" i="30"/>
  <c r="AT111" i="30"/>
  <c r="AS111" i="30"/>
  <c r="AR111" i="30"/>
  <c r="AQ111" i="30"/>
  <c r="AP111" i="30"/>
  <c r="AO111" i="30"/>
  <c r="AN111" i="30"/>
  <c r="AH111" i="30"/>
  <c r="AC111" i="30"/>
  <c r="V111" i="30"/>
  <c r="Q111" i="30"/>
  <c r="AH110" i="30"/>
  <c r="AG110" i="30"/>
  <c r="AF110" i="30"/>
  <c r="AE110" i="30"/>
  <c r="AD110" i="30"/>
  <c r="AC110" i="30"/>
  <c r="AB110" i="30"/>
  <c r="AA110" i="30"/>
  <c r="Z110" i="30"/>
  <c r="Y110" i="30"/>
  <c r="X110" i="30"/>
  <c r="W110" i="30"/>
  <c r="V110" i="30"/>
  <c r="U110" i="30"/>
  <c r="T110" i="30"/>
  <c r="S110" i="30"/>
  <c r="R110" i="30"/>
  <c r="Q110" i="30"/>
  <c r="P110" i="30"/>
  <c r="N110" i="30"/>
  <c r="M110" i="30"/>
  <c r="L110" i="30"/>
  <c r="K110" i="30"/>
  <c r="I110" i="30"/>
  <c r="H110" i="30"/>
  <c r="G110" i="30"/>
  <c r="F110" i="30"/>
  <c r="AY104" i="30"/>
  <c r="AX104" i="30"/>
  <c r="AS104" i="30"/>
  <c r="T104" i="30"/>
  <c r="AI103" i="30"/>
  <c r="AD103" i="30"/>
  <c r="Y103" i="30"/>
  <c r="T103" i="30"/>
  <c r="O103" i="30"/>
  <c r="J103" i="30"/>
  <c r="AY102" i="30"/>
  <c r="AX102" i="30"/>
  <c r="AW102" i="30"/>
  <c r="AV102" i="30"/>
  <c r="AU102" i="30"/>
  <c r="AT102" i="30"/>
  <c r="AS102" i="30"/>
  <c r="AR102" i="30"/>
  <c r="AQ102" i="30"/>
  <c r="AP102" i="30"/>
  <c r="AO102" i="30"/>
  <c r="AN102" i="30"/>
  <c r="AN104" i="30" s="1"/>
  <c r="AM102" i="30"/>
  <c r="AL102" i="30"/>
  <c r="AK102" i="30"/>
  <c r="AJ102" i="30"/>
  <c r="AI102" i="30"/>
  <c r="AH102" i="30"/>
  <c r="AG102" i="30"/>
  <c r="AF102" i="30"/>
  <c r="AE102" i="30"/>
  <c r="AC102" i="30"/>
  <c r="AB102" i="30"/>
  <c r="AA102" i="30"/>
  <c r="Z102" i="30"/>
  <c r="X102" i="30"/>
  <c r="W102" i="30"/>
  <c r="V102" i="30"/>
  <c r="U102" i="30"/>
  <c r="T102" i="30"/>
  <c r="S102" i="30"/>
  <c r="R102" i="30"/>
  <c r="Q102" i="30"/>
  <c r="P102" i="30"/>
  <c r="N102" i="30"/>
  <c r="M102" i="30"/>
  <c r="L102" i="30"/>
  <c r="K102" i="30"/>
  <c r="I102" i="30"/>
  <c r="H102" i="30"/>
  <c r="G102" i="30"/>
  <c r="F102" i="30"/>
  <c r="AH100" i="30"/>
  <c r="AG100" i="30"/>
  <c r="AF100" i="30"/>
  <c r="AE100" i="30"/>
  <c r="AC100" i="30"/>
  <c r="AB100" i="30"/>
  <c r="AA100" i="30"/>
  <c r="Z100" i="30"/>
  <c r="Y100" i="30"/>
  <c r="X100" i="30"/>
  <c r="W100" i="30"/>
  <c r="V100" i="30"/>
  <c r="U100" i="30"/>
  <c r="T100" i="30"/>
  <c r="S100" i="30"/>
  <c r="R100" i="30"/>
  <c r="Q100" i="30"/>
  <c r="P100" i="30"/>
  <c r="N100" i="30"/>
  <c r="M100" i="30"/>
  <c r="L100" i="30"/>
  <c r="K100" i="30"/>
  <c r="I100" i="30"/>
  <c r="H100" i="30"/>
  <c r="G100" i="30"/>
  <c r="F100" i="30"/>
  <c r="AY97" i="30"/>
  <c r="AX97" i="30"/>
  <c r="AW97" i="30"/>
  <c r="AV97" i="30"/>
  <c r="AU97" i="30"/>
  <c r="AT97" i="30"/>
  <c r="AS97" i="30"/>
  <c r="AR97" i="30"/>
  <c r="AQ97" i="30"/>
  <c r="AP97" i="30"/>
  <c r="AO97" i="30"/>
  <c r="AN97" i="30"/>
  <c r="AM97" i="30"/>
  <c r="AL97" i="30"/>
  <c r="AK97" i="30"/>
  <c r="AJ97" i="30"/>
  <c r="AA96" i="30"/>
  <c r="AA97" i="30" s="1"/>
  <c r="AY95" i="30"/>
  <c r="AX95" i="30"/>
  <c r="AW95" i="30"/>
  <c r="AV95" i="30"/>
  <c r="AU95" i="30"/>
  <c r="AT95" i="30"/>
  <c r="AS95" i="30"/>
  <c r="AR95" i="30"/>
  <c r="AQ95" i="30"/>
  <c r="AP95" i="30"/>
  <c r="AO95" i="30"/>
  <c r="AN95" i="30"/>
  <c r="AI95" i="30"/>
  <c r="AH95" i="30"/>
  <c r="AG95" i="30"/>
  <c r="AF95" i="30"/>
  <c r="AE95" i="30"/>
  <c r="AD95" i="30"/>
  <c r="AC95" i="30"/>
  <c r="AB95" i="30"/>
  <c r="AA95" i="30"/>
  <c r="Z95" i="30"/>
  <c r="Y95" i="30"/>
  <c r="X95" i="30"/>
  <c r="W95" i="30"/>
  <c r="V95" i="30"/>
  <c r="U95" i="30"/>
  <c r="S95" i="30"/>
  <c r="R95" i="30"/>
  <c r="Q95" i="30"/>
  <c r="P95" i="30"/>
  <c r="N95" i="30"/>
  <c r="M95" i="30"/>
  <c r="L95" i="30"/>
  <c r="K95" i="30"/>
  <c r="J95" i="30"/>
  <c r="I95" i="30"/>
  <c r="H95" i="30"/>
  <c r="G95" i="30"/>
  <c r="F95" i="30"/>
  <c r="AY94" i="30"/>
  <c r="AX94" i="30"/>
  <c r="AS94" i="30"/>
  <c r="AN94" i="30"/>
  <c r="AH94" i="30"/>
  <c r="AG94" i="30"/>
  <c r="V94" i="30"/>
  <c r="U94" i="30"/>
  <c r="AH93" i="30"/>
  <c r="AG93" i="30"/>
  <c r="AF93" i="30"/>
  <c r="AE93" i="30"/>
  <c r="AD93" i="30"/>
  <c r="AC93" i="30"/>
  <c r="AB93" i="30"/>
  <c r="AA93" i="30"/>
  <c r="Z93" i="30"/>
  <c r="Y93" i="30"/>
  <c r="X93" i="30"/>
  <c r="W93" i="30"/>
  <c r="V93" i="30"/>
  <c r="U93" i="30"/>
  <c r="T93" i="30"/>
  <c r="S93" i="30"/>
  <c r="R93" i="30"/>
  <c r="Q93" i="30"/>
  <c r="P93" i="30"/>
  <c r="N93" i="30"/>
  <c r="M93" i="30"/>
  <c r="L93" i="30"/>
  <c r="K93" i="30"/>
  <c r="I93" i="30"/>
  <c r="H93" i="30"/>
  <c r="G93" i="30"/>
  <c r="F93" i="30"/>
  <c r="AN82" i="30"/>
  <c r="AS66" i="30" s="1"/>
  <c r="B75" i="30"/>
  <c r="AY74" i="30"/>
  <c r="AX74" i="30"/>
  <c r="B74" i="30"/>
  <c r="AS73" i="30"/>
  <c r="B73" i="30"/>
  <c r="B72" i="30"/>
  <c r="AY67" i="30"/>
  <c r="AY75" i="30" s="1"/>
  <c r="AX67" i="30"/>
  <c r="AS67" i="30"/>
  <c r="AN67" i="30"/>
  <c r="AY72" i="30" s="1"/>
  <c r="AN66" i="30"/>
  <c r="AN70" i="30" s="1"/>
  <c r="AN80" i="30" s="1"/>
  <c r="AY62" i="30"/>
  <c r="AX62" i="30"/>
  <c r="AW62" i="30"/>
  <c r="AV62" i="30"/>
  <c r="AU62" i="30"/>
  <c r="AT62" i="30"/>
  <c r="AS62" i="30"/>
  <c r="AR62" i="30"/>
  <c r="AQ62" i="30"/>
  <c r="AP62" i="30"/>
  <c r="AO62" i="30"/>
  <c r="AN62" i="30"/>
  <c r="AM62" i="30"/>
  <c r="AL62" i="30"/>
  <c r="AK62" i="30"/>
  <c r="AJ62" i="30"/>
  <c r="AH62" i="30"/>
  <c r="AG62" i="30"/>
  <c r="AF62" i="30"/>
  <c r="AE62" i="30"/>
  <c r="AI62" i="30" s="1"/>
  <c r="AC62" i="30"/>
  <c r="AB62" i="30"/>
  <c r="AA62" i="30"/>
  <c r="Z62" i="30"/>
  <c r="AD62" i="30" s="1"/>
  <c r="X62" i="30"/>
  <c r="W62" i="30"/>
  <c r="V62" i="30"/>
  <c r="U62" i="30"/>
  <c r="Y62" i="30" s="1"/>
  <c r="S62" i="30"/>
  <c r="R62" i="30"/>
  <c r="Q62" i="30"/>
  <c r="P62" i="30"/>
  <c r="T62" i="30" s="1"/>
  <c r="O62" i="30"/>
  <c r="N62" i="30"/>
  <c r="M62" i="30"/>
  <c r="L62" i="30"/>
  <c r="K62" i="30"/>
  <c r="J62" i="30"/>
  <c r="I62" i="30"/>
  <c r="H62" i="30"/>
  <c r="G62" i="30"/>
  <c r="AS61" i="30"/>
  <c r="AN61" i="30"/>
  <c r="AN72" i="30" s="1"/>
  <c r="AN78" i="30" s="1"/>
  <c r="AG56" i="30"/>
  <c r="AF56" i="30"/>
  <c r="Z56" i="30"/>
  <c r="U56" i="30"/>
  <c r="T56" i="30"/>
  <c r="N56" i="30"/>
  <c r="I56" i="30"/>
  <c r="H56" i="30"/>
  <c r="AI53" i="30"/>
  <c r="AH53" i="30"/>
  <c r="AG53" i="30"/>
  <c r="AF53" i="30"/>
  <c r="AE53" i="30"/>
  <c r="AD53" i="30"/>
  <c r="AC53" i="30"/>
  <c r="AB53" i="30"/>
  <c r="AA53" i="30"/>
  <c r="Z53" i="30"/>
  <c r="Y53" i="30"/>
  <c r="X53" i="30"/>
  <c r="W53" i="30"/>
  <c r="V53" i="30"/>
  <c r="U53" i="30"/>
  <c r="T53" i="30"/>
  <c r="S53" i="30"/>
  <c r="R53" i="30"/>
  <c r="Q53" i="30"/>
  <c r="P53" i="30"/>
  <c r="O53" i="30"/>
  <c r="N53" i="30"/>
  <c r="M53" i="30"/>
  <c r="L53" i="30"/>
  <c r="K53" i="30"/>
  <c r="J53" i="30"/>
  <c r="I53" i="30"/>
  <c r="H53" i="30"/>
  <c r="G53" i="30"/>
  <c r="F53" i="30"/>
  <c r="AH50" i="30"/>
  <c r="AG50" i="30"/>
  <c r="AF50" i="30"/>
  <c r="AE50" i="30"/>
  <c r="AC50" i="30"/>
  <c r="AB50" i="30"/>
  <c r="AA50" i="30"/>
  <c r="Z50" i="30"/>
  <c r="Y50" i="30"/>
  <c r="X50" i="30"/>
  <c r="W50" i="30"/>
  <c r="V50" i="30"/>
  <c r="U50" i="30"/>
  <c r="T50" i="30"/>
  <c r="S50" i="30"/>
  <c r="R50" i="30"/>
  <c r="Q50" i="30"/>
  <c r="P50" i="30"/>
  <c r="N50" i="30"/>
  <c r="M50" i="30"/>
  <c r="L50" i="30"/>
  <c r="K50" i="30"/>
  <c r="I50" i="30"/>
  <c r="H50" i="30"/>
  <c r="G50" i="30"/>
  <c r="F50" i="30"/>
  <c r="AI48" i="30"/>
  <c r="AH48" i="30"/>
  <c r="AC48" i="30"/>
  <c r="AA48" i="30"/>
  <c r="W48" i="30"/>
  <c r="V48" i="30"/>
  <c r="Q48" i="30"/>
  <c r="O48" i="30"/>
  <c r="K48" i="30"/>
  <c r="J48" i="30"/>
  <c r="AI44" i="30"/>
  <c r="AI56" i="30" s="1"/>
  <c r="AH44" i="30"/>
  <c r="AH56" i="30" s="1"/>
  <c r="AG44" i="30"/>
  <c r="AF44" i="30"/>
  <c r="AE44" i="30"/>
  <c r="AE56" i="30" s="1"/>
  <c r="AD44" i="30"/>
  <c r="AC44" i="30"/>
  <c r="AC56" i="30" s="1"/>
  <c r="AB44" i="30"/>
  <c r="AB56" i="30" s="1"/>
  <c r="AA44" i="30"/>
  <c r="AA56" i="30" s="1"/>
  <c r="Z44" i="30"/>
  <c r="Y44" i="30"/>
  <c r="Y56" i="30" s="1"/>
  <c r="X44" i="30"/>
  <c r="X56" i="30" s="1"/>
  <c r="W44" i="30"/>
  <c r="W56" i="30" s="1"/>
  <c r="V44" i="30"/>
  <c r="V56" i="30" s="1"/>
  <c r="U44" i="30"/>
  <c r="T44" i="30"/>
  <c r="S44" i="30"/>
  <c r="S56" i="30" s="1"/>
  <c r="R44" i="30"/>
  <c r="Q44" i="30"/>
  <c r="Q56" i="30" s="1"/>
  <c r="P44" i="30"/>
  <c r="P56" i="30" s="1"/>
  <c r="O44" i="30"/>
  <c r="O56" i="30" s="1"/>
  <c r="N44" i="30"/>
  <c r="M44" i="30"/>
  <c r="M56" i="30" s="1"/>
  <c r="L44" i="30"/>
  <c r="L56" i="30" s="1"/>
  <c r="K44" i="30"/>
  <c r="K56" i="30" s="1"/>
  <c r="J44" i="30"/>
  <c r="J56" i="30" s="1"/>
  <c r="I44" i="30"/>
  <c r="H44" i="30"/>
  <c r="G44" i="30"/>
  <c r="G56" i="30" s="1"/>
  <c r="F44" i="30"/>
  <c r="AY42" i="30"/>
  <c r="AI42" i="30"/>
  <c r="AN42" i="30" s="1"/>
  <c r="AH42" i="30"/>
  <c r="AC42" i="30"/>
  <c r="AB42" i="30"/>
  <c r="AA42" i="30"/>
  <c r="X42" i="30"/>
  <c r="W42" i="30"/>
  <c r="V42" i="30"/>
  <c r="U42" i="30"/>
  <c r="Q42" i="30"/>
  <c r="P42" i="30"/>
  <c r="O42" i="30"/>
  <c r="L42" i="30"/>
  <c r="K42" i="30"/>
  <c r="J42" i="30"/>
  <c r="I42" i="30"/>
  <c r="AI40" i="30"/>
  <c r="AN40" i="30" s="1"/>
  <c r="AS40" i="30" s="1"/>
  <c r="AX40" i="30" s="1"/>
  <c r="AH40" i="30"/>
  <c r="AC40" i="30"/>
  <c r="Y40" i="30"/>
  <c r="X40" i="30"/>
  <c r="W40" i="30"/>
  <c r="V40" i="30"/>
  <c r="Q40" i="30"/>
  <c r="M40" i="30"/>
  <c r="L40" i="30"/>
  <c r="K40" i="30"/>
  <c r="J40" i="30"/>
  <c r="AI38" i="30"/>
  <c r="AN38" i="30" s="1"/>
  <c r="AS38" i="30" s="1"/>
  <c r="AX38" i="30" s="1"/>
  <c r="AY38" i="30" s="1"/>
  <c r="AH38" i="30"/>
  <c r="AG38" i="30"/>
  <c r="AF38" i="30"/>
  <c r="AE38" i="30"/>
  <c r="AD38" i="30"/>
  <c r="AC38" i="30"/>
  <c r="AB38" i="30"/>
  <c r="AA38" i="30"/>
  <c r="Z38" i="30"/>
  <c r="Y38" i="30"/>
  <c r="X38" i="30"/>
  <c r="W38" i="30"/>
  <c r="V38" i="30"/>
  <c r="U38" i="30"/>
  <c r="T38" i="30"/>
  <c r="S38" i="30"/>
  <c r="R38" i="30"/>
  <c r="Q38" i="30"/>
  <c r="P38" i="30"/>
  <c r="O38" i="30"/>
  <c r="N38" i="30"/>
  <c r="M38" i="30"/>
  <c r="L38" i="30"/>
  <c r="K38" i="30"/>
  <c r="J38" i="30"/>
  <c r="I38" i="30"/>
  <c r="H38" i="30"/>
  <c r="G38" i="30"/>
  <c r="F38" i="30"/>
  <c r="AI34" i="30"/>
  <c r="AH34" i="30"/>
  <c r="AG34" i="30"/>
  <c r="AG40" i="30" s="1"/>
  <c r="AF34" i="30"/>
  <c r="AE34" i="30"/>
  <c r="AD34" i="30"/>
  <c r="AC34" i="30"/>
  <c r="AB34" i="30"/>
  <c r="AB40" i="30" s="1"/>
  <c r="AA34" i="30"/>
  <c r="AA40" i="30" s="1"/>
  <c r="Z34" i="30"/>
  <c r="Z48" i="30" s="1"/>
  <c r="Y34" i="30"/>
  <c r="X34" i="30"/>
  <c r="X48" i="30" s="1"/>
  <c r="W34" i="30"/>
  <c r="V34" i="30"/>
  <c r="U34" i="30"/>
  <c r="U40" i="30" s="1"/>
  <c r="S34" i="30"/>
  <c r="R34" i="30"/>
  <c r="Q34" i="30"/>
  <c r="P34" i="30"/>
  <c r="P40" i="30" s="1"/>
  <c r="O34" i="30"/>
  <c r="O40" i="30" s="1"/>
  <c r="N34" i="30"/>
  <c r="N48" i="30" s="1"/>
  <c r="M34" i="30"/>
  <c r="L34" i="30"/>
  <c r="L48" i="30" s="1"/>
  <c r="K34" i="30"/>
  <c r="J34" i="30"/>
  <c r="I34" i="30"/>
  <c r="I48" i="30" s="1"/>
  <c r="H34" i="30"/>
  <c r="G34" i="30"/>
  <c r="F34" i="30"/>
  <c r="C32" i="30"/>
  <c r="BP27" i="30"/>
  <c r="BO27" i="30"/>
  <c r="BN27" i="30"/>
  <c r="BM27" i="30"/>
  <c r="BL27" i="30"/>
  <c r="BK27" i="30"/>
  <c r="AU24" i="30"/>
  <c r="AT24" i="30"/>
  <c r="AM24" i="30"/>
  <c r="AL24" i="30"/>
  <c r="AK24" i="30"/>
  <c r="AJ24" i="30"/>
  <c r="AI24" i="30"/>
  <c r="AI25" i="30" s="1"/>
  <c r="AD24" i="30"/>
  <c r="AD25" i="30" s="1"/>
  <c r="Y24" i="30"/>
  <c r="T24" i="30"/>
  <c r="AT21" i="30"/>
  <c r="AR21" i="30"/>
  <c r="AR24" i="30" s="1"/>
  <c r="BU20" i="30"/>
  <c r="BL20" i="30"/>
  <c r="AX20" i="30"/>
  <c r="AY20" i="30" s="1"/>
  <c r="AZ20" i="30" s="1"/>
  <c r="AW20" i="30"/>
  <c r="AU20" i="30"/>
  <c r="AR20" i="30"/>
  <c r="AQ20" i="30"/>
  <c r="AV20" i="30" s="1"/>
  <c r="AP20" i="30"/>
  <c r="AO20" i="30"/>
  <c r="AT20" i="30" s="1"/>
  <c r="AI20" i="30"/>
  <c r="AN20" i="30" s="1"/>
  <c r="AS20" i="30" s="1"/>
  <c r="BU19" i="30"/>
  <c r="BU21" i="30" s="1"/>
  <c r="AN23" i="30" s="1"/>
  <c r="BM19" i="30"/>
  <c r="AZ19" i="30"/>
  <c r="AW19" i="30"/>
  <c r="AR19" i="30"/>
  <c r="AQ19" i="30"/>
  <c r="AV19" i="30" s="1"/>
  <c r="AP19" i="30"/>
  <c r="AU19" i="30" s="1"/>
  <c r="AO19" i="30"/>
  <c r="AT19" i="30" s="1"/>
  <c r="AN19" i="30"/>
  <c r="AS19" i="30" s="1"/>
  <c r="AX19" i="30" s="1"/>
  <c r="AY19" i="30" s="1"/>
  <c r="AI19" i="30"/>
  <c r="BU18" i="30"/>
  <c r="AI23" i="30" s="1"/>
  <c r="BT18" i="30"/>
  <c r="AD23" i="30" s="1"/>
  <c r="BS18" i="30"/>
  <c r="Y23" i="30" s="1"/>
  <c r="BM18" i="30"/>
  <c r="AW18" i="30"/>
  <c r="AW21" i="30" s="1"/>
  <c r="AW24" i="30" s="1"/>
  <c r="AV18" i="30"/>
  <c r="AV21" i="30" s="1"/>
  <c r="AV24" i="30" s="1"/>
  <c r="AU18" i="30"/>
  <c r="AU21" i="30" s="1"/>
  <c r="AT18" i="30"/>
  <c r="AR18" i="30"/>
  <c r="AQ18" i="30"/>
  <c r="AP18" i="30"/>
  <c r="AO18" i="30"/>
  <c r="AI18" i="30"/>
  <c r="AN18" i="30" s="1"/>
  <c r="BM17" i="30"/>
  <c r="T14" i="30"/>
  <c r="AD12" i="30"/>
  <c r="AD119" i="30" s="1"/>
  <c r="Y12" i="30"/>
  <c r="O12" i="30"/>
  <c r="J12" i="30"/>
  <c r="Y11" i="30"/>
  <c r="T11" i="30"/>
  <c r="O11" i="30"/>
  <c r="J11" i="30"/>
  <c r="AI10" i="30"/>
  <c r="AI11" i="30" s="1"/>
  <c r="AD10" i="30"/>
  <c r="Y10" i="30"/>
  <c r="O10" i="30"/>
  <c r="O14" i="30" s="1"/>
  <c r="J10" i="30"/>
  <c r="J14" i="30" s="1"/>
  <c r="AF7" i="30"/>
  <c r="AE7" i="30"/>
  <c r="AD7" i="30"/>
  <c r="AC7" i="30"/>
  <c r="AB7" i="30"/>
  <c r="AA7" i="30"/>
  <c r="S7" i="30"/>
  <c r="R7" i="30"/>
  <c r="Q7" i="30"/>
  <c r="P7" i="30"/>
  <c r="H7" i="30"/>
  <c r="G7" i="30"/>
  <c r="F7" i="30"/>
  <c r="AI6" i="30"/>
  <c r="AH6" i="30"/>
  <c r="AH7" i="30" s="1"/>
  <c r="AG6" i="30"/>
  <c r="AF6" i="30"/>
  <c r="AF113" i="30" s="1"/>
  <c r="AF114" i="30" s="1"/>
  <c r="AE6" i="30"/>
  <c r="AE113" i="30" s="1"/>
  <c r="AE114" i="30" s="1"/>
  <c r="AD6" i="30"/>
  <c r="AD113" i="30" s="1"/>
  <c r="AD114" i="30" s="1"/>
  <c r="AC6" i="30"/>
  <c r="AC113" i="30" s="1"/>
  <c r="AC114" i="30" s="1"/>
  <c r="AB6" i="30"/>
  <c r="AA6" i="30"/>
  <c r="AA113" i="30" s="1"/>
  <c r="AA114" i="30" s="1"/>
  <c r="Z6" i="30"/>
  <c r="Z113" i="30" s="1"/>
  <c r="Z114" i="30" s="1"/>
  <c r="Y6" i="30"/>
  <c r="Y7" i="30" s="1"/>
  <c r="X6" i="30"/>
  <c r="W6" i="30"/>
  <c r="V6" i="30"/>
  <c r="V7" i="30" s="1"/>
  <c r="U6" i="30"/>
  <c r="S6" i="30"/>
  <c r="S113" i="30" s="1"/>
  <c r="S114" i="30" s="1"/>
  <c r="R6" i="30"/>
  <c r="R113" i="30" s="1"/>
  <c r="R114" i="30" s="1"/>
  <c r="Q6" i="30"/>
  <c r="Q113" i="30" s="1"/>
  <c r="Q114" i="30" s="1"/>
  <c r="P6" i="30"/>
  <c r="N6" i="30"/>
  <c r="N113" i="30" s="1"/>
  <c r="N114" i="30" s="1"/>
  <c r="M6" i="30"/>
  <c r="M7" i="30" s="1"/>
  <c r="L6" i="30"/>
  <c r="K6" i="30"/>
  <c r="K7" i="30" s="1"/>
  <c r="J6" i="30"/>
  <c r="J7" i="30" s="1"/>
  <c r="I6" i="30"/>
  <c r="H6" i="30"/>
  <c r="H113" i="30" s="1"/>
  <c r="H114" i="30" s="1"/>
  <c r="G6" i="30"/>
  <c r="G113" i="30" s="1"/>
  <c r="G114" i="30" s="1"/>
  <c r="F6" i="30"/>
  <c r="F113" i="30" s="1"/>
  <c r="F114" i="30" s="1"/>
  <c r="AW5" i="30"/>
  <c r="AV5" i="30"/>
  <c r="AU5" i="30"/>
  <c r="AT5" i="30"/>
  <c r="AR5" i="30"/>
  <c r="AQ5" i="30"/>
  <c r="AP5" i="30"/>
  <c r="AO5" i="30"/>
  <c r="T5" i="30"/>
  <c r="T34" i="30" s="1"/>
  <c r="O5" i="30"/>
  <c r="O112" i="30" s="1"/>
  <c r="AW4" i="30"/>
  <c r="AV4" i="30"/>
  <c r="AU4" i="30"/>
  <c r="AT4" i="30"/>
  <c r="AR4" i="30"/>
  <c r="AQ4" i="30"/>
  <c r="AP4" i="30"/>
  <c r="AO4" i="30"/>
  <c r="AM4" i="30"/>
  <c r="AL4" i="30"/>
  <c r="AK4" i="30"/>
  <c r="AJ4" i="30"/>
  <c r="AI4" i="30"/>
  <c r="AH4" i="30"/>
  <c r="AG4" i="30"/>
  <c r="AG111" i="30" s="1"/>
  <c r="AF4" i="30"/>
  <c r="AF111" i="30" s="1"/>
  <c r="AE4" i="30"/>
  <c r="AD4" i="30"/>
  <c r="AC4" i="30"/>
  <c r="AC94" i="30" s="1"/>
  <c r="AB4" i="30"/>
  <c r="AB111" i="30" s="1"/>
  <c r="AA4" i="30"/>
  <c r="AA111" i="30" s="1"/>
  <c r="Z4" i="30"/>
  <c r="Y4" i="30"/>
  <c r="X4" i="30"/>
  <c r="W4" i="30"/>
  <c r="V4" i="30"/>
  <c r="U4" i="30"/>
  <c r="U111" i="30" s="1"/>
  <c r="T4" i="30"/>
  <c r="T111" i="30" s="1"/>
  <c r="S4" i="30"/>
  <c r="R4" i="30"/>
  <c r="Q4" i="30"/>
  <c r="Q94" i="30" s="1"/>
  <c r="P4" i="30"/>
  <c r="P111" i="30" s="1"/>
  <c r="N4" i="30"/>
  <c r="M4" i="30"/>
  <c r="L4" i="30"/>
  <c r="K4" i="30"/>
  <c r="O3" i="30"/>
  <c r="O110" i="30" s="1"/>
  <c r="J3" i="30"/>
  <c r="O4" i="30" s="1"/>
  <c r="B40" i="31" l="1"/>
  <c r="C40" i="31" s="1"/>
  <c r="B34" i="31"/>
  <c r="B39" i="31"/>
  <c r="C39" i="31" s="1"/>
  <c r="B38" i="31"/>
  <c r="C38" i="31" s="1"/>
  <c r="B41" i="31"/>
  <c r="C41" i="31" s="1"/>
  <c r="B33" i="31"/>
  <c r="AN22" i="30"/>
  <c r="AS23" i="30"/>
  <c r="AX23" i="30" s="1"/>
  <c r="AY23" i="30" s="1"/>
  <c r="AZ23" i="30" s="1"/>
  <c r="AY40" i="30"/>
  <c r="T48" i="30"/>
  <c r="T42" i="30"/>
  <c r="T40" i="30"/>
  <c r="S111" i="30"/>
  <c r="S94" i="30"/>
  <c r="X7" i="30"/>
  <c r="X113" i="30"/>
  <c r="X114" i="30" s="1"/>
  <c r="X96" i="30"/>
  <c r="X97" i="30" s="1"/>
  <c r="AX42" i="30"/>
  <c r="AS42" i="30"/>
  <c r="AS70" i="30"/>
  <c r="AS80" i="30" s="1"/>
  <c r="AS82" i="30"/>
  <c r="AX66" i="30" s="1"/>
  <c r="L7" i="30"/>
  <c r="L113" i="30"/>
  <c r="L114" i="30" s="1"/>
  <c r="L96" i="30"/>
  <c r="L97" i="30" s="1"/>
  <c r="F56" i="30"/>
  <c r="R56" i="30"/>
  <c r="AD56" i="30"/>
  <c r="AI50" i="30"/>
  <c r="AY73" i="30"/>
  <c r="AY78" i="30" s="1"/>
  <c r="AX73" i="30"/>
  <c r="F48" i="30"/>
  <c r="F42" i="30"/>
  <c r="R40" i="30"/>
  <c r="R48" i="30"/>
  <c r="R42" i="30"/>
  <c r="AD40" i="30"/>
  <c r="AD48" i="30"/>
  <c r="AD42" i="30"/>
  <c r="U48" i="30"/>
  <c r="W94" i="30"/>
  <c r="W111" i="30"/>
  <c r="AI94" i="30"/>
  <c r="AI111" i="30"/>
  <c r="AB113" i="30"/>
  <c r="AB114" i="30" s="1"/>
  <c r="AB96" i="30"/>
  <c r="AB97" i="30" s="1"/>
  <c r="AS18" i="30"/>
  <c r="AN21" i="30"/>
  <c r="AN24" i="30" s="1"/>
  <c r="Y25" i="30"/>
  <c r="G48" i="30"/>
  <c r="G42" i="30"/>
  <c r="S48" i="30"/>
  <c r="S42" i="30"/>
  <c r="S40" i="30"/>
  <c r="AE48" i="30"/>
  <c r="AE42" i="30"/>
  <c r="AE40" i="30"/>
  <c r="AD121" i="30"/>
  <c r="K94" i="30"/>
  <c r="K111" i="30"/>
  <c r="X94" i="30"/>
  <c r="X111" i="30"/>
  <c r="P113" i="30"/>
  <c r="P114" i="30" s="1"/>
  <c r="P96" i="30"/>
  <c r="P97" i="30" s="1"/>
  <c r="AO21" i="30"/>
  <c r="AO24" i="30" s="1"/>
  <c r="AQ21" i="30"/>
  <c r="AQ24" i="30" s="1"/>
  <c r="H48" i="30"/>
  <c r="H42" i="30"/>
  <c r="AF48" i="30"/>
  <c r="AF42" i="30"/>
  <c r="AF40" i="30"/>
  <c r="Q96" i="30"/>
  <c r="Q97" i="30" s="1"/>
  <c r="BM20" i="30"/>
  <c r="BP20" i="30" s="1"/>
  <c r="L94" i="30"/>
  <c r="L111" i="30"/>
  <c r="Y94" i="30"/>
  <c r="Y111" i="30"/>
  <c r="J102" i="30"/>
  <c r="J119" i="30"/>
  <c r="J121" i="30" s="1"/>
  <c r="AP21" i="30"/>
  <c r="AP24" i="30" s="1"/>
  <c r="O111" i="30"/>
  <c r="O94" i="30"/>
  <c r="K113" i="30"/>
  <c r="K114" i="30" s="1"/>
  <c r="K96" i="30"/>
  <c r="K97" i="30" s="1"/>
  <c r="AC96" i="30"/>
  <c r="AC97" i="30" s="1"/>
  <c r="AG48" i="30"/>
  <c r="N111" i="30"/>
  <c r="N94" i="30"/>
  <c r="Y119" i="30"/>
  <c r="Y121" i="30" s="1"/>
  <c r="Y14" i="30"/>
  <c r="Y102" i="30"/>
  <c r="Y104" i="30" s="1"/>
  <c r="AE111" i="30"/>
  <c r="AE94" i="30"/>
  <c r="J113" i="30"/>
  <c r="J114" i="30" s="1"/>
  <c r="J96" i="30"/>
  <c r="J97" i="30" s="1"/>
  <c r="M94" i="30"/>
  <c r="M111" i="30"/>
  <c r="Z111" i="30"/>
  <c r="Z94" i="30"/>
  <c r="T112" i="30"/>
  <c r="T95" i="30"/>
  <c r="T6" i="30"/>
  <c r="O119" i="30"/>
  <c r="O121" i="30" s="1"/>
  <c r="O102" i="30"/>
  <c r="O104" i="30" s="1"/>
  <c r="U113" i="30"/>
  <c r="U114" i="30" s="1"/>
  <c r="U96" i="30"/>
  <c r="U97" i="30" s="1"/>
  <c r="U7" i="30"/>
  <c r="AG113" i="30"/>
  <c r="AG114" i="30" s="1"/>
  <c r="AG96" i="30"/>
  <c r="AG97" i="30" s="1"/>
  <c r="AG7" i="30"/>
  <c r="AD11" i="30"/>
  <c r="AD14" i="30"/>
  <c r="AD50" i="30"/>
  <c r="AD117" i="30"/>
  <c r="AD100" i="30"/>
  <c r="AG42" i="30"/>
  <c r="V113" i="30"/>
  <c r="V114" i="30" s="1"/>
  <c r="V96" i="30"/>
  <c r="V97" i="30" s="1"/>
  <c r="AH113" i="30"/>
  <c r="AH114" i="30" s="1"/>
  <c r="AH96" i="30"/>
  <c r="AH97" i="30" s="1"/>
  <c r="AI117" i="30"/>
  <c r="AI121" i="30" s="1"/>
  <c r="AI100" i="30"/>
  <c r="AI104" i="30" s="1"/>
  <c r="AI14" i="30"/>
  <c r="M42" i="30"/>
  <c r="M48" i="30"/>
  <c r="Y48" i="30"/>
  <c r="Y42" i="30"/>
  <c r="R111" i="30"/>
  <c r="R94" i="30"/>
  <c r="AD111" i="30"/>
  <c r="AD94" i="30"/>
  <c r="I113" i="30"/>
  <c r="I114" i="30" s="1"/>
  <c r="I96" i="30"/>
  <c r="I97" i="30" s="1"/>
  <c r="I7" i="30"/>
  <c r="W7" i="30"/>
  <c r="W113" i="30"/>
  <c r="W114" i="30" s="1"/>
  <c r="W96" i="30"/>
  <c r="W97" i="30" s="1"/>
  <c r="AI7" i="30"/>
  <c r="AI113" i="30"/>
  <c r="AI114" i="30" s="1"/>
  <c r="AI96" i="30"/>
  <c r="AI97" i="30" s="1"/>
  <c r="J110" i="30"/>
  <c r="P48" i="30"/>
  <c r="AB48" i="30"/>
  <c r="O93" i="30"/>
  <c r="AA94" i="30"/>
  <c r="P94" i="30"/>
  <c r="AB94" i="30"/>
  <c r="M96" i="30"/>
  <c r="M97" i="30" s="1"/>
  <c r="Y96" i="30"/>
  <c r="Y97" i="30" s="1"/>
  <c r="M113" i="30"/>
  <c r="M114" i="30" s="1"/>
  <c r="Y113" i="30"/>
  <c r="Y114" i="30" s="1"/>
  <c r="N7" i="30"/>
  <c r="Z7" i="30"/>
  <c r="AS72" i="30"/>
  <c r="AS78" i="30" s="1"/>
  <c r="N96" i="30"/>
  <c r="N97" i="30" s="1"/>
  <c r="Z96" i="30"/>
  <c r="Z97" i="30" s="1"/>
  <c r="J100" i="30"/>
  <c r="J117" i="30"/>
  <c r="J50" i="30"/>
  <c r="AX72" i="30"/>
  <c r="AX78" i="30" s="1"/>
  <c r="T94" i="30"/>
  <c r="AF94" i="30"/>
  <c r="AD102" i="30"/>
  <c r="AD104" i="30" s="1"/>
  <c r="J93" i="30"/>
  <c r="F96" i="30"/>
  <c r="F97" i="30" s="1"/>
  <c r="R96" i="30"/>
  <c r="R97" i="30" s="1"/>
  <c r="AD96" i="30"/>
  <c r="AD97" i="30" s="1"/>
  <c r="N40" i="30"/>
  <c r="Z40" i="30"/>
  <c r="G96" i="30"/>
  <c r="G97" i="30" s="1"/>
  <c r="S96" i="30"/>
  <c r="S97" i="30" s="1"/>
  <c r="AE96" i="30"/>
  <c r="AE97" i="30" s="1"/>
  <c r="O100" i="30"/>
  <c r="O117" i="30"/>
  <c r="H96" i="30"/>
  <c r="H97" i="30" s="1"/>
  <c r="AF96" i="30"/>
  <c r="AF97" i="30" s="1"/>
  <c r="O50" i="30"/>
  <c r="O6" i="30"/>
  <c r="N42" i="30"/>
  <c r="Z42" i="30"/>
  <c r="O95" i="30"/>
  <c r="AX18" i="30" l="1"/>
  <c r="AS21" i="30"/>
  <c r="AX82" i="30"/>
  <c r="AY66" i="30" s="1"/>
  <c r="AX70" i="30"/>
  <c r="AX80" i="30" s="1"/>
  <c r="O113" i="30"/>
  <c r="O114" i="30" s="1"/>
  <c r="O96" i="30"/>
  <c r="O97" i="30" s="1"/>
  <c r="O7" i="30"/>
  <c r="T113" i="30"/>
  <c r="T114" i="30" s="1"/>
  <c r="T96" i="30"/>
  <c r="T97" i="30" s="1"/>
  <c r="T7" i="30"/>
  <c r="J104" i="30"/>
  <c r="AN3" i="30"/>
  <c r="AN25" i="30"/>
  <c r="AS22" i="30"/>
  <c r="AX22" i="30" s="1"/>
  <c r="AY22" i="30" s="1"/>
  <c r="AZ22" i="30" s="1"/>
  <c r="AY82" i="30" l="1"/>
  <c r="AY70" i="30"/>
  <c r="AY80" i="30" s="1"/>
  <c r="AN4" i="30"/>
  <c r="AN10" i="30"/>
  <c r="AN5" i="30"/>
  <c r="AS24" i="30"/>
  <c r="AY18" i="30"/>
  <c r="AX21" i="30"/>
  <c r="AX24" i="30" s="1"/>
  <c r="AZ18" i="30" l="1"/>
  <c r="AZ21" i="30" s="1"/>
  <c r="AZ24" i="30" s="1"/>
  <c r="AY21" i="30"/>
  <c r="AY24" i="30" s="1"/>
  <c r="AS25" i="30"/>
  <c r="AS3" i="30"/>
  <c r="AN34" i="30"/>
  <c r="AN39" i="30"/>
  <c r="AN14" i="30"/>
  <c r="AN41" i="30"/>
  <c r="AN44" i="30" s="1"/>
  <c r="AX3" i="30"/>
  <c r="AX25" i="30"/>
  <c r="AX5" i="30" l="1"/>
  <c r="AX10" i="30"/>
  <c r="AX4" i="30"/>
  <c r="AN47" i="30"/>
  <c r="AN49" i="30"/>
  <c r="AN53" i="30" s="1"/>
  <c r="AN56" i="30" s="1"/>
  <c r="AS4" i="30"/>
  <c r="AS10" i="30"/>
  <c r="AS5" i="30"/>
  <c r="AY3" i="30"/>
  <c r="AY25" i="30"/>
  <c r="AZ25" i="30"/>
  <c r="AZ3" i="30"/>
  <c r="AY10" i="30" l="1"/>
  <c r="AY4" i="30"/>
  <c r="AY5" i="30"/>
  <c r="AS14" i="30"/>
  <c r="AS41" i="30"/>
  <c r="AS44" i="30" s="1"/>
  <c r="AS39" i="30"/>
  <c r="AS34" i="30"/>
  <c r="AX14" i="30"/>
  <c r="AX44" i="30"/>
  <c r="AZ10" i="30"/>
  <c r="AZ14" i="30" s="1"/>
  <c r="AZ4" i="30"/>
  <c r="AZ5" i="30"/>
  <c r="AX34" i="30"/>
  <c r="AX39" i="30"/>
  <c r="AS49" i="30" l="1"/>
  <c r="AS53" i="30" s="1"/>
  <c r="AS56" i="30" s="1"/>
  <c r="AS47" i="30"/>
  <c r="AY34" i="30"/>
  <c r="AY39" i="30"/>
  <c r="AX49" i="30"/>
  <c r="AX53" i="30" s="1"/>
  <c r="AX56" i="30" s="1"/>
  <c r="AX47" i="30"/>
  <c r="AY14" i="30"/>
  <c r="AY41" i="30"/>
  <c r="AY47" i="30" l="1"/>
  <c r="AY49" i="30"/>
  <c r="AY53" i="30" s="1"/>
  <c r="AY44" i="30"/>
  <c r="AY56" i="30" s="1"/>
  <c r="G84" i="28" l="1"/>
  <c r="L76" i="28"/>
  <c r="F71" i="28"/>
  <c r="E71" i="28"/>
  <c r="D71" i="28"/>
  <c r="F70" i="28"/>
  <c r="E70" i="28"/>
  <c r="D70" i="28"/>
  <c r="C70" i="28"/>
  <c r="F67" i="28"/>
  <c r="E67" i="28"/>
  <c r="D67" i="28"/>
  <c r="C67" i="28"/>
  <c r="G57" i="28"/>
  <c r="F57" i="28"/>
  <c r="E57" i="28"/>
  <c r="D57" i="28"/>
  <c r="C57" i="28"/>
  <c r="G47" i="28"/>
  <c r="C44" i="28"/>
  <c r="D44" i="28" s="1"/>
  <c r="N41" i="28"/>
  <c r="L74" i="28"/>
  <c r="C71" i="28"/>
  <c r="F69" i="28"/>
  <c r="E69" i="28"/>
  <c r="D69" i="28"/>
  <c r="C69" i="28"/>
  <c r="D65" i="28"/>
  <c r="C29" i="28"/>
  <c r="C66" i="28" s="1"/>
  <c r="B24" i="28"/>
  <c r="G22" i="28"/>
  <c r="F22" i="28"/>
  <c r="E22" i="28"/>
  <c r="D22" i="28"/>
  <c r="C22" i="28"/>
  <c r="B15" i="28"/>
  <c r="B12" i="28"/>
  <c r="B17" i="28" s="1"/>
  <c r="C44" i="26"/>
  <c r="E44" i="26" s="1"/>
  <c r="F44" i="26" s="1"/>
  <c r="G44" i="26" s="1"/>
  <c r="H44" i="26" s="1"/>
  <c r="I44" i="26" s="1"/>
  <c r="C43" i="26"/>
  <c r="C42" i="26"/>
  <c r="E42" i="26" s="1"/>
  <c r="C33" i="26"/>
  <c r="C32" i="26"/>
  <c r="E32" i="26" s="1"/>
  <c r="F32" i="26" s="1"/>
  <c r="E43" i="26"/>
  <c r="F43" i="26" s="1"/>
  <c r="G43" i="26" s="1"/>
  <c r="H43" i="26" s="1"/>
  <c r="I43" i="26" s="1"/>
  <c r="D44" i="26"/>
  <c r="D43" i="26"/>
  <c r="D42" i="26"/>
  <c r="I47" i="26"/>
  <c r="H47" i="26"/>
  <c r="G47" i="26"/>
  <c r="F47" i="26"/>
  <c r="E47" i="26"/>
  <c r="E46" i="26" s="1"/>
  <c r="E36" i="26"/>
  <c r="E25" i="26"/>
  <c r="F31" i="26"/>
  <c r="G31" i="26" s="1"/>
  <c r="H31" i="26" s="1"/>
  <c r="I31" i="26" s="1"/>
  <c r="E33" i="26"/>
  <c r="E31" i="26"/>
  <c r="D32" i="26"/>
  <c r="D33" i="26"/>
  <c r="D31" i="26"/>
  <c r="F20" i="26"/>
  <c r="G20" i="26" s="1"/>
  <c r="H20" i="26" s="1"/>
  <c r="I20" i="26" s="1"/>
  <c r="F21" i="26"/>
  <c r="G21" i="26"/>
  <c r="H21" i="26"/>
  <c r="I21" i="26" s="1"/>
  <c r="F22" i="26"/>
  <c r="G22" i="26" s="1"/>
  <c r="H22" i="26" s="1"/>
  <c r="I22" i="26" s="1"/>
  <c r="E20" i="26"/>
  <c r="E21" i="26"/>
  <c r="E22" i="26"/>
  <c r="C21" i="26"/>
  <c r="C22" i="26"/>
  <c r="C20" i="26"/>
  <c r="D21" i="26"/>
  <c r="D22" i="26"/>
  <c r="D20" i="26"/>
  <c r="D48" i="26"/>
  <c r="F36" i="26"/>
  <c r="G36" i="26" s="1"/>
  <c r="D37" i="26"/>
  <c r="D26" i="26"/>
  <c r="E24" i="26"/>
  <c r="F25" i="26"/>
  <c r="G25" i="26" s="1"/>
  <c r="H25" i="26" s="1"/>
  <c r="I25" i="26" s="1"/>
  <c r="K18" i="27"/>
  <c r="J18" i="27"/>
  <c r="D11" i="26" s="1"/>
  <c r="D12" i="26"/>
  <c r="C12" i="26"/>
  <c r="C11" i="26"/>
  <c r="D10" i="26"/>
  <c r="C10" i="26"/>
  <c r="K20" i="27"/>
  <c r="N20" i="27" s="1"/>
  <c r="J20" i="27"/>
  <c r="J11" i="27"/>
  <c r="J22" i="27" s="1"/>
  <c r="H5" i="27"/>
  <c r="G5" i="27"/>
  <c r="D6" i="26"/>
  <c r="E5" i="26"/>
  <c r="E4" i="26"/>
  <c r="E3" i="26"/>
  <c r="I19" i="21"/>
  <c r="N19" i="21"/>
  <c r="S19" i="21"/>
  <c r="X19" i="21"/>
  <c r="AC19" i="21"/>
  <c r="AH19" i="21"/>
  <c r="BS19" i="21"/>
  <c r="BT19" i="21"/>
  <c r="BU19" i="21"/>
  <c r="BV19" i="21"/>
  <c r="BW19" i="21"/>
  <c r="BX19" i="21"/>
  <c r="BY19" i="21"/>
  <c r="BZ19" i="21"/>
  <c r="CA19" i="21"/>
  <c r="CB19" i="21"/>
  <c r="I20" i="21"/>
  <c r="N20" i="21"/>
  <c r="S20" i="21"/>
  <c r="X20" i="21"/>
  <c r="AC20" i="21"/>
  <c r="AH20" i="21"/>
  <c r="I21" i="21"/>
  <c r="N21" i="21"/>
  <c r="S21" i="21"/>
  <c r="X21" i="21"/>
  <c r="AC21" i="21"/>
  <c r="AH21" i="21"/>
  <c r="BB21" i="21"/>
  <c r="BF21" i="21"/>
  <c r="BJ21" i="21"/>
  <c r="BN21" i="21"/>
  <c r="I22" i="21"/>
  <c r="N22" i="21"/>
  <c r="S22" i="21"/>
  <c r="X22" i="21"/>
  <c r="AC22" i="21"/>
  <c r="AH22" i="21"/>
  <c r="BC22" i="21"/>
  <c r="BG22" i="21"/>
  <c r="BK22" i="21"/>
  <c r="BX16" i="21"/>
  <c r="BY16" i="21"/>
  <c r="BZ16" i="21"/>
  <c r="BS17" i="21"/>
  <c r="BT17" i="21"/>
  <c r="BU17" i="21"/>
  <c r="BV17" i="21"/>
  <c r="BW17" i="21"/>
  <c r="BX17" i="21"/>
  <c r="BY17" i="21"/>
  <c r="BZ17" i="21"/>
  <c r="CA17" i="21"/>
  <c r="CB17" i="21"/>
  <c r="BR18" i="21"/>
  <c r="BS18" i="21"/>
  <c r="BT18" i="21"/>
  <c r="BU18" i="21"/>
  <c r="BV18" i="21"/>
  <c r="BW18" i="21"/>
  <c r="BX18" i="21"/>
  <c r="BY18" i="21"/>
  <c r="BZ18" i="21"/>
  <c r="CA18" i="21"/>
  <c r="CB18" i="21"/>
  <c r="BB23" i="21"/>
  <c r="BC23" i="21"/>
  <c r="AN19" i="21" s="1"/>
  <c r="BF23" i="21"/>
  <c r="BG23" i="21"/>
  <c r="AN20" i="21" s="1"/>
  <c r="BJ23" i="21"/>
  <c r="BK23" i="21"/>
  <c r="AN21" i="21" s="1"/>
  <c r="BN23" i="21"/>
  <c r="BO23" i="21"/>
  <c r="AN22" i="21" s="1"/>
  <c r="BB24" i="21"/>
  <c r="BC24" i="21"/>
  <c r="AS19" i="21" s="1"/>
  <c r="BF24" i="21"/>
  <c r="BG24" i="21"/>
  <c r="AS20" i="21" s="1"/>
  <c r="BJ24" i="21"/>
  <c r="BK24" i="21"/>
  <c r="BN24" i="21"/>
  <c r="BO24" i="21"/>
  <c r="BB25" i="21"/>
  <c r="BC25" i="21"/>
  <c r="AX19" i="21" s="1"/>
  <c r="BF25" i="21"/>
  <c r="BG25" i="21"/>
  <c r="AX20" i="21" s="1"/>
  <c r="BJ25" i="21"/>
  <c r="BK25" i="21"/>
  <c r="BN25" i="21"/>
  <c r="BO25" i="21"/>
  <c r="BB26" i="21"/>
  <c r="BC26" i="21"/>
  <c r="AY19" i="21" s="1"/>
  <c r="BF26" i="21"/>
  <c r="BG26" i="21"/>
  <c r="AY20" i="21" s="1"/>
  <c r="BJ26" i="21"/>
  <c r="BK26" i="21"/>
  <c r="BN26" i="21"/>
  <c r="BO26" i="21"/>
  <c r="C65" i="28" l="1"/>
  <c r="E65" i="28"/>
  <c r="C31" i="28"/>
  <c r="C35" i="28" s="1"/>
  <c r="C38" i="28" s="1"/>
  <c r="D31" i="28"/>
  <c r="D68" i="28" s="1"/>
  <c r="D72" i="28" s="1"/>
  <c r="F65" i="28"/>
  <c r="D29" i="28"/>
  <c r="D66" i="28" s="1"/>
  <c r="E29" i="28"/>
  <c r="E66" i="28" s="1"/>
  <c r="F29" i="28"/>
  <c r="F66" i="28" s="1"/>
  <c r="B25" i="28"/>
  <c r="B62" i="28"/>
  <c r="C68" i="28"/>
  <c r="C72" i="28" s="1"/>
  <c r="E44" i="28"/>
  <c r="D81" i="28"/>
  <c r="C81" i="28"/>
  <c r="F42" i="26"/>
  <c r="G42" i="26" s="1"/>
  <c r="E45" i="26"/>
  <c r="E34" i="26"/>
  <c r="H42" i="26"/>
  <c r="G45" i="26"/>
  <c r="F45" i="26"/>
  <c r="F33" i="26"/>
  <c r="G33" i="26" s="1"/>
  <c r="H33" i="26" s="1"/>
  <c r="I33" i="26" s="1"/>
  <c r="G32" i="26"/>
  <c r="E23" i="26"/>
  <c r="G23" i="26"/>
  <c r="F23" i="26"/>
  <c r="E48" i="26"/>
  <c r="E49" i="26" s="1"/>
  <c r="E35" i="26"/>
  <c r="F35" i="26" s="1"/>
  <c r="G35" i="26" s="1"/>
  <c r="H36" i="26"/>
  <c r="I36" i="26" s="1"/>
  <c r="F24" i="26"/>
  <c r="G24" i="26" s="1"/>
  <c r="H24" i="26" s="1"/>
  <c r="I24" i="26" s="1"/>
  <c r="C13" i="26"/>
  <c r="E12" i="26"/>
  <c r="F12" i="26" s="1"/>
  <c r="E11" i="26"/>
  <c r="E6" i="26"/>
  <c r="H6" i="26" s="1"/>
  <c r="N18" i="27"/>
  <c r="M18" i="27"/>
  <c r="K11" i="27"/>
  <c r="M20" i="27"/>
  <c r="D13" i="26"/>
  <c r="AY21" i="21"/>
  <c r="AY22" i="21"/>
  <c r="AX21" i="21"/>
  <c r="AX22" i="21"/>
  <c r="AT20" i="21"/>
  <c r="AU20" i="21"/>
  <c r="AV20" i="21"/>
  <c r="AW20" i="21"/>
  <c r="AT19" i="21"/>
  <c r="AU19" i="21"/>
  <c r="AV19" i="21"/>
  <c r="AW19" i="21"/>
  <c r="AS21" i="21"/>
  <c r="AS22" i="21"/>
  <c r="AO20" i="21"/>
  <c r="AP20" i="21"/>
  <c r="AQ20" i="21"/>
  <c r="AR20" i="21"/>
  <c r="AO19" i="21"/>
  <c r="AP19" i="21"/>
  <c r="AQ19" i="21"/>
  <c r="AR19" i="21"/>
  <c r="AJ22" i="21"/>
  <c r="AK22" i="21"/>
  <c r="AL22" i="21"/>
  <c r="AM22" i="21"/>
  <c r="AJ21" i="21"/>
  <c r="AK21" i="21"/>
  <c r="AL21" i="21"/>
  <c r="AM21" i="21"/>
  <c r="AJ20" i="21"/>
  <c r="AK20" i="21"/>
  <c r="AL20" i="21"/>
  <c r="AM20" i="21"/>
  <c r="AJ19" i="21"/>
  <c r="AK19" i="21"/>
  <c r="AL19" i="21"/>
  <c r="AM19" i="21"/>
  <c r="D82" i="28" l="1"/>
  <c r="D84" i="28" s="1"/>
  <c r="E31" i="28"/>
  <c r="D35" i="28"/>
  <c r="D38" i="28" s="1"/>
  <c r="F31" i="28"/>
  <c r="D40" i="28"/>
  <c r="D45" i="28"/>
  <c r="D47" i="28" s="1"/>
  <c r="D75" i="28"/>
  <c r="D77" i="28" s="1"/>
  <c r="C75" i="28"/>
  <c r="C77" i="28" s="1"/>
  <c r="C40" i="28"/>
  <c r="C45" i="28"/>
  <c r="C47" i="28" s="1"/>
  <c r="C82" i="28"/>
  <c r="E81" i="28"/>
  <c r="F44" i="28"/>
  <c r="F81" i="28" s="1"/>
  <c r="H45" i="26"/>
  <c r="I42" i="26"/>
  <c r="I45" i="26" s="1"/>
  <c r="F46" i="26"/>
  <c r="G46" i="26" s="1"/>
  <c r="H46" i="26" s="1"/>
  <c r="I46" i="26" s="1"/>
  <c r="F34" i="26"/>
  <c r="F37" i="26" s="1"/>
  <c r="H32" i="26"/>
  <c r="G34" i="26"/>
  <c r="I23" i="26"/>
  <c r="H23" i="26"/>
  <c r="H35" i="26"/>
  <c r="I35" i="26" s="1"/>
  <c r="E37" i="26"/>
  <c r="E38" i="26" s="1"/>
  <c r="G12" i="26"/>
  <c r="H12" i="26"/>
  <c r="K22" i="27"/>
  <c r="E10" i="26"/>
  <c r="H11" i="26"/>
  <c r="F11" i="26"/>
  <c r="G11" i="26"/>
  <c r="AO22" i="21"/>
  <c r="AP22" i="21"/>
  <c r="AQ22" i="21"/>
  <c r="AR22" i="21"/>
  <c r="AO21" i="21"/>
  <c r="AP21" i="21"/>
  <c r="AQ21" i="21"/>
  <c r="AR21" i="21"/>
  <c r="AT22" i="21"/>
  <c r="AU22" i="21"/>
  <c r="AV22" i="21"/>
  <c r="AW22" i="21"/>
  <c r="AT21" i="21"/>
  <c r="AU21" i="21"/>
  <c r="AV21" i="21"/>
  <c r="AW21" i="21"/>
  <c r="F35" i="28" l="1"/>
  <c r="F68" i="28"/>
  <c r="F72" i="28" s="1"/>
  <c r="G72" i="28" s="1"/>
  <c r="F76" i="28" s="1"/>
  <c r="F83" i="28" s="1"/>
  <c r="L72" i="28" s="1"/>
  <c r="E35" i="28"/>
  <c r="E38" i="28" s="1"/>
  <c r="E68" i="28"/>
  <c r="E72" i="28" s="1"/>
  <c r="E82" i="28" s="1"/>
  <c r="C84" i="28"/>
  <c r="F48" i="26"/>
  <c r="F49" i="26" s="1"/>
  <c r="I32" i="26"/>
  <c r="I34" i="26" s="1"/>
  <c r="H34" i="26"/>
  <c r="F38" i="26"/>
  <c r="G48" i="26"/>
  <c r="E26" i="26"/>
  <c r="E27" i="26" s="1"/>
  <c r="G37" i="26"/>
  <c r="G38" i="26" s="1"/>
  <c r="F10" i="26"/>
  <c r="E13" i="26"/>
  <c r="H10" i="26"/>
  <c r="G10" i="26"/>
  <c r="C11" i="24"/>
  <c r="D11" i="24"/>
  <c r="E11" i="24"/>
  <c r="F11" i="24"/>
  <c r="G11" i="24"/>
  <c r="C12" i="24"/>
  <c r="D12" i="24"/>
  <c r="E12" i="24"/>
  <c r="F12" i="24"/>
  <c r="G12" i="24"/>
  <c r="C13" i="24"/>
  <c r="D13" i="24"/>
  <c r="E13" i="24"/>
  <c r="F13" i="24"/>
  <c r="G13" i="24"/>
  <c r="C14" i="24"/>
  <c r="D14" i="24"/>
  <c r="E14" i="24"/>
  <c r="F14" i="24"/>
  <c r="G14" i="24"/>
  <c r="E26" i="24"/>
  <c r="F26" i="24"/>
  <c r="G26" i="24"/>
  <c r="E27" i="24"/>
  <c r="F27" i="24"/>
  <c r="G27" i="24"/>
  <c r="E28" i="24"/>
  <c r="F28" i="24"/>
  <c r="G28" i="24"/>
  <c r="E29" i="24"/>
  <c r="F29" i="24"/>
  <c r="G29" i="24"/>
  <c r="E84" i="28" l="1"/>
  <c r="F38" i="28"/>
  <c r="G35" i="28"/>
  <c r="F39" i="28" s="1"/>
  <c r="F46" i="28" s="1"/>
  <c r="N37" i="28" s="1"/>
  <c r="F82" i="28"/>
  <c r="F84" i="28" s="1"/>
  <c r="C85" i="28" s="1"/>
  <c r="E75" i="28"/>
  <c r="E77" i="28" s="1"/>
  <c r="E40" i="28"/>
  <c r="E45" i="28"/>
  <c r="E47" i="28" s="1"/>
  <c r="G49" i="26"/>
  <c r="I48" i="26"/>
  <c r="H48" i="26"/>
  <c r="H49" i="26" s="1"/>
  <c r="I37" i="26"/>
  <c r="H37" i="26"/>
  <c r="H38" i="26" s="1"/>
  <c r="G13" i="26"/>
  <c r="F13" i="26"/>
  <c r="H13" i="26"/>
  <c r="C35" i="22"/>
  <c r="B17" i="22"/>
  <c r="B12" i="22"/>
  <c r="BB18" i="3"/>
  <c r="BB21" i="3"/>
  <c r="J12" i="19"/>
  <c r="N36" i="28" l="1"/>
  <c r="N38" i="28" s="1"/>
  <c r="N40" i="28" s="1"/>
  <c r="N42" i="28" s="1"/>
  <c r="F75" i="28"/>
  <c r="F77" i="28" s="1"/>
  <c r="F40" i="28"/>
  <c r="F45" i="28"/>
  <c r="F47" i="28" s="1"/>
  <c r="C48" i="28" s="1"/>
  <c r="L71" i="28"/>
  <c r="L73" i="28" s="1"/>
  <c r="L75" i="28" s="1"/>
  <c r="L77" i="28" s="1"/>
  <c r="F26" i="26"/>
  <c r="F27" i="26" s="1"/>
  <c r="I49" i="26"/>
  <c r="I38" i="26"/>
  <c r="G23" i="21"/>
  <c r="G24" i="21" s="1"/>
  <c r="H23" i="21"/>
  <c r="H24" i="21" s="1"/>
  <c r="I12" i="19"/>
  <c r="H12" i="19"/>
  <c r="G12" i="19"/>
  <c r="K23" i="21"/>
  <c r="K24" i="21" s="1"/>
  <c r="L23" i="21"/>
  <c r="L24" i="21" s="1"/>
  <c r="M23" i="21"/>
  <c r="M24" i="21" s="1"/>
  <c r="AE23" i="21"/>
  <c r="AE24" i="21" s="1"/>
  <c r="AF23" i="21"/>
  <c r="AF24" i="21" s="1"/>
  <c r="BS23" i="21" s="1"/>
  <c r="AG23" i="21"/>
  <c r="AG24" i="21" s="1"/>
  <c r="BT23" i="21" s="1"/>
  <c r="Z23" i="21"/>
  <c r="Z24" i="21" s="1"/>
  <c r="AA23" i="21"/>
  <c r="AA24" i="21" s="1"/>
  <c r="AB23" i="21"/>
  <c r="AB24" i="21" s="1"/>
  <c r="U23" i="21"/>
  <c r="U24" i="21" s="1"/>
  <c r="V23" i="21"/>
  <c r="V24" i="21" s="1"/>
  <c r="W23" i="21"/>
  <c r="W24" i="21" s="1"/>
  <c r="P24" i="21"/>
  <c r="Q24" i="21"/>
  <c r="R24" i="21"/>
  <c r="S24" i="21"/>
  <c r="AZ18" i="3"/>
  <c r="BA18" i="3"/>
  <c r="F12" i="19"/>
  <c r="G47" i="21" l="1"/>
  <c r="H47" i="21"/>
  <c r="K47" i="21"/>
  <c r="L47" i="21"/>
  <c r="M47" i="21"/>
  <c r="P47" i="21"/>
  <c r="Q47" i="21"/>
  <c r="R47" i="21"/>
  <c r="U47" i="21"/>
  <c r="V47" i="21"/>
  <c r="W47" i="21"/>
  <c r="Z47" i="21"/>
  <c r="AA47" i="21"/>
  <c r="AB47" i="21"/>
  <c r="AE47" i="21"/>
  <c r="AF47" i="21"/>
  <c r="AG47" i="21"/>
  <c r="F47" i="21"/>
  <c r="G48" i="21"/>
  <c r="G49" i="21" s="1"/>
  <c r="H48" i="21"/>
  <c r="H49" i="21" s="1"/>
  <c r="I48" i="21"/>
  <c r="I49" i="21" s="1"/>
  <c r="J48" i="21"/>
  <c r="J49" i="21" s="1"/>
  <c r="K48" i="21"/>
  <c r="K49" i="21" s="1"/>
  <c r="L48" i="21"/>
  <c r="L49" i="21" s="1"/>
  <c r="M48" i="21"/>
  <c r="M49" i="21" s="1"/>
  <c r="N48" i="21"/>
  <c r="O48" i="21"/>
  <c r="O49" i="21" s="1"/>
  <c r="P48" i="21"/>
  <c r="P49" i="21" s="1"/>
  <c r="Q48" i="21"/>
  <c r="Q49" i="21" s="1"/>
  <c r="R48" i="21"/>
  <c r="R49" i="21" s="1"/>
  <c r="S48" i="21"/>
  <c r="S49" i="21" s="1"/>
  <c r="T48" i="21"/>
  <c r="T49" i="21" s="1"/>
  <c r="U48" i="21"/>
  <c r="U49" i="21" s="1"/>
  <c r="V48" i="21"/>
  <c r="W48" i="21"/>
  <c r="W49" i="21" s="1"/>
  <c r="X48" i="21"/>
  <c r="X49" i="21" s="1"/>
  <c r="Y48" i="21"/>
  <c r="Y49" i="21" s="1"/>
  <c r="Z48" i="21"/>
  <c r="Z49" i="21" s="1"/>
  <c r="AA48" i="21"/>
  <c r="AA49" i="21" s="1"/>
  <c r="AB48" i="21"/>
  <c r="AB49" i="21" s="1"/>
  <c r="AC48" i="21"/>
  <c r="AC49" i="21" s="1"/>
  <c r="AD48" i="21"/>
  <c r="AD49" i="21" s="1"/>
  <c r="AE48" i="21"/>
  <c r="AE49" i="21" s="1"/>
  <c r="AF48" i="21"/>
  <c r="AF49" i="21" s="1"/>
  <c r="AG48" i="21"/>
  <c r="AG49" i="21" s="1"/>
  <c r="AH48" i="21"/>
  <c r="AH49" i="21" s="1"/>
  <c r="AI48" i="21"/>
  <c r="AI49" i="21" s="1"/>
  <c r="F48" i="21"/>
  <c r="F49" i="21" s="1"/>
  <c r="I46" i="21"/>
  <c r="I47" i="21" s="1"/>
  <c r="J46" i="21"/>
  <c r="N46" i="21"/>
  <c r="N47" i="21" s="1"/>
  <c r="O46" i="21"/>
  <c r="S46" i="21"/>
  <c r="S47" i="21" s="1"/>
  <c r="T46" i="21"/>
  <c r="T47" i="21" s="1"/>
  <c r="X46" i="21"/>
  <c r="X47" i="21" s="1"/>
  <c r="Y46" i="21"/>
  <c r="AC46" i="21"/>
  <c r="AC47" i="21" s="1"/>
  <c r="AD46" i="21"/>
  <c r="AH46" i="21"/>
  <c r="AH47" i="21" s="1"/>
  <c r="AI46"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H44" i="21"/>
  <c r="AI44" i="21"/>
  <c r="F44"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H38" i="21"/>
  <c r="AI38" i="21"/>
  <c r="F38"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H36" i="21"/>
  <c r="AI36" i="21"/>
  <c r="F36"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H34" i="21"/>
  <c r="AI34" i="21"/>
  <c r="F34" i="21"/>
  <c r="G31" i="21"/>
  <c r="H31" i="21"/>
  <c r="I31" i="21"/>
  <c r="K31" i="21"/>
  <c r="L31" i="21"/>
  <c r="M31" i="21"/>
  <c r="N31" i="21"/>
  <c r="P31" i="21"/>
  <c r="Q31" i="21"/>
  <c r="R31" i="21"/>
  <c r="S31" i="21"/>
  <c r="U31" i="21"/>
  <c r="V31" i="21"/>
  <c r="W31" i="21"/>
  <c r="X31" i="21"/>
  <c r="Z31" i="21"/>
  <c r="AA31" i="21"/>
  <c r="AB31" i="21"/>
  <c r="AC31" i="21"/>
  <c r="AE31" i="21"/>
  <c r="AF31" i="21"/>
  <c r="AG31" i="21"/>
  <c r="AH31" i="21"/>
  <c r="F31"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H30" i="21"/>
  <c r="AI30" i="21"/>
  <c r="F30" i="21"/>
  <c r="C29" i="21"/>
  <c r="AI23" i="21"/>
  <c r="AI24" i="21" s="1"/>
  <c r="AH23" i="21"/>
  <c r="AH24" i="21" s="1"/>
  <c r="J23" i="21"/>
  <c r="J24" i="21" s="1"/>
  <c r="O23" i="21"/>
  <c r="O24" i="21" s="1"/>
  <c r="T23" i="21"/>
  <c r="T24" i="21" s="1"/>
  <c r="Y23" i="21"/>
  <c r="Y24" i="21" s="1"/>
  <c r="AD23" i="21"/>
  <c r="AD24" i="21" s="1"/>
  <c r="G26" i="26" l="1"/>
  <c r="G27" i="26" s="1"/>
  <c r="I26" i="26"/>
  <c r="H26" i="26"/>
  <c r="BR24" i="21"/>
  <c r="AN24" i="21"/>
  <c r="AE39" i="21"/>
  <c r="AA37" i="21"/>
  <c r="AC35" i="21"/>
  <c r="AE50" i="21"/>
  <c r="W50" i="21"/>
  <c r="O50" i="21"/>
  <c r="U41" i="21"/>
  <c r="M41" i="21"/>
  <c r="L39" i="21"/>
  <c r="G50" i="21"/>
  <c r="P35" i="21"/>
  <c r="AN23" i="21"/>
  <c r="W39" i="21"/>
  <c r="U39" i="21"/>
  <c r="Z37" i="21"/>
  <c r="AB35" i="21"/>
  <c r="R37" i="21"/>
  <c r="N41" i="21"/>
  <c r="AF50" i="21"/>
  <c r="AI35" i="21"/>
  <c r="AA35" i="21"/>
  <c r="K35" i="21"/>
  <c r="F41" i="21"/>
  <c r="T41" i="21"/>
  <c r="L41" i="21"/>
  <c r="AB41" i="21"/>
  <c r="V50" i="21"/>
  <c r="X35" i="21"/>
  <c r="AA45" i="21"/>
  <c r="K50" i="21"/>
  <c r="Q35" i="21"/>
  <c r="AC45" i="21"/>
  <c r="S37" i="21"/>
  <c r="I39" i="21"/>
  <c r="AE41" i="21"/>
  <c r="AE53" i="21" s="1"/>
  <c r="W41" i="21"/>
  <c r="W53" i="21" s="1"/>
  <c r="O41" i="21"/>
  <c r="G41" i="21"/>
  <c r="AA39" i="21"/>
  <c r="AH50" i="21"/>
  <c r="Z45" i="21"/>
  <c r="J50" i="21"/>
  <c r="AB37" i="21"/>
  <c r="AD35" i="21"/>
  <c r="V35" i="21"/>
  <c r="Z39" i="21"/>
  <c r="AG50" i="21"/>
  <c r="Q50" i="21"/>
  <c r="S45" i="21"/>
  <c r="R39" i="21"/>
  <c r="V41" i="21"/>
  <c r="V53" i="21" s="1"/>
  <c r="Q39" i="21"/>
  <c r="N35" i="21"/>
  <c r="Y50" i="21"/>
  <c r="H39" i="21"/>
  <c r="X50" i="21"/>
  <c r="P45" i="21"/>
  <c r="U35" i="21"/>
  <c r="X45" i="21"/>
  <c r="S41" i="21"/>
  <c r="Q37" i="21"/>
  <c r="I37" i="21"/>
  <c r="G39" i="21"/>
  <c r="O35" i="21"/>
  <c r="F35" i="21"/>
  <c r="T35" i="21"/>
  <c r="L35" i="21"/>
  <c r="AG45" i="21"/>
  <c r="W37" i="21"/>
  <c r="M39" i="21"/>
  <c r="AH35" i="21"/>
  <c r="Z41" i="21"/>
  <c r="R35" i="21"/>
  <c r="J41" i="21"/>
  <c r="P37" i="21"/>
  <c r="H37" i="21"/>
  <c r="V39" i="21"/>
  <c r="S39" i="21"/>
  <c r="G37" i="21"/>
  <c r="G35" i="21"/>
  <c r="M35" i="21"/>
  <c r="V37" i="21"/>
  <c r="Q41" i="21"/>
  <c r="AD41" i="21"/>
  <c r="R45" i="21"/>
  <c r="I50" i="21"/>
  <c r="P39" i="21"/>
  <c r="H45" i="21"/>
  <c r="AH39" i="21"/>
  <c r="N37" i="21"/>
  <c r="AF45" i="21"/>
  <c r="AG35" i="21"/>
  <c r="Y41" i="21"/>
  <c r="I35" i="21"/>
  <c r="AC39" i="21"/>
  <c r="W35" i="21"/>
  <c r="AE37" i="21"/>
  <c r="U37" i="21"/>
  <c r="K37" i="21"/>
  <c r="AF35" i="21"/>
  <c r="X41" i="21"/>
  <c r="P41" i="21"/>
  <c r="H35" i="21"/>
  <c r="F39" i="21"/>
  <c r="AB39" i="21"/>
  <c r="AC41" i="21"/>
  <c r="F45" i="21"/>
  <c r="AB45" i="21"/>
  <c r="T50" i="21"/>
  <c r="L45" i="21"/>
  <c r="N50" i="21"/>
  <c r="X39" i="21"/>
  <c r="AH45" i="21"/>
  <c r="AD50" i="21"/>
  <c r="Z35" i="21"/>
  <c r="X37" i="21"/>
  <c r="AG39" i="21"/>
  <c r="M45" i="21"/>
  <c r="AC50" i="21"/>
  <c r="AF37" i="21"/>
  <c r="V45" i="21"/>
  <c r="F50" i="21"/>
  <c r="L50" i="21"/>
  <c r="AI41" i="21"/>
  <c r="K41" i="21"/>
  <c r="K45" i="21"/>
  <c r="AI50" i="21"/>
  <c r="AC37" i="21"/>
  <c r="M37" i="21"/>
  <c r="I45" i="21"/>
  <c r="N49" i="21"/>
  <c r="R50" i="21"/>
  <c r="AH37" i="21"/>
  <c r="N39" i="21"/>
  <c r="J35" i="21"/>
  <c r="W45" i="21"/>
  <c r="M50" i="21"/>
  <c r="AF39" i="21"/>
  <c r="AB50" i="21"/>
  <c r="K39" i="21"/>
  <c r="AA41" i="21"/>
  <c r="AE45" i="21"/>
  <c r="AA50" i="21"/>
  <c r="AH41" i="21"/>
  <c r="AE35" i="21"/>
  <c r="L37" i="21"/>
  <c r="AG41" i="21"/>
  <c r="S35" i="21"/>
  <c r="AF41" i="21"/>
  <c r="H41" i="21"/>
  <c r="Q45" i="21"/>
  <c r="G45" i="21"/>
  <c r="V49" i="21"/>
  <c r="P50" i="21"/>
  <c r="H50" i="21"/>
  <c r="N45" i="21"/>
  <c r="AG37" i="21"/>
  <c r="U50" i="21"/>
  <c r="U45" i="21"/>
  <c r="S50" i="21"/>
  <c r="Y35" i="21"/>
  <c r="R41" i="21"/>
  <c r="Z50" i="21"/>
  <c r="I41" i="21"/>
  <c r="X23" i="21"/>
  <c r="X24" i="21" s="1"/>
  <c r="N23" i="21"/>
  <c r="N24" i="21" s="1"/>
  <c r="F23" i="21"/>
  <c r="F24" i="21" s="1"/>
  <c r="BR23" i="21" s="1"/>
  <c r="T13" i="21"/>
  <c r="AD11" i="21"/>
  <c r="Y11" i="21"/>
  <c r="O11" i="21"/>
  <c r="J11" i="21"/>
  <c r="L4" i="21"/>
  <c r="L17" i="21" s="1"/>
  <c r="M4" i="21"/>
  <c r="M17" i="21" s="1"/>
  <c r="N4" i="21"/>
  <c r="N17" i="21" s="1"/>
  <c r="O4" i="21"/>
  <c r="O17" i="21" s="1"/>
  <c r="P4" i="21"/>
  <c r="P17" i="21" s="1"/>
  <c r="Q4" i="21"/>
  <c r="Q17" i="21" s="1"/>
  <c r="R4" i="21"/>
  <c r="R17" i="21" s="1"/>
  <c r="S4" i="21"/>
  <c r="S17" i="21" s="1"/>
  <c r="T4" i="21"/>
  <c r="T17" i="21" s="1"/>
  <c r="U4" i="21"/>
  <c r="U17" i="21" s="1"/>
  <c r="V4" i="21"/>
  <c r="V17" i="21" s="1"/>
  <c r="W4" i="21"/>
  <c r="W17" i="21" s="1"/>
  <c r="X4" i="21"/>
  <c r="X17" i="21" s="1"/>
  <c r="Y4" i="21"/>
  <c r="Y17" i="21" s="1"/>
  <c r="Z4" i="21"/>
  <c r="Z17" i="21" s="1"/>
  <c r="AA4" i="21"/>
  <c r="AA17" i="21" s="1"/>
  <c r="AB4" i="21"/>
  <c r="AB17" i="21" s="1"/>
  <c r="AC4" i="21"/>
  <c r="AC17" i="21" s="1"/>
  <c r="AD4" i="21"/>
  <c r="AD17" i="21" s="1"/>
  <c r="AE4" i="21"/>
  <c r="AE17" i="21" s="1"/>
  <c r="AF4" i="21"/>
  <c r="AF17" i="21" s="1"/>
  <c r="AG4" i="21"/>
  <c r="AG17" i="21" s="1"/>
  <c r="AH4" i="21"/>
  <c r="AH17" i="21" s="1"/>
  <c r="AI4" i="21"/>
  <c r="AI17" i="21" s="1"/>
  <c r="K4" i="21"/>
  <c r="K17" i="21" s="1"/>
  <c r="B60" i="22"/>
  <c r="B53" i="22"/>
  <c r="C50" i="22"/>
  <c r="H86" i="22"/>
  <c r="H79" i="22"/>
  <c r="H90" i="22" s="1"/>
  <c r="H75" i="22"/>
  <c r="H81" i="22" s="1"/>
  <c r="D74" i="22"/>
  <c r="H68" i="22"/>
  <c r="G65" i="22"/>
  <c r="D65" i="22"/>
  <c r="H63" i="22"/>
  <c r="H69" i="22" s="1"/>
  <c r="G63" i="22"/>
  <c r="G74" i="22" s="1"/>
  <c r="F63" i="22"/>
  <c r="F65" i="22" s="1"/>
  <c r="E63" i="22"/>
  <c r="E74" i="22" s="1"/>
  <c r="D63" i="22"/>
  <c r="H64" i="22"/>
  <c r="H50" i="22"/>
  <c r="G50" i="22"/>
  <c r="F50" i="22"/>
  <c r="E50" i="22"/>
  <c r="D50" i="22"/>
  <c r="H27" i="26" l="1"/>
  <c r="I27" i="26"/>
  <c r="I23" i="21"/>
  <c r="I24" i="21" s="1"/>
  <c r="BU23" i="21" s="1"/>
  <c r="AC23" i="21"/>
  <c r="AC24" i="21" s="1"/>
  <c r="AK24" i="21"/>
  <c r="AM24" i="21"/>
  <c r="AL24" i="21"/>
  <c r="AJ24" i="21"/>
  <c r="AS24" i="21"/>
  <c r="AN16" i="21"/>
  <c r="AN3" i="21" s="1"/>
  <c r="AN4" i="21" s="1"/>
  <c r="AL23" i="21"/>
  <c r="AM23" i="21"/>
  <c r="AJ23" i="21"/>
  <c r="AK23" i="21"/>
  <c r="AK16" i="21" s="1"/>
  <c r="AK3" i="21" s="1"/>
  <c r="AK4" i="21" s="1"/>
  <c r="M53" i="21"/>
  <c r="U53" i="21"/>
  <c r="O53" i="21"/>
  <c r="G53" i="21"/>
  <c r="K53" i="21"/>
  <c r="L53" i="21"/>
  <c r="H53" i="21"/>
  <c r="P53" i="21"/>
  <c r="N53" i="21"/>
  <c r="AF53" i="21"/>
  <c r="F53" i="21"/>
  <c r="J53" i="21"/>
  <c r="T53" i="21"/>
  <c r="AD53" i="21"/>
  <c r="AB53" i="21"/>
  <c r="AG53" i="21"/>
  <c r="AH53" i="21"/>
  <c r="Q53" i="21"/>
  <c r="Z53" i="21"/>
  <c r="X53" i="21"/>
  <c r="AI53" i="21"/>
  <c r="S53" i="21"/>
  <c r="AA53" i="21"/>
  <c r="I53" i="21"/>
  <c r="Y53" i="21"/>
  <c r="R53" i="21"/>
  <c r="AC53" i="21"/>
  <c r="D76" i="22"/>
  <c r="G76" i="22"/>
  <c r="G85" i="22"/>
  <c r="H65" i="22"/>
  <c r="H70" i="22"/>
  <c r="H71" i="22" s="1"/>
  <c r="E85" i="22"/>
  <c r="E76" i="22"/>
  <c r="H92" i="22"/>
  <c r="D85" i="22"/>
  <c r="E65" i="22"/>
  <c r="H74" i="22"/>
  <c r="F74" i="22"/>
  <c r="AM16" i="21" l="1"/>
  <c r="AM3" i="21" s="1"/>
  <c r="AM4" i="21" s="1"/>
  <c r="AL16" i="21"/>
  <c r="AL3" i="21" s="1"/>
  <c r="AL4" i="21" s="1"/>
  <c r="AO24" i="21"/>
  <c r="AX24" i="21"/>
  <c r="AR24" i="21"/>
  <c r="AP24" i="21"/>
  <c r="AQ24" i="21"/>
  <c r="AJ16" i="21"/>
  <c r="AJ3" i="21" s="1"/>
  <c r="AJ4" i="21" s="1"/>
  <c r="G87" i="22"/>
  <c r="H80" i="22"/>
  <c r="H82" i="22" s="1"/>
  <c r="H76" i="22"/>
  <c r="H85" i="22"/>
  <c r="E87" i="22"/>
  <c r="D87" i="22"/>
  <c r="F85" i="22"/>
  <c r="F76" i="22"/>
  <c r="AP23" i="21" l="1"/>
  <c r="AP16" i="21" s="1"/>
  <c r="AP3" i="21" s="1"/>
  <c r="AP4" i="21" s="1"/>
  <c r="AR23" i="21"/>
  <c r="AR16" i="21" s="1"/>
  <c r="AR3" i="21" s="1"/>
  <c r="AR4" i="21" s="1"/>
  <c r="AO23" i="21"/>
  <c r="AO16" i="21" s="1"/>
  <c r="AO3" i="21" s="1"/>
  <c r="AO4" i="21" s="1"/>
  <c r="AW24" i="21"/>
  <c r="AT24" i="21"/>
  <c r="AY24" i="21"/>
  <c r="AU24" i="21"/>
  <c r="AV24" i="21"/>
  <c r="AS23" i="21"/>
  <c r="AS16" i="21" s="1"/>
  <c r="AS3" i="21" s="1"/>
  <c r="AS4" i="21" s="1"/>
  <c r="AQ23" i="21"/>
  <c r="AQ16" i="21" s="1"/>
  <c r="AQ3" i="21" s="1"/>
  <c r="AQ4" i="21" s="1"/>
  <c r="AY23" i="21"/>
  <c r="H87" i="22"/>
  <c r="H91" i="22"/>
  <c r="H93" i="22" s="1"/>
  <c r="F87" i="22"/>
  <c r="AY16" i="21" l="1"/>
  <c r="AY3" i="21" s="1"/>
  <c r="AX23" i="21"/>
  <c r="AX16" i="21" s="1"/>
  <c r="AX3" i="21" s="1"/>
  <c r="AX4" i="21" s="1"/>
  <c r="AT23" i="21"/>
  <c r="AT16" i="21" s="1"/>
  <c r="AT3" i="21" s="1"/>
  <c r="AT4" i="21" s="1"/>
  <c r="AU23" i="21"/>
  <c r="AU16" i="21" s="1"/>
  <c r="AU3" i="21" s="1"/>
  <c r="AU4" i="21" s="1"/>
  <c r="AW23" i="21"/>
  <c r="AW16" i="21" s="1"/>
  <c r="AW3" i="21" s="1"/>
  <c r="AW4" i="21" s="1"/>
  <c r="AV23" i="21"/>
  <c r="AV16" i="21" s="1"/>
  <c r="AV3" i="21" s="1"/>
  <c r="AV4" i="21" s="1"/>
  <c r="H22" i="22"/>
  <c r="H51" i="22" s="1"/>
  <c r="G22" i="22"/>
  <c r="G51" i="22" s="1"/>
  <c r="F22" i="22"/>
  <c r="F51" i="22" s="1"/>
  <c r="E22" i="22"/>
  <c r="E51" i="22" s="1"/>
  <c r="D22" i="22"/>
  <c r="D51" i="22" s="1"/>
  <c r="C22" i="22"/>
  <c r="D28" i="22"/>
  <c r="D29" i="22" s="1"/>
  <c r="D31" i="22" s="1"/>
  <c r="E28" i="22"/>
  <c r="F28" i="22"/>
  <c r="G28" i="22"/>
  <c r="C28" i="22"/>
  <c r="C29" i="22" s="1"/>
  <c r="B24" i="22"/>
  <c r="AY4" i="21" l="1"/>
  <c r="C44" i="22"/>
  <c r="D44" i="22" s="1"/>
  <c r="E44" i="22" s="1"/>
  <c r="C51" i="22"/>
  <c r="G29" i="22"/>
  <c r="G31" i="22" s="1"/>
  <c r="F29" i="22"/>
  <c r="F31" i="22" s="1"/>
  <c r="E29" i="22"/>
  <c r="E31" i="22" s="1"/>
  <c r="C31" i="22"/>
  <c r="E68" i="22" l="1"/>
  <c r="F44" i="22"/>
  <c r="D68" i="22"/>
  <c r="D79" i="22" l="1"/>
  <c r="D69" i="22"/>
  <c r="D71" i="22" s="1"/>
  <c r="F68" i="22"/>
  <c r="G44" i="22"/>
  <c r="G68" i="22" s="1"/>
  <c r="E79" i="22"/>
  <c r="E69" i="22"/>
  <c r="E71" i="22" s="1"/>
  <c r="F79" i="22" l="1"/>
  <c r="F69" i="22"/>
  <c r="F71" i="22" s="1"/>
  <c r="E90" i="22"/>
  <c r="E91" i="22" s="1"/>
  <c r="E93" i="22" s="1"/>
  <c r="E80" i="22"/>
  <c r="E82" i="22" s="1"/>
  <c r="G79" i="22"/>
  <c r="G69" i="22"/>
  <c r="G71" i="22" s="1"/>
  <c r="D90" i="22"/>
  <c r="D91" i="22" s="1"/>
  <c r="D93" i="22" s="1"/>
  <c r="D80" i="22"/>
  <c r="D82" i="22" s="1"/>
  <c r="G90" i="22" l="1"/>
  <c r="G91" i="22" s="1"/>
  <c r="G93" i="22" s="1"/>
  <c r="G80" i="22"/>
  <c r="G82" i="22" s="1"/>
  <c r="F90" i="22"/>
  <c r="F91" i="22" s="1"/>
  <c r="F93" i="22" s="1"/>
  <c r="F80" i="22"/>
  <c r="F82" i="22" s="1"/>
  <c r="H46" i="22"/>
  <c r="H45" i="22"/>
  <c r="H47" i="22" l="1"/>
  <c r="BC22" i="3" l="1"/>
  <c r="BC24" i="3"/>
  <c r="BC26" i="3"/>
  <c r="BC28" i="3"/>
  <c r="BC29" i="3"/>
  <c r="BC31" i="3"/>
  <c r="BC33" i="3"/>
  <c r="BC34" i="3"/>
  <c r="BC36" i="3"/>
  <c r="BC37" i="3"/>
  <c r="BC38" i="3"/>
  <c r="BC39" i="3"/>
  <c r="BC41" i="3"/>
  <c r="BC42" i="3"/>
  <c r="BC43" i="3"/>
  <c r="BC45" i="3"/>
  <c r="BC46" i="3"/>
  <c r="BC47" i="3"/>
  <c r="BC48" i="3"/>
  <c r="BC49" i="3"/>
  <c r="BC50" i="3"/>
  <c r="BC51" i="3"/>
  <c r="BC52" i="3"/>
  <c r="BC53" i="3"/>
  <c r="BC54" i="3"/>
  <c r="BC55" i="3"/>
  <c r="BC56" i="3"/>
  <c r="BC57" i="3"/>
  <c r="BC58" i="3"/>
  <c r="BC59" i="3"/>
  <c r="BC60" i="3"/>
  <c r="BC61" i="3"/>
  <c r="BC62" i="3"/>
  <c r="BC63" i="3"/>
  <c r="BC64" i="3"/>
  <c r="BC65" i="3"/>
  <c r="BC20" i="3"/>
  <c r="AS40" i="3"/>
  <c r="AT40" i="3"/>
  <c r="AU40" i="3"/>
  <c r="AB40" i="3"/>
  <c r="AC40" i="3"/>
  <c r="AD40" i="3"/>
  <c r="AE40" i="3"/>
  <c r="AF40" i="3"/>
  <c r="AG40" i="3"/>
  <c r="AH40" i="3"/>
  <c r="AI40" i="3"/>
  <c r="AJ40" i="3"/>
  <c r="AK40" i="3"/>
  <c r="AL40" i="3"/>
  <c r="AM40" i="3"/>
  <c r="AN40" i="3"/>
  <c r="AO40" i="3"/>
  <c r="AP40" i="3"/>
  <c r="AQ40" i="3"/>
  <c r="AR40" i="3"/>
  <c r="AC30" i="3"/>
  <c r="AG30" i="3" s="1"/>
  <c r="AK30" i="3" s="1"/>
  <c r="AD30" i="3"/>
  <c r="AH30" i="3" s="1"/>
  <c r="AL30" i="3" s="1"/>
  <c r="AE30" i="3"/>
  <c r="AI30" i="3" s="1"/>
  <c r="AM30" i="3" s="1"/>
  <c r="AB30" i="3"/>
  <c r="AC27" i="3"/>
  <c r="AD27" i="3"/>
  <c r="AH27" i="3" s="1"/>
  <c r="AL27" i="3" s="1"/>
  <c r="AP27" i="3" s="1"/>
  <c r="AT27" i="3" s="1"/>
  <c r="AE27" i="3"/>
  <c r="AB27" i="3"/>
  <c r="AB32" i="3" s="1"/>
  <c r="AC23" i="3"/>
  <c r="AG23" i="3" s="1"/>
  <c r="AK23" i="3" s="1"/>
  <c r="AO23" i="3" s="1"/>
  <c r="AS23" i="3" s="1"/>
  <c r="AD23" i="3"/>
  <c r="AH23" i="3" s="1"/>
  <c r="AL23" i="3" s="1"/>
  <c r="AP23" i="3" s="1"/>
  <c r="AT23" i="3" s="1"/>
  <c r="AE23" i="3"/>
  <c r="AI23" i="3"/>
  <c r="AM23" i="3" s="1"/>
  <c r="AQ23" i="3" s="1"/>
  <c r="AU23" i="3" s="1"/>
  <c r="AB23" i="3"/>
  <c r="AF23" i="3" s="1"/>
  <c r="AJ23" i="3" s="1"/>
  <c r="AN23" i="3" s="1"/>
  <c r="AR23" i="3" s="1"/>
  <c r="AC32" i="3" l="1"/>
  <c r="AG27" i="3"/>
  <c r="AK27" i="3" s="1"/>
  <c r="AO27" i="3" s="1"/>
  <c r="AS27" i="3" s="1"/>
  <c r="AF27" i="3"/>
  <c r="AJ27" i="3" s="1"/>
  <c r="AN27" i="3" s="1"/>
  <c r="AR27" i="3" s="1"/>
  <c r="AE32" i="3"/>
  <c r="BC27" i="3"/>
  <c r="BC30" i="3"/>
  <c r="BC40" i="3"/>
  <c r="AD32" i="3"/>
  <c r="BC32" i="3" s="1"/>
  <c r="AI27" i="3"/>
  <c r="AM27" i="3" s="1"/>
  <c r="AQ27" i="3" s="1"/>
  <c r="AU27" i="3" s="1"/>
  <c r="AF30" i="3"/>
  <c r="AJ30" i="3" s="1"/>
  <c r="AN30" i="3" s="1"/>
  <c r="BC23" i="3"/>
  <c r="AH32" i="3"/>
  <c r="AQ30" i="3"/>
  <c r="AL32" i="3"/>
  <c r="AP30" i="3"/>
  <c r="AK32" i="3"/>
  <c r="AO30" i="3"/>
  <c r="B25" i="22"/>
  <c r="B15" i="22"/>
  <c r="AN23" i="19"/>
  <c r="AN29" i="19" s="1"/>
  <c r="AN18" i="19"/>
  <c r="AI19" i="3"/>
  <c r="AF19" i="3"/>
  <c r="AN12" i="19"/>
  <c r="AC19" i="3"/>
  <c r="AD19" i="3"/>
  <c r="AH19" i="3" s="1"/>
  <c r="AE19" i="3"/>
  <c r="B24" i="19"/>
  <c r="AB19" i="3"/>
  <c r="AD18" i="3"/>
  <c r="AH18" i="3" s="1"/>
  <c r="AE18" i="3"/>
  <c r="AI18" i="3" s="1"/>
  <c r="AC18" i="3"/>
  <c r="AG18" i="3" s="1"/>
  <c r="AB18" i="3"/>
  <c r="AF18" i="3" s="1"/>
  <c r="AI10" i="21"/>
  <c r="AD10" i="21"/>
  <c r="Y10" i="21"/>
  <c r="O10" i="21"/>
  <c r="J10" i="21"/>
  <c r="G6" i="21"/>
  <c r="G7" i="21" s="1"/>
  <c r="H6" i="21"/>
  <c r="H7" i="21" s="1"/>
  <c r="I6" i="21"/>
  <c r="I7" i="21" s="1"/>
  <c r="K6" i="21"/>
  <c r="K7" i="21" s="1"/>
  <c r="L6" i="21"/>
  <c r="L7" i="21" s="1"/>
  <c r="M6" i="21"/>
  <c r="M7" i="21" s="1"/>
  <c r="N6" i="21"/>
  <c r="N7" i="21" s="1"/>
  <c r="P6" i="21"/>
  <c r="P7" i="21" s="1"/>
  <c r="Q6" i="21"/>
  <c r="Q7" i="21" s="1"/>
  <c r="R6" i="21"/>
  <c r="R7" i="21" s="1"/>
  <c r="S6" i="21"/>
  <c r="S7" i="21" s="1"/>
  <c r="U6" i="21"/>
  <c r="U7" i="21" s="1"/>
  <c r="V6" i="21"/>
  <c r="V7" i="21" s="1"/>
  <c r="W6" i="21"/>
  <c r="W7" i="21" s="1"/>
  <c r="X6" i="21"/>
  <c r="X7" i="21" s="1"/>
  <c r="Z6" i="21"/>
  <c r="Z7" i="21" s="1"/>
  <c r="AA6" i="21"/>
  <c r="AA7" i="21" s="1"/>
  <c r="AB6" i="21"/>
  <c r="AB7" i="21" s="1"/>
  <c r="AC6" i="21"/>
  <c r="AC7" i="21" s="1"/>
  <c r="AE6" i="21"/>
  <c r="AE7" i="21" s="1"/>
  <c r="AF6" i="21"/>
  <c r="AF7" i="21" s="1"/>
  <c r="AG6" i="21"/>
  <c r="AG7" i="21" s="1"/>
  <c r="AH6" i="21"/>
  <c r="AH7" i="21" s="1"/>
  <c r="F6" i="21"/>
  <c r="F7" i="21" s="1"/>
  <c r="AI5" i="21"/>
  <c r="AD5" i="21"/>
  <c r="Y5" i="21"/>
  <c r="T5" i="21"/>
  <c r="O5" i="21"/>
  <c r="J5" i="21"/>
  <c r="V33" i="19"/>
  <c r="W33" i="19"/>
  <c r="X33" i="19"/>
  <c r="Y33" i="19"/>
  <c r="Z33" i="19"/>
  <c r="AA33" i="19"/>
  <c r="AB33" i="19"/>
  <c r="AC33" i="19"/>
  <c r="AD33" i="19"/>
  <c r="AE33" i="19"/>
  <c r="AF33" i="19"/>
  <c r="AG33" i="19"/>
  <c r="AH33" i="19"/>
  <c r="AI33" i="19"/>
  <c r="AN17" i="19" s="1"/>
  <c r="AN21" i="19" s="1"/>
  <c r="B28" i="19"/>
  <c r="B27" i="19"/>
  <c r="B26" i="19"/>
  <c r="BH18" i="19"/>
  <c r="BH27" i="19" s="1"/>
  <c r="BC18" i="19"/>
  <c r="BC26" i="19" s="1"/>
  <c r="AX18" i="19"/>
  <c r="BH25" i="19" s="1"/>
  <c r="BH13" i="19"/>
  <c r="BD13" i="19"/>
  <c r="BC13" i="19"/>
  <c r="AY13" i="19"/>
  <c r="AZ13" i="19"/>
  <c r="BA13" i="19"/>
  <c r="BB13" i="19"/>
  <c r="BE13" i="19"/>
  <c r="BF13" i="19"/>
  <c r="BG13" i="19"/>
  <c r="AV13" i="19"/>
  <c r="AW13" i="19"/>
  <c r="AU13" i="19"/>
  <c r="AT13" i="19"/>
  <c r="AS12" i="19"/>
  <c r="B25" i="19" s="1"/>
  <c r="BH23" i="19"/>
  <c r="AN31" i="19" l="1"/>
  <c r="AN33" i="19" s="1"/>
  <c r="C32" i="22" s="1"/>
  <c r="C38" i="22" s="1"/>
  <c r="C40" i="22" s="1"/>
  <c r="AI6" i="21"/>
  <c r="AN5" i="21"/>
  <c r="AS5" i="21" s="1"/>
  <c r="AX5" i="21" s="1"/>
  <c r="AY5" i="21" s="1"/>
  <c r="O13" i="21"/>
  <c r="O47" i="21"/>
  <c r="Y13" i="21"/>
  <c r="Y47" i="21"/>
  <c r="AD13" i="21"/>
  <c r="AD47" i="21"/>
  <c r="AI13" i="21"/>
  <c r="AI47" i="21"/>
  <c r="J13" i="21"/>
  <c r="J47" i="21"/>
  <c r="J6" i="21"/>
  <c r="J7" i="21" s="1"/>
  <c r="J31" i="21"/>
  <c r="O6" i="21"/>
  <c r="O7" i="21" s="1"/>
  <c r="O31" i="21"/>
  <c r="T6" i="21"/>
  <c r="T7" i="21" s="1"/>
  <c r="T31" i="21"/>
  <c r="Y6" i="21"/>
  <c r="Y7" i="21" s="1"/>
  <c r="Y31" i="21"/>
  <c r="AD6" i="21"/>
  <c r="AD7" i="21" s="1"/>
  <c r="AD31" i="21"/>
  <c r="AI7" i="21"/>
  <c r="AI21" i="3"/>
  <c r="AI25" i="3" s="1"/>
  <c r="AG32" i="3"/>
  <c r="AJ19" i="3"/>
  <c r="AM19" i="3"/>
  <c r="AQ19" i="3" s="1"/>
  <c r="AN32" i="3"/>
  <c r="AE21" i="3"/>
  <c r="AE25" i="3" s="1"/>
  <c r="AE35" i="3" s="1"/>
  <c r="AE44" i="3" s="1"/>
  <c r="AF32" i="3"/>
  <c r="AI32" i="3"/>
  <c r="AI35" i="3" s="1"/>
  <c r="AI44" i="3" s="1"/>
  <c r="AR30" i="3"/>
  <c r="AR32" i="3" s="1"/>
  <c r="AJ32" i="3"/>
  <c r="AN19" i="3"/>
  <c r="AR19" i="3" s="1"/>
  <c r="AM32" i="3"/>
  <c r="BD18" i="3"/>
  <c r="AH21" i="3"/>
  <c r="AH25" i="3" s="1"/>
  <c r="AH35" i="3" s="1"/>
  <c r="AH44" i="3" s="1"/>
  <c r="AF21" i="3"/>
  <c r="AD21" i="3"/>
  <c r="AC21" i="3"/>
  <c r="AC25" i="3" s="1"/>
  <c r="AC35" i="3" s="1"/>
  <c r="AC44" i="3" s="1"/>
  <c r="AG19" i="3"/>
  <c r="AG21" i="3" s="1"/>
  <c r="AB21" i="3"/>
  <c r="BC19" i="3"/>
  <c r="AL19" i="3"/>
  <c r="AP19" i="3" s="1"/>
  <c r="AT19" i="3" s="1"/>
  <c r="AT30" i="3"/>
  <c r="AT32" i="3" s="1"/>
  <c r="AP32" i="3"/>
  <c r="AS30" i="3"/>
  <c r="AS32" i="3" s="1"/>
  <c r="AO32" i="3"/>
  <c r="AQ32" i="3"/>
  <c r="AU30" i="3"/>
  <c r="AU32" i="3" s="1"/>
  <c r="AJ18" i="3"/>
  <c r="AM18" i="3"/>
  <c r="AQ18" i="3" s="1"/>
  <c r="AU18" i="3"/>
  <c r="AL18" i="3"/>
  <c r="AK18" i="3"/>
  <c r="AX13" i="19"/>
  <c r="AS23" i="19"/>
  <c r="BC23" i="19"/>
  <c r="AX25" i="19"/>
  <c r="BC25" i="19"/>
  <c r="AS18" i="19"/>
  <c r="AX23" i="19"/>
  <c r="BH26" i="19"/>
  <c r="C45" i="22" l="1"/>
  <c r="C47" i="22" s="1"/>
  <c r="T37" i="21"/>
  <c r="T45" i="21"/>
  <c r="T39" i="21"/>
  <c r="AI37" i="21"/>
  <c r="AI39" i="21"/>
  <c r="AI45" i="21"/>
  <c r="O37" i="21"/>
  <c r="O45" i="21"/>
  <c r="O39" i="21"/>
  <c r="AD39" i="21"/>
  <c r="AD45" i="21"/>
  <c r="AD37" i="21"/>
  <c r="J37" i="21"/>
  <c r="J39" i="21"/>
  <c r="J45" i="21"/>
  <c r="Y37" i="21"/>
  <c r="Y39" i="21"/>
  <c r="Y45" i="21"/>
  <c r="AQ21" i="3"/>
  <c r="AQ25" i="3" s="1"/>
  <c r="AL21" i="3"/>
  <c r="AL25" i="3" s="1"/>
  <c r="AL35" i="3" s="1"/>
  <c r="AL44" i="3" s="1"/>
  <c r="AU19" i="3"/>
  <c r="AU21" i="3" s="1"/>
  <c r="AU25" i="3" s="1"/>
  <c r="AU35" i="3" s="1"/>
  <c r="AU44" i="3" s="1"/>
  <c r="AM21" i="3"/>
  <c r="AM25" i="3" s="1"/>
  <c r="AM35" i="3" s="1"/>
  <c r="AM44" i="3" s="1"/>
  <c r="AP18" i="3"/>
  <c r="AP21" i="3" s="1"/>
  <c r="AP25" i="3" s="1"/>
  <c r="AP35" i="3" s="1"/>
  <c r="AP44" i="3" s="1"/>
  <c r="AG25" i="3"/>
  <c r="AG35" i="3" s="1"/>
  <c r="AG44" i="3" s="1"/>
  <c r="BF18" i="3"/>
  <c r="BF19" i="3"/>
  <c r="AQ35" i="3"/>
  <c r="AQ44" i="3" s="1"/>
  <c r="BG19" i="3"/>
  <c r="AF25" i="3"/>
  <c r="AF35" i="3" s="1"/>
  <c r="AF44" i="3" s="1"/>
  <c r="BG18" i="3"/>
  <c r="BD19" i="3"/>
  <c r="AT18" i="3"/>
  <c r="AT21" i="3" s="1"/>
  <c r="AT25" i="3" s="1"/>
  <c r="AT35" i="3" s="1"/>
  <c r="AT44" i="3" s="1"/>
  <c r="BE19" i="3"/>
  <c r="AN18" i="3"/>
  <c r="AN21" i="3" s="1"/>
  <c r="AN25" i="3" s="1"/>
  <c r="AN35" i="3" s="1"/>
  <c r="AN44" i="3" s="1"/>
  <c r="AJ21" i="3"/>
  <c r="AJ25" i="3" s="1"/>
  <c r="AJ35" i="3" s="1"/>
  <c r="AJ44" i="3" s="1"/>
  <c r="BC21" i="3"/>
  <c r="AB25" i="3"/>
  <c r="BC18" i="3"/>
  <c r="AD25" i="3"/>
  <c r="AD35" i="3" s="1"/>
  <c r="AD44" i="3" s="1"/>
  <c r="BE18" i="3"/>
  <c r="AO18" i="3"/>
  <c r="AK19" i="3"/>
  <c r="AK21" i="3" s="1"/>
  <c r="AK25" i="3" s="1"/>
  <c r="AK35" i="3" s="1"/>
  <c r="AK44" i="3" s="1"/>
  <c r="BH24" i="19"/>
  <c r="BH29" i="19" s="1"/>
  <c r="AS24" i="19"/>
  <c r="AS29" i="19" s="1"/>
  <c r="BC24" i="19"/>
  <c r="BC29" i="19" s="1"/>
  <c r="AX24" i="19"/>
  <c r="AX29" i="19" s="1"/>
  <c r="AB35" i="3" l="1"/>
  <c r="BC25" i="3"/>
  <c r="AO19" i="3"/>
  <c r="AO21" i="3" s="1"/>
  <c r="AO25" i="3" s="1"/>
  <c r="AO35" i="3" s="1"/>
  <c r="AO44" i="3" s="1"/>
  <c r="AS18" i="3"/>
  <c r="AR18" i="3"/>
  <c r="AR21" i="3" s="1"/>
  <c r="AR25" i="3" s="1"/>
  <c r="AR35" i="3" s="1"/>
  <c r="AR44" i="3" s="1"/>
  <c r="H94" i="20"/>
  <c r="H102" i="20" s="1"/>
  <c r="G94" i="20"/>
  <c r="G100" i="20" s="1"/>
  <c r="F94" i="20"/>
  <c r="F98" i="20" s="1"/>
  <c r="E94" i="20"/>
  <c r="E102" i="20" s="1"/>
  <c r="D94" i="20"/>
  <c r="D102" i="20" s="1"/>
  <c r="C94" i="20"/>
  <c r="C102" i="20" s="1"/>
  <c r="C83" i="16"/>
  <c r="D83" i="16"/>
  <c r="E83" i="16"/>
  <c r="F83" i="16"/>
  <c r="G83" i="16"/>
  <c r="H83" i="16"/>
  <c r="I83" i="16"/>
  <c r="J83" i="16"/>
  <c r="K83" i="16"/>
  <c r="L83" i="16"/>
  <c r="M83" i="16"/>
  <c r="N83" i="16"/>
  <c r="O83" i="16"/>
  <c r="P83" i="16"/>
  <c r="Q83" i="16"/>
  <c r="R83" i="16"/>
  <c r="S83" i="16"/>
  <c r="T83" i="16"/>
  <c r="U83" i="16"/>
  <c r="V83" i="16"/>
  <c r="W83" i="16"/>
  <c r="X83" i="16"/>
  <c r="Y83" i="16"/>
  <c r="Z83" i="16"/>
  <c r="AA83" i="16"/>
  <c r="AB83" i="16"/>
  <c r="AC83" i="16"/>
  <c r="AD83" i="16"/>
  <c r="AE83" i="16"/>
  <c r="AF8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Q71" i="16"/>
  <c r="L71" i="16"/>
  <c r="I71" i="16"/>
  <c r="D71" i="16"/>
  <c r="K65" i="16"/>
  <c r="K71" i="16" s="1"/>
  <c r="L65" i="16"/>
  <c r="AF65" i="16"/>
  <c r="AF71" i="16" s="1"/>
  <c r="AE65" i="16"/>
  <c r="AE71" i="16" s="1"/>
  <c r="AD65" i="16"/>
  <c r="AD71" i="16" s="1"/>
  <c r="AC65" i="16"/>
  <c r="AC71" i="16" s="1"/>
  <c r="AB65" i="16"/>
  <c r="AB71" i="16" s="1"/>
  <c r="AA65" i="16"/>
  <c r="AA71" i="16" s="1"/>
  <c r="Z65" i="16"/>
  <c r="Z71" i="16" s="1"/>
  <c r="Y65" i="16"/>
  <c r="Y71" i="16" s="1"/>
  <c r="X65" i="16"/>
  <c r="X71" i="16" s="1"/>
  <c r="W65" i="16"/>
  <c r="W71" i="16" s="1"/>
  <c r="V65" i="16"/>
  <c r="V71" i="16" s="1"/>
  <c r="U65" i="16"/>
  <c r="U71" i="16" s="1"/>
  <c r="T65" i="16"/>
  <c r="T71" i="16" s="1"/>
  <c r="S65" i="16"/>
  <c r="S71" i="16" s="1"/>
  <c r="R65" i="16"/>
  <c r="R71" i="16" s="1"/>
  <c r="Q65" i="16"/>
  <c r="P65" i="16"/>
  <c r="P71" i="16" s="1"/>
  <c r="O65" i="16"/>
  <c r="O71" i="16" s="1"/>
  <c r="N65" i="16"/>
  <c r="N71" i="16" s="1"/>
  <c r="M65" i="16"/>
  <c r="M71" i="16" s="1"/>
  <c r="J65" i="16"/>
  <c r="J71" i="16" s="1"/>
  <c r="I65" i="16"/>
  <c r="H65" i="16"/>
  <c r="H71" i="16" s="1"/>
  <c r="H61" i="16"/>
  <c r="G65" i="16"/>
  <c r="G71" i="16" s="1"/>
  <c r="G53" i="16"/>
  <c r="G57" i="16"/>
  <c r="G61" i="16"/>
  <c r="G69" i="16"/>
  <c r="F65" i="16"/>
  <c r="F71" i="16" s="1"/>
  <c r="E65" i="16"/>
  <c r="E71" i="16" s="1"/>
  <c r="D65" i="16"/>
  <c r="C65" i="16"/>
  <c r="C71" i="16" s="1"/>
  <c r="V69" i="16"/>
  <c r="T69" i="16"/>
  <c r="S69" i="16"/>
  <c r="M69" i="16"/>
  <c r="AF53" i="16"/>
  <c r="Y53" i="16"/>
  <c r="U53" i="16"/>
  <c r="M53" i="16"/>
  <c r="L53" i="16"/>
  <c r="AE53" i="16"/>
  <c r="AD53" i="16"/>
  <c r="AC53" i="16"/>
  <c r="AB53" i="16"/>
  <c r="AA53" i="16"/>
  <c r="Z53" i="16"/>
  <c r="X53" i="16"/>
  <c r="W53" i="16"/>
  <c r="V53" i="16"/>
  <c r="T53" i="16"/>
  <c r="S53" i="16"/>
  <c r="R53" i="16"/>
  <c r="Q53" i="16"/>
  <c r="P53" i="16"/>
  <c r="O53" i="16"/>
  <c r="N53" i="16"/>
  <c r="K53" i="16"/>
  <c r="J53" i="16"/>
  <c r="I53" i="16"/>
  <c r="H53" i="16"/>
  <c r="F53" i="16"/>
  <c r="E53" i="16"/>
  <c r="D53" i="16"/>
  <c r="C53" i="16"/>
  <c r="AF61" i="16"/>
  <c r="AF69" i="16" s="1"/>
  <c r="U61" i="16"/>
  <c r="U69" i="16" s="1"/>
  <c r="L61" i="16"/>
  <c r="L69" i="16" s="1"/>
  <c r="I61" i="16"/>
  <c r="I69" i="16" s="1"/>
  <c r="H69" i="16"/>
  <c r="AE61" i="16"/>
  <c r="AE69" i="16" s="1"/>
  <c r="AD61" i="16"/>
  <c r="AD69" i="16" s="1"/>
  <c r="AC61" i="16"/>
  <c r="AC69" i="16" s="1"/>
  <c r="AB61" i="16"/>
  <c r="AB69" i="16" s="1"/>
  <c r="AA61" i="16"/>
  <c r="AA69" i="16" s="1"/>
  <c r="Z61" i="16"/>
  <c r="Z69" i="16" s="1"/>
  <c r="Y61" i="16"/>
  <c r="Y69" i="16" s="1"/>
  <c r="X61" i="16"/>
  <c r="X69" i="16" s="1"/>
  <c r="W61" i="16"/>
  <c r="W69" i="16" s="1"/>
  <c r="V61" i="16"/>
  <c r="T61" i="16"/>
  <c r="S61" i="16"/>
  <c r="R61" i="16"/>
  <c r="R69" i="16" s="1"/>
  <c r="Q61" i="16"/>
  <c r="Q69" i="16" s="1"/>
  <c r="P61" i="16"/>
  <c r="P69" i="16" s="1"/>
  <c r="O61" i="16"/>
  <c r="O69" i="16" s="1"/>
  <c r="N61" i="16"/>
  <c r="N69" i="16" s="1"/>
  <c r="M61" i="16"/>
  <c r="K61" i="16"/>
  <c r="K69" i="16" s="1"/>
  <c r="J61" i="16"/>
  <c r="J69" i="16" s="1"/>
  <c r="F61" i="16"/>
  <c r="F69" i="16" s="1"/>
  <c r="E61" i="16"/>
  <c r="E69" i="16" s="1"/>
  <c r="D61" i="16"/>
  <c r="D69" i="16" s="1"/>
  <c r="C61" i="16"/>
  <c r="C69" i="16" s="1"/>
  <c r="L57" i="16"/>
  <c r="L70" i="16" s="1"/>
  <c r="I57" i="16"/>
  <c r="I70" i="16" s="1"/>
  <c r="K57" i="16"/>
  <c r="K70" i="16" s="1"/>
  <c r="J57" i="16"/>
  <c r="J70" i="16" s="1"/>
  <c r="H57" i="16"/>
  <c r="H70" i="16" s="1"/>
  <c r="G70" i="16"/>
  <c r="AS19" i="3" l="1"/>
  <c r="AS21" i="3" s="1"/>
  <c r="AS25" i="3" s="1"/>
  <c r="AS35" i="3" s="1"/>
  <c r="AS44" i="3" s="1"/>
  <c r="BC35" i="3"/>
  <c r="AB44" i="3"/>
  <c r="BC44" i="3" s="1"/>
  <c r="D97" i="20"/>
  <c r="D99" i="20"/>
  <c r="E99" i="20"/>
  <c r="F101" i="20"/>
  <c r="G101" i="20"/>
  <c r="D101" i="20"/>
  <c r="F97" i="20"/>
  <c r="G99" i="20"/>
  <c r="C98" i="20"/>
  <c r="E97" i="20"/>
  <c r="F99" i="20"/>
  <c r="C97" i="20"/>
  <c r="E98" i="20"/>
  <c r="F100" i="20"/>
  <c r="G102" i="20"/>
  <c r="H97" i="20"/>
  <c r="D98" i="20"/>
  <c r="E100" i="20"/>
  <c r="F102" i="20"/>
  <c r="H98" i="20"/>
  <c r="H99" i="20"/>
  <c r="E101" i="20"/>
  <c r="G97" i="20"/>
  <c r="D100" i="20"/>
  <c r="G98" i="20"/>
  <c r="H100" i="20"/>
  <c r="H101" i="20"/>
  <c r="C99" i="20"/>
  <c r="C100" i="20"/>
  <c r="C101" i="20"/>
  <c r="C57" i="16"/>
  <c r="C70" i="16" s="1"/>
  <c r="C73" i="16" s="1"/>
  <c r="F57" i="16"/>
  <c r="F70" i="16" s="1"/>
  <c r="E57" i="16"/>
  <c r="E70" i="16" s="1"/>
  <c r="D57" i="16"/>
  <c r="D70" i="16" s="1"/>
  <c r="AF57" i="16"/>
  <c r="AF70" i="16" s="1"/>
  <c r="AC57" i="16"/>
  <c r="AC70" i="16" s="1"/>
  <c r="AB57" i="16"/>
  <c r="AB70" i="16" s="1"/>
  <c r="AA57" i="16"/>
  <c r="AA70" i="16" s="1"/>
  <c r="AE57" i="16"/>
  <c r="AE70" i="16" s="1"/>
  <c r="AD57" i="16"/>
  <c r="AD70" i="16" s="1"/>
  <c r="Z57" i="16"/>
  <c r="Z70" i="16" s="1"/>
  <c r="X57" i="16"/>
  <c r="X70" i="16" s="1"/>
  <c r="W57" i="16"/>
  <c r="W70" i="16" s="1"/>
  <c r="V57" i="16"/>
  <c r="V70" i="16" s="1"/>
  <c r="Y57" i="16"/>
  <c r="Y70" i="16" s="1"/>
  <c r="U57" i="16"/>
  <c r="U70" i="16" s="1"/>
  <c r="T57" i="16"/>
  <c r="T70" i="16" s="1"/>
  <c r="S57" i="16"/>
  <c r="S70" i="16" s="1"/>
  <c r="R57" i="16"/>
  <c r="R70" i="16" s="1"/>
  <c r="Q57" i="16"/>
  <c r="Q70" i="16" s="1"/>
  <c r="P57" i="16"/>
  <c r="P70" i="16" s="1"/>
  <c r="O57" i="16"/>
  <c r="O70" i="16" s="1"/>
  <c r="N57" i="16"/>
  <c r="N70" i="16" s="1"/>
  <c r="M57" i="16"/>
  <c r="M70" i="16" s="1"/>
  <c r="AI12" i="19" l="1"/>
  <c r="AN13" i="19" s="1"/>
  <c r="AF12" i="19"/>
  <c r="AG12" i="19"/>
  <c r="AH12" i="19"/>
  <c r="AE12" i="19"/>
  <c r="AD12" i="19"/>
  <c r="AA12" i="19"/>
  <c r="AB12" i="19"/>
  <c r="AC12" i="19"/>
  <c r="Z12" i="19"/>
  <c r="Y12" i="19"/>
  <c r="V12" i="19"/>
  <c r="W12" i="19"/>
  <c r="X12" i="19"/>
  <c r="U12" i="19"/>
  <c r="T12" i="19"/>
  <c r="Q12" i="19"/>
  <c r="R12" i="19"/>
  <c r="S12" i="19"/>
  <c r="P12" i="19"/>
  <c r="O12" i="19"/>
  <c r="L12" i="19"/>
  <c r="M12" i="19"/>
  <c r="N12" i="19"/>
  <c r="K12" i="19"/>
  <c r="G33" i="19"/>
  <c r="H33" i="19"/>
  <c r="I33" i="19"/>
  <c r="J33" i="19"/>
  <c r="K33" i="19"/>
  <c r="L33" i="19"/>
  <c r="M33" i="19"/>
  <c r="N33" i="19"/>
  <c r="O33" i="19"/>
  <c r="P33" i="19"/>
  <c r="Q33" i="19"/>
  <c r="R33" i="19"/>
  <c r="S33" i="19"/>
  <c r="T33" i="19"/>
  <c r="U33" i="19"/>
  <c r="F33" i="19"/>
  <c r="AL13" i="19" l="1"/>
  <c r="AP13" i="19"/>
  <c r="AQ13" i="19"/>
  <c r="AR13" i="19"/>
  <c r="AF13" i="19"/>
  <c r="AG13" i="19"/>
  <c r="AJ13" i="19"/>
  <c r="AE13" i="19"/>
  <c r="AA13" i="19"/>
  <c r="AB13" i="19"/>
  <c r="AC13" i="19"/>
  <c r="Z13" i="19"/>
  <c r="V13" i="19"/>
  <c r="W13" i="19"/>
  <c r="X13" i="19"/>
  <c r="U13" i="19"/>
  <c r="Q13" i="19"/>
  <c r="R13" i="19"/>
  <c r="S13" i="19"/>
  <c r="P13" i="19"/>
  <c r="L13" i="19"/>
  <c r="M13" i="19"/>
  <c r="N13" i="19"/>
  <c r="K13" i="19"/>
  <c r="G13" i="19"/>
  <c r="H13" i="19"/>
  <c r="I13" i="19"/>
  <c r="AS17" i="19" l="1"/>
  <c r="O13" i="19"/>
  <c r="AK13" i="19"/>
  <c r="Y13" i="19"/>
  <c r="T13" i="19"/>
  <c r="AD13" i="19"/>
  <c r="J13" i="19"/>
  <c r="AH13" i="19"/>
  <c r="AI13" i="19" s="1"/>
  <c r="AA50" i="15"/>
  <c r="V43" i="15"/>
  <c r="AA34" i="15"/>
  <c r="AA43" i="15"/>
  <c r="AS21" i="19" l="1"/>
  <c r="AS31" i="19" s="1"/>
  <c r="AS33" i="19" s="1"/>
  <c r="AM13" i="19"/>
  <c r="AO13" i="19"/>
  <c r="AS13" i="19" s="1"/>
  <c r="AF50" i="15"/>
  <c r="AF49" i="15"/>
  <c r="AA49" i="15"/>
  <c r="V50" i="15"/>
  <c r="V49" i="15"/>
  <c r="Q50" i="15"/>
  <c r="Q49" i="15"/>
  <c r="L50" i="15"/>
  <c r="L49" i="15"/>
  <c r="G50" i="15"/>
  <c r="G49" i="15"/>
  <c r="AX17" i="19" l="1"/>
  <c r="D32" i="22"/>
  <c r="D35" i="22" s="1"/>
  <c r="D38" i="22" s="1"/>
  <c r="AX21" i="19"/>
  <c r="AX31" i="19" s="1"/>
  <c r="AX33" i="19"/>
  <c r="E32" i="22" s="1"/>
  <c r="E35" i="22" s="1"/>
  <c r="E38" i="22" s="1"/>
  <c r="G137" i="15"/>
  <c r="E40" i="22" l="1"/>
  <c r="E45" i="22"/>
  <c r="E47" i="22" s="1"/>
  <c r="D40" i="22"/>
  <c r="D45" i="22"/>
  <c r="D47" i="22" s="1"/>
  <c r="BC17" i="19"/>
  <c r="BC21" i="19" s="1"/>
  <c r="BC31" i="19" s="1"/>
  <c r="Q47" i="13"/>
  <c r="P47" i="13"/>
  <c r="O47" i="13"/>
  <c r="N47" i="13"/>
  <c r="M47" i="13"/>
  <c r="L47" i="13"/>
  <c r="Q42" i="13"/>
  <c r="P42" i="13"/>
  <c r="O42" i="13"/>
  <c r="N42" i="13"/>
  <c r="M42" i="13"/>
  <c r="L42" i="13"/>
  <c r="Q39" i="13"/>
  <c r="P39" i="13"/>
  <c r="O39" i="13"/>
  <c r="N39" i="13"/>
  <c r="M39" i="13"/>
  <c r="L39" i="13"/>
  <c r="Q11" i="13"/>
  <c r="P11" i="13"/>
  <c r="O11" i="13"/>
  <c r="N11" i="13"/>
  <c r="M11" i="13"/>
  <c r="L11" i="13"/>
  <c r="Q8" i="13"/>
  <c r="P8" i="13"/>
  <c r="O8" i="13"/>
  <c r="N8" i="13"/>
  <c r="M8" i="13"/>
  <c r="L8" i="13"/>
  <c r="Q5" i="13"/>
  <c r="P5" i="13"/>
  <c r="O5" i="13"/>
  <c r="N5" i="13"/>
  <c r="M5" i="13"/>
  <c r="L5" i="13"/>
  <c r="BC33" i="19" l="1"/>
  <c r="BH17" i="19" s="1"/>
  <c r="BH21" i="19" s="1"/>
  <c r="BH31" i="19" s="1"/>
  <c r="BH33" i="19" s="1"/>
  <c r="G32" i="22" s="1"/>
  <c r="G35" i="22" s="1"/>
  <c r="F32" i="22"/>
  <c r="F35" i="22" s="1"/>
  <c r="F38" i="22" s="1"/>
  <c r="AF173" i="15"/>
  <c r="AA173" i="15"/>
  <c r="V173" i="15"/>
  <c r="Q173" i="15"/>
  <c r="L173" i="15"/>
  <c r="G173" i="15"/>
  <c r="AF172" i="15"/>
  <c r="AA172" i="15"/>
  <c r="V172" i="15"/>
  <c r="Q172" i="15"/>
  <c r="L172" i="15"/>
  <c r="G172" i="15"/>
  <c r="AE170" i="15"/>
  <c r="AE174" i="15" s="1"/>
  <c r="AE81" i="16" s="1"/>
  <c r="AD170" i="15"/>
  <c r="AD174" i="15" s="1"/>
  <c r="AD81" i="16" s="1"/>
  <c r="AC170" i="15"/>
  <c r="AC174" i="15" s="1"/>
  <c r="AC81" i="16" s="1"/>
  <c r="AB170" i="15"/>
  <c r="AB174" i="15" s="1"/>
  <c r="AB81" i="16" s="1"/>
  <c r="Z170" i="15"/>
  <c r="Z174" i="15" s="1"/>
  <c r="Z81" i="16" s="1"/>
  <c r="Y170" i="15"/>
  <c r="Y174" i="15" s="1"/>
  <c r="Y81" i="16" s="1"/>
  <c r="X170" i="15"/>
  <c r="X174" i="15" s="1"/>
  <c r="X81" i="16" s="1"/>
  <c r="W170" i="15"/>
  <c r="W174" i="15" s="1"/>
  <c r="W81" i="16" s="1"/>
  <c r="U170" i="15"/>
  <c r="U174" i="15" s="1"/>
  <c r="U81" i="16" s="1"/>
  <c r="T170" i="15"/>
  <c r="T174" i="15" s="1"/>
  <c r="T81" i="16" s="1"/>
  <c r="S170" i="15"/>
  <c r="S174" i="15" s="1"/>
  <c r="S81" i="16" s="1"/>
  <c r="R170" i="15"/>
  <c r="R174" i="15" s="1"/>
  <c r="R81" i="16" s="1"/>
  <c r="P170" i="15"/>
  <c r="P174" i="15" s="1"/>
  <c r="P81" i="16" s="1"/>
  <c r="O170" i="15"/>
  <c r="O174" i="15" s="1"/>
  <c r="O81" i="16" s="1"/>
  <c r="N170" i="15"/>
  <c r="N174" i="15" s="1"/>
  <c r="N81" i="16" s="1"/>
  <c r="M170" i="15"/>
  <c r="M174" i="15" s="1"/>
  <c r="M81" i="16" s="1"/>
  <c r="K170" i="15"/>
  <c r="K174" i="15" s="1"/>
  <c r="K81" i="16" s="1"/>
  <c r="J170" i="15"/>
  <c r="J174" i="15" s="1"/>
  <c r="J81" i="16" s="1"/>
  <c r="I170" i="15"/>
  <c r="I174" i="15" s="1"/>
  <c r="I81" i="16" s="1"/>
  <c r="H170" i="15"/>
  <c r="H174" i="15" s="1"/>
  <c r="H81" i="16" s="1"/>
  <c r="F170" i="15"/>
  <c r="F174" i="15" s="1"/>
  <c r="F81" i="16" s="1"/>
  <c r="E170" i="15"/>
  <c r="E174" i="15" s="1"/>
  <c r="E81" i="16" s="1"/>
  <c r="D170" i="15"/>
  <c r="D174" i="15" s="1"/>
  <c r="D81" i="16" s="1"/>
  <c r="C170" i="15"/>
  <c r="C174" i="15" s="1"/>
  <c r="C81" i="16" s="1"/>
  <c r="AF169" i="15"/>
  <c r="AF170" i="15" s="1"/>
  <c r="AA169" i="15"/>
  <c r="AA170" i="15" s="1"/>
  <c r="V169" i="15"/>
  <c r="V170" i="15" s="1"/>
  <c r="Q169" i="15"/>
  <c r="Q170" i="15" s="1"/>
  <c r="L169" i="15"/>
  <c r="L170" i="15" s="1"/>
  <c r="G169" i="15"/>
  <c r="G170" i="15" s="1"/>
  <c r="AF167" i="15"/>
  <c r="AA167" i="15"/>
  <c r="V167" i="15"/>
  <c r="Q167" i="15"/>
  <c r="L167" i="15"/>
  <c r="G167" i="15"/>
  <c r="AF166" i="15"/>
  <c r="AA166" i="15"/>
  <c r="V166" i="15"/>
  <c r="Q166" i="15"/>
  <c r="L166" i="15"/>
  <c r="G166" i="15"/>
  <c r="AF164" i="15"/>
  <c r="AA164" i="15"/>
  <c r="V164" i="15"/>
  <c r="Q164" i="15"/>
  <c r="L164" i="15"/>
  <c r="G164" i="15"/>
  <c r="AF163" i="15"/>
  <c r="AA163" i="15"/>
  <c r="V163" i="15"/>
  <c r="Q163" i="15"/>
  <c r="L163" i="15"/>
  <c r="G163" i="15"/>
  <c r="AE161" i="15"/>
  <c r="AE80" i="16" s="1"/>
  <c r="AD161" i="15"/>
  <c r="AD80" i="16" s="1"/>
  <c r="AC161" i="15"/>
  <c r="AC80" i="16" s="1"/>
  <c r="AB161" i="15"/>
  <c r="AB80" i="16" s="1"/>
  <c r="Z161" i="15"/>
  <c r="Z80" i="16" s="1"/>
  <c r="Y161" i="15"/>
  <c r="Y80" i="16" s="1"/>
  <c r="X161" i="15"/>
  <c r="X80" i="16" s="1"/>
  <c r="W161" i="15"/>
  <c r="W80" i="16" s="1"/>
  <c r="U161" i="15"/>
  <c r="U80" i="16" s="1"/>
  <c r="T161" i="15"/>
  <c r="T80" i="16" s="1"/>
  <c r="S161" i="15"/>
  <c r="S80" i="16" s="1"/>
  <c r="R161" i="15"/>
  <c r="R80" i="16" s="1"/>
  <c r="P161" i="15"/>
  <c r="P80" i="16" s="1"/>
  <c r="O161" i="15"/>
  <c r="O80" i="16" s="1"/>
  <c r="N161" i="15"/>
  <c r="N80" i="16" s="1"/>
  <c r="M161" i="15"/>
  <c r="M80" i="16" s="1"/>
  <c r="K161" i="15"/>
  <c r="K80" i="16" s="1"/>
  <c r="J161" i="15"/>
  <c r="J80" i="16" s="1"/>
  <c r="I161" i="15"/>
  <c r="I80" i="16" s="1"/>
  <c r="H161" i="15"/>
  <c r="H80" i="16" s="1"/>
  <c r="F161" i="15"/>
  <c r="F80" i="16" s="1"/>
  <c r="E161" i="15"/>
  <c r="E80" i="16" s="1"/>
  <c r="D161" i="15"/>
  <c r="D80" i="16" s="1"/>
  <c r="C161" i="15"/>
  <c r="C80" i="16" s="1"/>
  <c r="AF160" i="15"/>
  <c r="AA160" i="15"/>
  <c r="V160" i="15"/>
  <c r="Q160" i="15"/>
  <c r="L160" i="15"/>
  <c r="G160" i="15"/>
  <c r="AF159" i="15"/>
  <c r="AA159" i="15"/>
  <c r="V159" i="15"/>
  <c r="Q159" i="15"/>
  <c r="L159" i="15"/>
  <c r="G159" i="15"/>
  <c r="AF158" i="15"/>
  <c r="AA158" i="15"/>
  <c r="V158" i="15"/>
  <c r="Q158" i="15"/>
  <c r="L158" i="15"/>
  <c r="G158" i="15"/>
  <c r="AF157" i="15"/>
  <c r="AA157" i="15"/>
  <c r="V157" i="15"/>
  <c r="Q157" i="15"/>
  <c r="L157" i="15"/>
  <c r="G157" i="15"/>
  <c r="AF156" i="15"/>
  <c r="AA156" i="15"/>
  <c r="V156" i="15"/>
  <c r="Q156" i="15"/>
  <c r="L156" i="15"/>
  <c r="G156" i="15"/>
  <c r="AF155" i="15"/>
  <c r="AA155" i="15"/>
  <c r="V155" i="15"/>
  <c r="Q155" i="15"/>
  <c r="L155" i="15"/>
  <c r="G155" i="15"/>
  <c r="AF154" i="15"/>
  <c r="AA154" i="15"/>
  <c r="V154" i="15"/>
  <c r="Q154" i="15"/>
  <c r="L154" i="15"/>
  <c r="G154" i="15"/>
  <c r="AF153" i="15"/>
  <c r="AA153" i="15"/>
  <c r="V153" i="15"/>
  <c r="Q153" i="15"/>
  <c r="L153" i="15"/>
  <c r="G153" i="15"/>
  <c r="AF150" i="15"/>
  <c r="AA150" i="15"/>
  <c r="V150" i="15"/>
  <c r="Q150" i="15"/>
  <c r="L150" i="15"/>
  <c r="G150" i="15"/>
  <c r="AF149" i="15"/>
  <c r="AA149" i="15"/>
  <c r="V149" i="15"/>
  <c r="Q149" i="15"/>
  <c r="L149" i="15"/>
  <c r="G149" i="15"/>
  <c r="AF148" i="15"/>
  <c r="AA148" i="15"/>
  <c r="V148" i="15"/>
  <c r="Q148" i="15"/>
  <c r="L148" i="15"/>
  <c r="G148" i="15"/>
  <c r="AF147" i="15"/>
  <c r="AA147" i="15"/>
  <c r="V147" i="15"/>
  <c r="Q147" i="15"/>
  <c r="L147" i="15"/>
  <c r="G147" i="15"/>
  <c r="AF146" i="15"/>
  <c r="AA146" i="15"/>
  <c r="V146" i="15"/>
  <c r="Q146" i="15"/>
  <c r="L146" i="15"/>
  <c r="G146" i="15"/>
  <c r="AF145" i="15"/>
  <c r="AA145" i="15"/>
  <c r="V145" i="15"/>
  <c r="Q145" i="15"/>
  <c r="L145" i="15"/>
  <c r="G145" i="15"/>
  <c r="AF144" i="15"/>
  <c r="AA144" i="15"/>
  <c r="V144" i="15"/>
  <c r="Q144" i="15"/>
  <c r="L144" i="15"/>
  <c r="G144" i="15"/>
  <c r="AF143" i="15"/>
  <c r="AA143" i="15"/>
  <c r="V143" i="15"/>
  <c r="Q143" i="15"/>
  <c r="L143" i="15"/>
  <c r="G143" i="15"/>
  <c r="AF142" i="15"/>
  <c r="AA142" i="15"/>
  <c r="V142" i="15"/>
  <c r="Q142" i="15"/>
  <c r="L142" i="15"/>
  <c r="G142" i="15"/>
  <c r="AF141" i="15"/>
  <c r="AA141" i="15"/>
  <c r="V141" i="15"/>
  <c r="Q141" i="15"/>
  <c r="L141" i="15"/>
  <c r="G141" i="15"/>
  <c r="AE139" i="15"/>
  <c r="AE151" i="15" s="1"/>
  <c r="AE85" i="16" s="1"/>
  <c r="AD139" i="15"/>
  <c r="AD151" i="15" s="1"/>
  <c r="AD85" i="16" s="1"/>
  <c r="AC139" i="15"/>
  <c r="AC151" i="15" s="1"/>
  <c r="AC85" i="16" s="1"/>
  <c r="AB139" i="15"/>
  <c r="AB151" i="15" s="1"/>
  <c r="AB85" i="16" s="1"/>
  <c r="Z139" i="15"/>
  <c r="Z151" i="15" s="1"/>
  <c r="Z85" i="16" s="1"/>
  <c r="Y139" i="15"/>
  <c r="Y151" i="15" s="1"/>
  <c r="Y85" i="16" s="1"/>
  <c r="X139" i="15"/>
  <c r="X151" i="15" s="1"/>
  <c r="X85" i="16" s="1"/>
  <c r="W139" i="15"/>
  <c r="W151" i="15" s="1"/>
  <c r="W85" i="16" s="1"/>
  <c r="U139" i="15"/>
  <c r="U151" i="15" s="1"/>
  <c r="U85" i="16" s="1"/>
  <c r="T139" i="15"/>
  <c r="T151" i="15" s="1"/>
  <c r="T85" i="16" s="1"/>
  <c r="S139" i="15"/>
  <c r="S151" i="15" s="1"/>
  <c r="S85" i="16" s="1"/>
  <c r="R139" i="15"/>
  <c r="R151" i="15" s="1"/>
  <c r="R85" i="16" s="1"/>
  <c r="P139" i="15"/>
  <c r="P151" i="15" s="1"/>
  <c r="P85" i="16" s="1"/>
  <c r="O139" i="15"/>
  <c r="O151" i="15" s="1"/>
  <c r="O85" i="16" s="1"/>
  <c r="N139" i="15"/>
  <c r="N151" i="15" s="1"/>
  <c r="N85" i="16" s="1"/>
  <c r="M139" i="15"/>
  <c r="M151" i="15" s="1"/>
  <c r="M85" i="16" s="1"/>
  <c r="K139" i="15"/>
  <c r="K151" i="15" s="1"/>
  <c r="K85" i="16" s="1"/>
  <c r="J139" i="15"/>
  <c r="J151" i="15" s="1"/>
  <c r="J85" i="16" s="1"/>
  <c r="I139" i="15"/>
  <c r="I151" i="15" s="1"/>
  <c r="I85" i="16" s="1"/>
  <c r="H139" i="15"/>
  <c r="H151" i="15" s="1"/>
  <c r="H85" i="16" s="1"/>
  <c r="F139" i="15"/>
  <c r="F151" i="15" s="1"/>
  <c r="E139" i="15"/>
  <c r="E151" i="15" s="1"/>
  <c r="D139" i="15"/>
  <c r="D151" i="15" s="1"/>
  <c r="C139" i="15"/>
  <c r="C151" i="15" s="1"/>
  <c r="AF138" i="15"/>
  <c r="AF139" i="15" s="1"/>
  <c r="AA138" i="15"/>
  <c r="AA139" i="15" s="1"/>
  <c r="V138" i="15"/>
  <c r="V139" i="15" s="1"/>
  <c r="Q138" i="15"/>
  <c r="Q139" i="15" s="1"/>
  <c r="L138" i="15"/>
  <c r="L139" i="15" s="1"/>
  <c r="G138" i="15"/>
  <c r="G139" i="15" s="1"/>
  <c r="AF137" i="15"/>
  <c r="AA137" i="15"/>
  <c r="V137" i="15"/>
  <c r="Q137" i="15"/>
  <c r="L137" i="15"/>
  <c r="G124" i="15"/>
  <c r="AE122" i="15"/>
  <c r="AF122" i="15" s="1"/>
  <c r="AF126" i="15" s="1"/>
  <c r="AD122" i="15"/>
  <c r="AD126" i="15" s="1"/>
  <c r="AC122" i="15"/>
  <c r="AC126" i="15" s="1"/>
  <c r="AB122" i="15"/>
  <c r="AB126" i="15" s="1"/>
  <c r="Z122" i="15"/>
  <c r="AA122" i="15" s="1"/>
  <c r="AA126" i="15" s="1"/>
  <c r="Y122" i="15"/>
  <c r="Y126" i="15" s="1"/>
  <c r="X122" i="15"/>
  <c r="X126" i="15" s="1"/>
  <c r="W122" i="15"/>
  <c r="W126" i="15" s="1"/>
  <c r="U122" i="15"/>
  <c r="V122" i="15" s="1"/>
  <c r="V126" i="15" s="1"/>
  <c r="T122" i="15"/>
  <c r="T126" i="15" s="1"/>
  <c r="S122" i="15"/>
  <c r="S126" i="15" s="1"/>
  <c r="R122" i="15"/>
  <c r="R126" i="15" s="1"/>
  <c r="P122" i="15"/>
  <c r="Q122" i="15" s="1"/>
  <c r="Q126" i="15" s="1"/>
  <c r="O122" i="15"/>
  <c r="O126" i="15" s="1"/>
  <c r="N122" i="15"/>
  <c r="N126" i="15" s="1"/>
  <c r="M122" i="15"/>
  <c r="M126" i="15" s="1"/>
  <c r="K122" i="15"/>
  <c r="L122" i="15" s="1"/>
  <c r="L126" i="15" s="1"/>
  <c r="J122" i="15"/>
  <c r="J126" i="15" s="1"/>
  <c r="I122" i="15"/>
  <c r="I126" i="15" s="1"/>
  <c r="H122" i="15"/>
  <c r="H126" i="15" s="1"/>
  <c r="F122" i="15"/>
  <c r="G122" i="15" s="1"/>
  <c r="E122" i="15"/>
  <c r="E126" i="15" s="1"/>
  <c r="D122" i="15"/>
  <c r="D126" i="15" s="1"/>
  <c r="C122" i="15"/>
  <c r="C126" i="15" s="1"/>
  <c r="AF121" i="15"/>
  <c r="AA121" i="15"/>
  <c r="V121" i="15"/>
  <c r="Q121" i="15"/>
  <c r="L121" i="15"/>
  <c r="G121" i="15"/>
  <c r="AF120" i="15"/>
  <c r="AA120" i="15"/>
  <c r="V120" i="15"/>
  <c r="Q120" i="15"/>
  <c r="L120" i="15"/>
  <c r="G120" i="15"/>
  <c r="AF119" i="15"/>
  <c r="AA119" i="15"/>
  <c r="V119" i="15"/>
  <c r="Q119" i="15"/>
  <c r="L119" i="15"/>
  <c r="G119" i="15"/>
  <c r="AF118" i="15"/>
  <c r="AA118" i="15"/>
  <c r="V118" i="15"/>
  <c r="Q118" i="15"/>
  <c r="L118" i="15"/>
  <c r="G118" i="15"/>
  <c r="AF117" i="15"/>
  <c r="AA117" i="15"/>
  <c r="V117" i="15"/>
  <c r="Q117" i="15"/>
  <c r="L117" i="15"/>
  <c r="G117" i="15"/>
  <c r="AE113" i="15"/>
  <c r="AF113" i="15" s="1"/>
  <c r="AD113" i="15"/>
  <c r="AC113" i="15"/>
  <c r="AB113" i="15"/>
  <c r="Z113" i="15"/>
  <c r="AA113" i="15" s="1"/>
  <c r="Y113" i="15"/>
  <c r="X113" i="15"/>
  <c r="W113" i="15"/>
  <c r="U113" i="15"/>
  <c r="V113" i="15" s="1"/>
  <c r="T113" i="15"/>
  <c r="S113" i="15"/>
  <c r="R113" i="15"/>
  <c r="P113" i="15"/>
  <c r="Q113" i="15" s="1"/>
  <c r="O113" i="15"/>
  <c r="N113" i="15"/>
  <c r="M113" i="15"/>
  <c r="K113" i="15"/>
  <c r="L113" i="15" s="1"/>
  <c r="J113" i="15"/>
  <c r="I113" i="15"/>
  <c r="H113" i="15"/>
  <c r="F113" i="15"/>
  <c r="G113" i="15" s="1"/>
  <c r="E113" i="15"/>
  <c r="D113" i="15"/>
  <c r="C113" i="15"/>
  <c r="AF112" i="15"/>
  <c r="AA112" i="15"/>
  <c r="V112" i="15"/>
  <c r="Q112" i="15"/>
  <c r="L112" i="15"/>
  <c r="G112" i="15"/>
  <c r="AF111" i="15"/>
  <c r="AA111" i="15"/>
  <c r="V111" i="15"/>
  <c r="Q111" i="15"/>
  <c r="L111" i="15"/>
  <c r="G111" i="15"/>
  <c r="AF110" i="15"/>
  <c r="AA110" i="15"/>
  <c r="V110" i="15"/>
  <c r="Q110" i="15"/>
  <c r="L110" i="15"/>
  <c r="G110" i="15"/>
  <c r="AF109" i="15"/>
  <c r="AA109" i="15"/>
  <c r="V109" i="15"/>
  <c r="Q109" i="15"/>
  <c r="L109" i="15"/>
  <c r="G109" i="15"/>
  <c r="AF108" i="15"/>
  <c r="AA108" i="15"/>
  <c r="V108" i="15"/>
  <c r="Q108" i="15"/>
  <c r="L108" i="15"/>
  <c r="G108" i="15"/>
  <c r="AE106" i="15"/>
  <c r="AD106" i="15"/>
  <c r="AC106" i="15"/>
  <c r="AB106" i="15"/>
  <c r="Z106" i="15"/>
  <c r="Y106" i="15"/>
  <c r="X106" i="15"/>
  <c r="W106" i="15"/>
  <c r="U106" i="15"/>
  <c r="V106" i="15" s="1"/>
  <c r="T106" i="15"/>
  <c r="S106" i="15"/>
  <c r="R106" i="15"/>
  <c r="P106" i="15"/>
  <c r="Q106" i="15" s="1"/>
  <c r="O106" i="15"/>
  <c r="N106" i="15"/>
  <c r="M106" i="15"/>
  <c r="K106" i="15"/>
  <c r="J106" i="15"/>
  <c r="I106" i="15"/>
  <c r="H106" i="15"/>
  <c r="F106" i="15"/>
  <c r="E106" i="15"/>
  <c r="D106" i="15"/>
  <c r="C106" i="15"/>
  <c r="AF105" i="15"/>
  <c r="AA105" i="15"/>
  <c r="V105" i="15"/>
  <c r="Q105" i="15"/>
  <c r="L105" i="15"/>
  <c r="G105" i="15"/>
  <c r="AF104" i="15"/>
  <c r="AA104" i="15"/>
  <c r="V104" i="15"/>
  <c r="Q104" i="15"/>
  <c r="L104" i="15"/>
  <c r="G104" i="15"/>
  <c r="AF103" i="15"/>
  <c r="AA103" i="15"/>
  <c r="V103" i="15"/>
  <c r="Q103" i="15"/>
  <c r="L103" i="15"/>
  <c r="G103" i="15"/>
  <c r="AF102" i="15"/>
  <c r="AA102" i="15"/>
  <c r="V102" i="15"/>
  <c r="Q102" i="15"/>
  <c r="L102" i="15"/>
  <c r="G102" i="15"/>
  <c r="AF101" i="15"/>
  <c r="AA101" i="15"/>
  <c r="V101" i="15"/>
  <c r="Q101" i="15"/>
  <c r="L101" i="15"/>
  <c r="G101" i="15"/>
  <c r="AF100" i="15"/>
  <c r="AA100" i="15"/>
  <c r="V100" i="15"/>
  <c r="Q100" i="15"/>
  <c r="L100" i="15"/>
  <c r="G100" i="15"/>
  <c r="AF99" i="15"/>
  <c r="AA99" i="15"/>
  <c r="V99" i="15"/>
  <c r="Q99" i="15"/>
  <c r="L99" i="15"/>
  <c r="G99" i="15"/>
  <c r="AF98" i="15"/>
  <c r="AA98" i="15"/>
  <c r="V98" i="15"/>
  <c r="Q98" i="15"/>
  <c r="L98" i="15"/>
  <c r="G98" i="15"/>
  <c r="G93" i="15"/>
  <c r="G95" i="15" s="1"/>
  <c r="AF88" i="15"/>
  <c r="AF93" i="15" s="1"/>
  <c r="AE88" i="15"/>
  <c r="AE93" i="15" s="1"/>
  <c r="AD88" i="15"/>
  <c r="AD93" i="15" s="1"/>
  <c r="AC88" i="15"/>
  <c r="AC93" i="15" s="1"/>
  <c r="AB88" i="15"/>
  <c r="AB93" i="15" s="1"/>
  <c r="AA88" i="15"/>
  <c r="AA93" i="15" s="1"/>
  <c r="Z88" i="15"/>
  <c r="Z93" i="15" s="1"/>
  <c r="Y88" i="15"/>
  <c r="Y93" i="15" s="1"/>
  <c r="X88" i="15"/>
  <c r="X93" i="15" s="1"/>
  <c r="W88" i="15"/>
  <c r="W93" i="15" s="1"/>
  <c r="V88" i="15"/>
  <c r="V93" i="15" s="1"/>
  <c r="U88" i="15"/>
  <c r="U93" i="15" s="1"/>
  <c r="T88" i="15"/>
  <c r="T93" i="15" s="1"/>
  <c r="S88" i="15"/>
  <c r="S93" i="15" s="1"/>
  <c r="R88" i="15"/>
  <c r="R93" i="15" s="1"/>
  <c r="Q88" i="15"/>
  <c r="Q93" i="15" s="1"/>
  <c r="P88" i="15"/>
  <c r="P93" i="15" s="1"/>
  <c r="O88" i="15"/>
  <c r="O93" i="15" s="1"/>
  <c r="N88" i="15"/>
  <c r="N93" i="15" s="1"/>
  <c r="M88" i="15"/>
  <c r="M93" i="15" s="1"/>
  <c r="L88" i="15"/>
  <c r="L93" i="15" s="1"/>
  <c r="L95" i="15" s="1"/>
  <c r="K88" i="15"/>
  <c r="K93" i="15" s="1"/>
  <c r="J88" i="15"/>
  <c r="J93" i="15" s="1"/>
  <c r="I88" i="15"/>
  <c r="I93" i="15" s="1"/>
  <c r="H88" i="15"/>
  <c r="H93" i="15" s="1"/>
  <c r="F88" i="15"/>
  <c r="F93" i="15" s="1"/>
  <c r="E88" i="15"/>
  <c r="E93" i="15" s="1"/>
  <c r="D88" i="15"/>
  <c r="D93" i="15" s="1"/>
  <c r="C88" i="15"/>
  <c r="C93" i="15" s="1"/>
  <c r="AE78" i="15"/>
  <c r="AD78" i="15"/>
  <c r="AC78" i="15"/>
  <c r="AB78" i="15"/>
  <c r="Z78" i="15"/>
  <c r="Z84" i="15" s="1"/>
  <c r="Y78" i="15"/>
  <c r="Y84" i="15" s="1"/>
  <c r="X78" i="15"/>
  <c r="X84" i="15" s="1"/>
  <c r="W78" i="15"/>
  <c r="W84" i="15" s="1"/>
  <c r="U78" i="15"/>
  <c r="U84" i="15" s="1"/>
  <c r="T78" i="15"/>
  <c r="T84" i="15" s="1"/>
  <c r="S78" i="15"/>
  <c r="S84" i="15" s="1"/>
  <c r="R78" i="15"/>
  <c r="R84" i="15" s="1"/>
  <c r="P78" i="15"/>
  <c r="P84" i="15" s="1"/>
  <c r="O78" i="15"/>
  <c r="O84" i="15" s="1"/>
  <c r="N78" i="15"/>
  <c r="N84" i="15" s="1"/>
  <c r="M78" i="15"/>
  <c r="M84" i="15" s="1"/>
  <c r="K78" i="15"/>
  <c r="K84" i="15" s="1"/>
  <c r="J78" i="15"/>
  <c r="J84" i="15" s="1"/>
  <c r="I78" i="15"/>
  <c r="I84" i="15" s="1"/>
  <c r="H78" i="15"/>
  <c r="H84" i="15" s="1"/>
  <c r="F78" i="15"/>
  <c r="F84" i="15" s="1"/>
  <c r="E78" i="15"/>
  <c r="E84" i="15" s="1"/>
  <c r="D78" i="15"/>
  <c r="D84" i="15" s="1"/>
  <c r="C78" i="15"/>
  <c r="C84" i="15" s="1"/>
  <c r="AE74" i="15"/>
  <c r="AF74" i="15" s="1"/>
  <c r="AF84" i="15" s="1"/>
  <c r="AD74" i="15"/>
  <c r="AC74" i="15"/>
  <c r="AB74" i="15"/>
  <c r="AA74" i="15"/>
  <c r="AA84" i="15" s="1"/>
  <c r="V74" i="15"/>
  <c r="V84" i="15" s="1"/>
  <c r="Q74" i="15"/>
  <c r="Q84" i="15" s="1"/>
  <c r="L74" i="15"/>
  <c r="G74" i="15"/>
  <c r="AF73" i="15"/>
  <c r="AA73" i="15"/>
  <c r="V73" i="15"/>
  <c r="Q73" i="15"/>
  <c r="L73" i="15"/>
  <c r="G73" i="15"/>
  <c r="G58" i="15"/>
  <c r="AF55" i="15"/>
  <c r="V55" i="15"/>
  <c r="Q55" i="15"/>
  <c r="L55" i="15"/>
  <c r="AF48" i="15"/>
  <c r="AA48" i="15"/>
  <c r="V48" i="15"/>
  <c r="Q48" i="15"/>
  <c r="L48" i="15"/>
  <c r="G48" i="15"/>
  <c r="AF47" i="15"/>
  <c r="AA47" i="15"/>
  <c r="V47" i="15"/>
  <c r="Q47" i="15"/>
  <c r="L47" i="15"/>
  <c r="G47" i="15"/>
  <c r="AF46" i="15"/>
  <c r="AA46" i="15"/>
  <c r="V46" i="15"/>
  <c r="Q46" i="15"/>
  <c r="L46" i="15"/>
  <c r="G46" i="15"/>
  <c r="AF45" i="15"/>
  <c r="AA45" i="15"/>
  <c r="V45" i="15"/>
  <c r="Q45" i="15"/>
  <c r="L45" i="15"/>
  <c r="G45" i="15"/>
  <c r="Q41" i="15"/>
  <c r="AE39" i="15"/>
  <c r="AD39" i="15"/>
  <c r="AC39" i="15"/>
  <c r="AB39" i="15"/>
  <c r="Z39" i="15"/>
  <c r="Y39" i="15"/>
  <c r="X39" i="15"/>
  <c r="W39" i="15"/>
  <c r="U39" i="15"/>
  <c r="T39" i="15"/>
  <c r="S39" i="15"/>
  <c r="R39" i="15"/>
  <c r="P39" i="15"/>
  <c r="O39" i="15"/>
  <c r="N39" i="15"/>
  <c r="M39" i="15"/>
  <c r="K39" i="15"/>
  <c r="J39" i="15"/>
  <c r="I39" i="15"/>
  <c r="H39" i="15"/>
  <c r="F39" i="15"/>
  <c r="E39" i="15"/>
  <c r="D39" i="15"/>
  <c r="C39" i="15"/>
  <c r="AF37" i="15"/>
  <c r="AA37" i="15"/>
  <c r="V37" i="15"/>
  <c r="Q37" i="15"/>
  <c r="L37" i="15"/>
  <c r="G37" i="15"/>
  <c r="AF36" i="15"/>
  <c r="AA36" i="15"/>
  <c r="V36" i="15"/>
  <c r="Q36" i="15"/>
  <c r="L36" i="15"/>
  <c r="G36" i="15"/>
  <c r="AE32" i="15"/>
  <c r="AD32" i="15"/>
  <c r="AC32" i="15"/>
  <c r="AB32" i="15"/>
  <c r="Z32" i="15"/>
  <c r="Y32" i="15"/>
  <c r="X32" i="15"/>
  <c r="W32" i="15"/>
  <c r="U32" i="15"/>
  <c r="T32" i="15"/>
  <c r="S32" i="15"/>
  <c r="R32" i="15"/>
  <c r="Q32" i="15"/>
  <c r="P32" i="15"/>
  <c r="O32" i="15"/>
  <c r="N32" i="15"/>
  <c r="M32" i="15"/>
  <c r="K32" i="15"/>
  <c r="J32" i="15"/>
  <c r="I32" i="15"/>
  <c r="H32" i="15"/>
  <c r="F32" i="15"/>
  <c r="E32" i="15"/>
  <c r="D32" i="15"/>
  <c r="C32" i="15"/>
  <c r="AA30" i="15"/>
  <c r="V30" i="15"/>
  <c r="L30" i="15"/>
  <c r="G30" i="15"/>
  <c r="AA29" i="15"/>
  <c r="V29" i="15"/>
  <c r="L29" i="15"/>
  <c r="G29" i="15"/>
  <c r="AA28" i="15"/>
  <c r="V28" i="15"/>
  <c r="L28" i="15"/>
  <c r="G28" i="15"/>
  <c r="AF27" i="15"/>
  <c r="AF32" i="15" s="1"/>
  <c r="AA27" i="15"/>
  <c r="V27" i="15"/>
  <c r="L27" i="15"/>
  <c r="G27" i="15"/>
  <c r="AF23" i="15"/>
  <c r="AA23" i="15"/>
  <c r="V23" i="15"/>
  <c r="Q23" i="15"/>
  <c r="L23" i="15"/>
  <c r="G23" i="15"/>
  <c r="AE21" i="15"/>
  <c r="AD21" i="15"/>
  <c r="AC21" i="15"/>
  <c r="AB21" i="15"/>
  <c r="Z21" i="15"/>
  <c r="Y21" i="15"/>
  <c r="X21" i="15"/>
  <c r="W21" i="15"/>
  <c r="W25" i="15" s="1"/>
  <c r="W34" i="15" s="1"/>
  <c r="W43" i="15" s="1"/>
  <c r="U21" i="15"/>
  <c r="U25" i="15" s="1"/>
  <c r="T21" i="15"/>
  <c r="T25" i="15" s="1"/>
  <c r="T34" i="15" s="1"/>
  <c r="S21" i="15"/>
  <c r="R21" i="15"/>
  <c r="P21" i="15"/>
  <c r="O21" i="15"/>
  <c r="N21" i="15"/>
  <c r="M21" i="15"/>
  <c r="K21" i="15"/>
  <c r="J21" i="15"/>
  <c r="I21" i="15"/>
  <c r="H21" i="15"/>
  <c r="H25" i="15" s="1"/>
  <c r="F21" i="15"/>
  <c r="F25" i="15" s="1"/>
  <c r="E21" i="15"/>
  <c r="E25" i="15" s="1"/>
  <c r="D21" i="15"/>
  <c r="C21" i="15"/>
  <c r="AF19" i="15"/>
  <c r="AA19" i="15"/>
  <c r="V19" i="15"/>
  <c r="Q19" i="15"/>
  <c r="L19" i="15"/>
  <c r="G19" i="15"/>
  <c r="AF18" i="15"/>
  <c r="AA18" i="15"/>
  <c r="V18" i="15"/>
  <c r="Q18" i="15"/>
  <c r="L18" i="15"/>
  <c r="G18" i="15"/>
  <c r="F40" i="22" l="1"/>
  <c r="F45" i="22"/>
  <c r="F47" i="22" s="1"/>
  <c r="H35" i="22"/>
  <c r="G39" i="22" s="1"/>
  <c r="G38" i="22"/>
  <c r="G45" i="22" s="1"/>
  <c r="G47" i="22" s="1"/>
  <c r="E23" i="16"/>
  <c r="E24" i="16" s="1"/>
  <c r="E34" i="15"/>
  <c r="E43" i="15" s="1"/>
  <c r="F23" i="16"/>
  <c r="F24" i="16" s="1"/>
  <c r="F34" i="15"/>
  <c r="F43" i="15" s="1"/>
  <c r="T43" i="15"/>
  <c r="U23" i="16"/>
  <c r="U24" i="16" s="1"/>
  <c r="U34" i="15"/>
  <c r="U43" i="15" s="1"/>
  <c r="U52" i="15" s="1"/>
  <c r="U56" i="15" s="1"/>
  <c r="H34" i="15"/>
  <c r="H43" i="15" s="1"/>
  <c r="U126" i="15"/>
  <c r="AA32" i="15"/>
  <c r="V151" i="15"/>
  <c r="V85" i="16" s="1"/>
  <c r="V39" i="15"/>
  <c r="AA161" i="15"/>
  <c r="AA80" i="16" s="1"/>
  <c r="G161" i="15"/>
  <c r="G80" i="16" s="1"/>
  <c r="AF161" i="15"/>
  <c r="AF80" i="16" s="1"/>
  <c r="AF21" i="15"/>
  <c r="AF25" i="15" s="1"/>
  <c r="AF34" i="15" s="1"/>
  <c r="Q38" i="16"/>
  <c r="Q37" i="16"/>
  <c r="C79" i="16"/>
  <c r="C85" i="16"/>
  <c r="W23" i="16"/>
  <c r="W24" i="16" s="1"/>
  <c r="D176" i="15"/>
  <c r="D85" i="16"/>
  <c r="D79" i="16"/>
  <c r="X38" i="16"/>
  <c r="X37" i="16"/>
  <c r="P38" i="16"/>
  <c r="P37" i="16"/>
  <c r="AE115" i="15"/>
  <c r="AE86" i="16" s="1"/>
  <c r="G151" i="15"/>
  <c r="G79" i="16" s="1"/>
  <c r="E176" i="15"/>
  <c r="E85" i="16"/>
  <c r="E79" i="16"/>
  <c r="X176" i="15"/>
  <c r="X79" i="16"/>
  <c r="T176" i="15"/>
  <c r="T79" i="16"/>
  <c r="P25" i="15"/>
  <c r="P20" i="16"/>
  <c r="Z25" i="15"/>
  <c r="Z20" i="16"/>
  <c r="H38" i="16"/>
  <c r="H37" i="16"/>
  <c r="AF39" i="15"/>
  <c r="I38" i="16"/>
  <c r="I37" i="16"/>
  <c r="S38" i="16"/>
  <c r="S37" i="16"/>
  <c r="Q151" i="15"/>
  <c r="Q85" i="16" s="1"/>
  <c r="H176" i="15"/>
  <c r="H79" i="16"/>
  <c r="Z79" i="16"/>
  <c r="I25" i="15"/>
  <c r="I20" i="16"/>
  <c r="S25" i="15"/>
  <c r="S34" i="15" s="1"/>
  <c r="S43" i="15" s="1"/>
  <c r="S52" i="15" s="1"/>
  <c r="S20" i="16"/>
  <c r="AC25" i="15"/>
  <c r="AC20" i="16"/>
  <c r="J38" i="16"/>
  <c r="J37" i="16"/>
  <c r="K25" i="15"/>
  <c r="K34" i="15" s="1"/>
  <c r="K43" i="15" s="1"/>
  <c r="K20" i="16"/>
  <c r="U20" i="16"/>
  <c r="AE25" i="15"/>
  <c r="AE34" i="15" s="1"/>
  <c r="AE43" i="15" s="1"/>
  <c r="AE20" i="16"/>
  <c r="C95" i="15"/>
  <c r="C38" i="16"/>
  <c r="C37" i="16"/>
  <c r="M95" i="15"/>
  <c r="M37" i="16"/>
  <c r="M38" i="16"/>
  <c r="W37" i="16"/>
  <c r="W38" i="16"/>
  <c r="U176" i="15"/>
  <c r="U79" i="16"/>
  <c r="AD79" i="16"/>
  <c r="V161" i="15"/>
  <c r="V80" i="16" s="1"/>
  <c r="Q174" i="15"/>
  <c r="Q81" i="16" s="1"/>
  <c r="AE176" i="15"/>
  <c r="AE79" i="16"/>
  <c r="K176" i="15"/>
  <c r="K79" i="16"/>
  <c r="AA174" i="15"/>
  <c r="AA81" i="16" s="1"/>
  <c r="M25" i="15"/>
  <c r="M34" i="15" s="1"/>
  <c r="M43" i="15" s="1"/>
  <c r="M20" i="16"/>
  <c r="Y38" i="16"/>
  <c r="Y37" i="16"/>
  <c r="X25" i="15"/>
  <c r="X20" i="16"/>
  <c r="E95" i="15"/>
  <c r="E37" i="16"/>
  <c r="E38" i="16"/>
  <c r="N176" i="15"/>
  <c r="N79" i="16"/>
  <c r="W176" i="15"/>
  <c r="W79" i="16"/>
  <c r="AF151" i="15"/>
  <c r="AF85" i="16" s="1"/>
  <c r="S176" i="15"/>
  <c r="S79" i="16"/>
  <c r="AF174" i="15"/>
  <c r="AF81" i="16" s="1"/>
  <c r="F37" i="16"/>
  <c r="F38" i="16"/>
  <c r="L174" i="15"/>
  <c r="L81" i="16" s="1"/>
  <c r="AA39" i="15"/>
  <c r="R38" i="16"/>
  <c r="R37" i="16"/>
  <c r="L151" i="15"/>
  <c r="L85" i="16" s="1"/>
  <c r="F176" i="15"/>
  <c r="F85" i="16"/>
  <c r="F79" i="16"/>
  <c r="P176" i="15"/>
  <c r="P79" i="16"/>
  <c r="Y79" i="16"/>
  <c r="AB176" i="15"/>
  <c r="AB79" i="16"/>
  <c r="D95" i="15"/>
  <c r="D38" i="16"/>
  <c r="D37" i="16"/>
  <c r="H23" i="16"/>
  <c r="H24" i="16" s="1"/>
  <c r="H20" i="16"/>
  <c r="R25" i="15"/>
  <c r="R20" i="16"/>
  <c r="AB20" i="16"/>
  <c r="AB25" i="15"/>
  <c r="AB34" i="15" s="1"/>
  <c r="AB43" i="15" s="1"/>
  <c r="G174" i="15"/>
  <c r="G81" i="16" s="1"/>
  <c r="V174" i="15"/>
  <c r="V81" i="16" s="1"/>
  <c r="C25" i="15"/>
  <c r="C20" i="16"/>
  <c r="N37" i="16"/>
  <c r="N38" i="16"/>
  <c r="V95" i="15"/>
  <c r="V37" i="16"/>
  <c r="V38" i="16"/>
  <c r="Z38" i="16"/>
  <c r="Z37" i="16"/>
  <c r="W20" i="16"/>
  <c r="M176" i="15"/>
  <c r="M79" i="16"/>
  <c r="D20" i="16"/>
  <c r="N25" i="15"/>
  <c r="N34" i="15" s="1"/>
  <c r="N43" i="15" s="1"/>
  <c r="N20" i="16"/>
  <c r="T23" i="16"/>
  <c r="T24" i="16" s="1"/>
  <c r="O37" i="16"/>
  <c r="O38" i="16"/>
  <c r="E20" i="16"/>
  <c r="O25" i="15"/>
  <c r="O34" i="15" s="1"/>
  <c r="O43" i="15" s="1"/>
  <c r="O20" i="16"/>
  <c r="Y25" i="15"/>
  <c r="Y20" i="16"/>
  <c r="O176" i="15"/>
  <c r="O79" i="16"/>
  <c r="F20" i="16"/>
  <c r="R79" i="16"/>
  <c r="T38" i="16"/>
  <c r="T37" i="16"/>
  <c r="I79" i="16"/>
  <c r="L161" i="15"/>
  <c r="L80" i="16" s="1"/>
  <c r="Q21" i="15"/>
  <c r="J25" i="15"/>
  <c r="J34" i="15" s="1"/>
  <c r="J43" i="15" s="1"/>
  <c r="J20" i="16"/>
  <c r="T20" i="16"/>
  <c r="AD25" i="15"/>
  <c r="AD34" i="15" s="1"/>
  <c r="AD43" i="15" s="1"/>
  <c r="AD20" i="16"/>
  <c r="D25" i="15"/>
  <c r="L32" i="15"/>
  <c r="K38" i="16"/>
  <c r="K37" i="16"/>
  <c r="U95" i="15"/>
  <c r="U37" i="16"/>
  <c r="U38" i="16"/>
  <c r="AA151" i="15"/>
  <c r="AA85" i="16" s="1"/>
  <c r="J79" i="16"/>
  <c r="AC79" i="16"/>
  <c r="Q161" i="15"/>
  <c r="Q80" i="16" s="1"/>
  <c r="Y176" i="15"/>
  <c r="Z176" i="15"/>
  <c r="R176" i="15"/>
  <c r="I176" i="15"/>
  <c r="AD176" i="15"/>
  <c r="J176" i="15"/>
  <c r="AC176" i="15"/>
  <c r="C176" i="15"/>
  <c r="N115" i="15"/>
  <c r="E115" i="15"/>
  <c r="E86" i="16" s="1"/>
  <c r="AA95" i="15"/>
  <c r="D115" i="15"/>
  <c r="O115" i="15"/>
  <c r="G32" i="15"/>
  <c r="G39" i="15"/>
  <c r="V32" i="15"/>
  <c r="X115" i="15"/>
  <c r="Y115" i="15"/>
  <c r="Y86" i="16" s="1"/>
  <c r="L39" i="15"/>
  <c r="H115" i="15"/>
  <c r="H86" i="16" s="1"/>
  <c r="G21" i="15"/>
  <c r="Q39" i="15"/>
  <c r="I115" i="15"/>
  <c r="Z126" i="15"/>
  <c r="L21" i="15"/>
  <c r="P115" i="15"/>
  <c r="P86" i="16" s="1"/>
  <c r="K95" i="15"/>
  <c r="AE84" i="15"/>
  <c r="W95" i="15"/>
  <c r="N95" i="15"/>
  <c r="Z95" i="15"/>
  <c r="R115" i="15"/>
  <c r="R86" i="16" s="1"/>
  <c r="AC115" i="15"/>
  <c r="H95" i="15"/>
  <c r="R95" i="15"/>
  <c r="AB84" i="15"/>
  <c r="J115" i="15"/>
  <c r="J86" i="16" s="1"/>
  <c r="T115" i="15"/>
  <c r="AD115" i="15"/>
  <c r="AD86" i="16" s="1"/>
  <c r="F126" i="15"/>
  <c r="P126" i="15"/>
  <c r="K126" i="15"/>
  <c r="X95" i="15"/>
  <c r="F115" i="15"/>
  <c r="P95" i="15"/>
  <c r="AF95" i="15"/>
  <c r="Q95" i="15"/>
  <c r="Y95" i="15"/>
  <c r="Z115" i="15"/>
  <c r="O95" i="15"/>
  <c r="AB115" i="15"/>
  <c r="AB86" i="16" s="1"/>
  <c r="F95" i="15"/>
  <c r="S115" i="15"/>
  <c r="G126" i="15"/>
  <c r="I95" i="15"/>
  <c r="S95" i="15"/>
  <c r="AC84" i="15"/>
  <c r="K115" i="15"/>
  <c r="K86" i="16" s="1"/>
  <c r="V115" i="15"/>
  <c r="J95" i="15"/>
  <c r="T95" i="15"/>
  <c r="AD84" i="15"/>
  <c r="C115" i="15"/>
  <c r="M115" i="15"/>
  <c r="M86" i="16" s="1"/>
  <c r="W115" i="15"/>
  <c r="AE126" i="15"/>
  <c r="Q115" i="15"/>
  <c r="AA106" i="15"/>
  <c r="AA115" i="15" s="1"/>
  <c r="L106" i="15"/>
  <c r="G106" i="15"/>
  <c r="U115" i="15"/>
  <c r="AF106" i="15"/>
  <c r="AF115" i="15" s="1"/>
  <c r="V21" i="15"/>
  <c r="AA21" i="15"/>
  <c r="AA18" i="5"/>
  <c r="AB18" i="5"/>
  <c r="AC18" i="5"/>
  <c r="AD18" i="5"/>
  <c r="AE18" i="5"/>
  <c r="AF18" i="5"/>
  <c r="AA19" i="5"/>
  <c r="AA20" i="5" s="1"/>
  <c r="AB19" i="5"/>
  <c r="AB20" i="5" s="1"/>
  <c r="AC19" i="5"/>
  <c r="AD19" i="5"/>
  <c r="AD20" i="5" s="1"/>
  <c r="AE19" i="5"/>
  <c r="AF19" i="5"/>
  <c r="AF20" i="5" s="1"/>
  <c r="C20" i="5"/>
  <c r="C32" i="5" s="1"/>
  <c r="D20" i="5"/>
  <c r="D32" i="5" s="1"/>
  <c r="E20" i="5"/>
  <c r="E32" i="5" s="1"/>
  <c r="F20" i="5"/>
  <c r="F32" i="5" s="1"/>
  <c r="G20" i="5"/>
  <c r="H20" i="5"/>
  <c r="I20" i="5"/>
  <c r="J20" i="5"/>
  <c r="J32" i="5" s="1"/>
  <c r="K20" i="5"/>
  <c r="K32" i="5" s="1"/>
  <c r="L20" i="5"/>
  <c r="L32" i="5" s="1"/>
  <c r="M20" i="5"/>
  <c r="M32" i="5" s="1"/>
  <c r="N20" i="5"/>
  <c r="N32" i="5" s="1"/>
  <c r="AC20" i="5"/>
  <c r="O20" i="5"/>
  <c r="P20" i="5"/>
  <c r="Q20" i="5"/>
  <c r="Q32" i="5" s="1"/>
  <c r="R20" i="5"/>
  <c r="R32" i="5" s="1"/>
  <c r="S20" i="5"/>
  <c r="S32" i="5" s="1"/>
  <c r="T20" i="5"/>
  <c r="T32" i="5" s="1"/>
  <c r="U20" i="5"/>
  <c r="V20" i="5"/>
  <c r="AE20" i="5"/>
  <c r="W20" i="5"/>
  <c r="W32" i="5" s="1"/>
  <c r="X20" i="5"/>
  <c r="X32" i="5" s="1"/>
  <c r="Y20" i="5"/>
  <c r="Y32" i="5" s="1"/>
  <c r="Z20" i="5"/>
  <c r="Z32" i="5" s="1"/>
  <c r="AA22" i="5"/>
  <c r="AB22" i="5"/>
  <c r="AC22" i="5"/>
  <c r="AD22" i="5"/>
  <c r="AE22" i="5"/>
  <c r="AF22" i="5"/>
  <c r="AA23" i="5"/>
  <c r="AB23" i="5"/>
  <c r="AC23" i="5"/>
  <c r="AD23" i="5"/>
  <c r="AE23" i="5"/>
  <c r="AF23" i="5"/>
  <c r="AA24" i="5"/>
  <c r="AB24" i="5"/>
  <c r="AC24" i="5"/>
  <c r="AD24" i="5"/>
  <c r="AE24" i="5"/>
  <c r="AF24" i="5"/>
  <c r="AA25" i="5"/>
  <c r="AB25" i="5"/>
  <c r="AC25" i="5"/>
  <c r="AD25" i="5"/>
  <c r="AE25" i="5"/>
  <c r="AF25" i="5"/>
  <c r="AA26" i="5"/>
  <c r="AB26" i="5"/>
  <c r="AC26" i="5"/>
  <c r="AD26" i="5"/>
  <c r="AE26" i="5"/>
  <c r="AF26" i="5"/>
  <c r="AA27" i="5"/>
  <c r="AB27" i="5"/>
  <c r="AC27" i="5"/>
  <c r="AD27" i="5"/>
  <c r="AE27" i="5"/>
  <c r="AF27" i="5"/>
  <c r="AA28" i="5"/>
  <c r="AB28" i="5"/>
  <c r="AC28" i="5"/>
  <c r="AD28" i="5"/>
  <c r="AE28" i="5"/>
  <c r="AF28" i="5"/>
  <c r="AA29" i="5"/>
  <c r="AB29" i="5"/>
  <c r="AC29" i="5"/>
  <c r="AD29" i="5"/>
  <c r="AE29" i="5"/>
  <c r="AF29" i="5"/>
  <c r="AA30" i="5"/>
  <c r="AB30" i="5"/>
  <c r="AC30" i="5"/>
  <c r="AD30" i="5"/>
  <c r="AE30" i="5"/>
  <c r="AF30" i="5"/>
  <c r="AA31" i="5"/>
  <c r="AB31" i="5"/>
  <c r="AC31" i="5"/>
  <c r="AD31" i="5"/>
  <c r="AE31" i="5"/>
  <c r="AF31" i="5"/>
  <c r="G32" i="5"/>
  <c r="H32" i="5"/>
  <c r="I32" i="5"/>
  <c r="O32" i="5"/>
  <c r="P32" i="5"/>
  <c r="U32" i="5"/>
  <c r="V32" i="5"/>
  <c r="AA34" i="5"/>
  <c r="AB34" i="5"/>
  <c r="AC34" i="5"/>
  <c r="AD34" i="5"/>
  <c r="AE34" i="5"/>
  <c r="AF34" i="5"/>
  <c r="AA35" i="5"/>
  <c r="AB35" i="5"/>
  <c r="AC35" i="5"/>
  <c r="AD35" i="5"/>
  <c r="AE35" i="5"/>
  <c r="AF35" i="5"/>
  <c r="AA36" i="5"/>
  <c r="AB36" i="5"/>
  <c r="AC36" i="5"/>
  <c r="AD36" i="5"/>
  <c r="AE36" i="5"/>
  <c r="AF36" i="5"/>
  <c r="AA37" i="5"/>
  <c r="AB37" i="5"/>
  <c r="AC37" i="5"/>
  <c r="AD37" i="5"/>
  <c r="AE37" i="5"/>
  <c r="AF37" i="5"/>
  <c r="AA38" i="5"/>
  <c r="AB38" i="5"/>
  <c r="AC38" i="5"/>
  <c r="AD38" i="5"/>
  <c r="AE38" i="5"/>
  <c r="AF38" i="5"/>
  <c r="AA39" i="5"/>
  <c r="AB39" i="5"/>
  <c r="AC39" i="5"/>
  <c r="AD39" i="5"/>
  <c r="AE39" i="5"/>
  <c r="AF39" i="5"/>
  <c r="AA40" i="5"/>
  <c r="AB40" i="5"/>
  <c r="AC40" i="5"/>
  <c r="AD40" i="5"/>
  <c r="AE40" i="5"/>
  <c r="AF40" i="5"/>
  <c r="AA41" i="5"/>
  <c r="AB41" i="5"/>
  <c r="AC41" i="5"/>
  <c r="AD41" i="5"/>
  <c r="AE41" i="5"/>
  <c r="AF41" i="5"/>
  <c r="C42" i="5"/>
  <c r="D42" i="5"/>
  <c r="E42" i="5"/>
  <c r="F42" i="5"/>
  <c r="G42" i="5"/>
  <c r="H42" i="5"/>
  <c r="I42" i="5"/>
  <c r="J42" i="5"/>
  <c r="K42" i="5"/>
  <c r="L42" i="5"/>
  <c r="M42" i="5"/>
  <c r="N42" i="5"/>
  <c r="O42" i="5"/>
  <c r="P42" i="5"/>
  <c r="Q42" i="5"/>
  <c r="R42" i="5"/>
  <c r="S42" i="5"/>
  <c r="T42" i="5"/>
  <c r="U42" i="5"/>
  <c r="V42" i="5"/>
  <c r="W42" i="5"/>
  <c r="X42" i="5"/>
  <c r="Y42" i="5"/>
  <c r="Z42" i="5"/>
  <c r="AA44" i="5"/>
  <c r="AB44" i="5"/>
  <c r="AC44" i="5"/>
  <c r="AD44" i="5"/>
  <c r="AE44" i="5"/>
  <c r="AF44" i="5"/>
  <c r="AA45" i="5"/>
  <c r="AB45" i="5"/>
  <c r="AC45" i="5"/>
  <c r="AD45" i="5"/>
  <c r="AE45" i="5"/>
  <c r="AF45" i="5"/>
  <c r="AA47" i="5"/>
  <c r="AB47" i="5"/>
  <c r="AC47" i="5"/>
  <c r="AD47" i="5"/>
  <c r="AE47" i="5"/>
  <c r="AF47" i="5"/>
  <c r="AA48" i="5"/>
  <c r="AB48" i="5"/>
  <c r="AC48" i="5"/>
  <c r="AD48" i="5"/>
  <c r="AE48" i="5"/>
  <c r="AF48" i="5"/>
  <c r="AA50" i="5"/>
  <c r="AA51" i="5" s="1"/>
  <c r="AB50" i="5"/>
  <c r="AB51" i="5" s="1"/>
  <c r="AC50" i="5"/>
  <c r="AC51" i="5" s="1"/>
  <c r="AD50" i="5"/>
  <c r="AD51" i="5" s="1"/>
  <c r="AE50" i="5"/>
  <c r="AE51" i="5" s="1"/>
  <c r="AF50" i="5"/>
  <c r="AF51" i="5" s="1"/>
  <c r="C51" i="5"/>
  <c r="C55" i="5" s="1"/>
  <c r="D51" i="5"/>
  <c r="D55" i="5" s="1"/>
  <c r="E51" i="5"/>
  <c r="F51" i="5"/>
  <c r="F55" i="5" s="1"/>
  <c r="G51" i="5"/>
  <c r="G55" i="5" s="1"/>
  <c r="H51" i="5"/>
  <c r="H55" i="5" s="1"/>
  <c r="I51" i="5"/>
  <c r="I55" i="5" s="1"/>
  <c r="J51" i="5"/>
  <c r="J55" i="5" s="1"/>
  <c r="K51" i="5"/>
  <c r="K55" i="5" s="1"/>
  <c r="L51" i="5"/>
  <c r="L55" i="5" s="1"/>
  <c r="M51" i="5"/>
  <c r="M55" i="5" s="1"/>
  <c r="N51" i="5"/>
  <c r="N55" i="5" s="1"/>
  <c r="O51" i="5"/>
  <c r="O55" i="5" s="1"/>
  <c r="P51" i="5"/>
  <c r="P55" i="5" s="1"/>
  <c r="Q51" i="5"/>
  <c r="Q55" i="5" s="1"/>
  <c r="R51" i="5"/>
  <c r="R55" i="5" s="1"/>
  <c r="S51" i="5"/>
  <c r="S55" i="5" s="1"/>
  <c r="T51" i="5"/>
  <c r="T55" i="5" s="1"/>
  <c r="U51" i="5"/>
  <c r="U55" i="5" s="1"/>
  <c r="V51" i="5"/>
  <c r="V55" i="5" s="1"/>
  <c r="W51" i="5"/>
  <c r="W55" i="5" s="1"/>
  <c r="X51" i="5"/>
  <c r="X55" i="5" s="1"/>
  <c r="Y51" i="5"/>
  <c r="Y55" i="5" s="1"/>
  <c r="Z51" i="5"/>
  <c r="Z55" i="5" s="1"/>
  <c r="AA53" i="5"/>
  <c r="AB53" i="5"/>
  <c r="AC53" i="5"/>
  <c r="AD53" i="5"/>
  <c r="AE53" i="5"/>
  <c r="AF53" i="5"/>
  <c r="AA54" i="5"/>
  <c r="AB54" i="5"/>
  <c r="AC54" i="5"/>
  <c r="AD54" i="5"/>
  <c r="AE54" i="5"/>
  <c r="AF54" i="5"/>
  <c r="E55" i="5"/>
  <c r="G18" i="4"/>
  <c r="L18" i="4"/>
  <c r="Q18" i="4"/>
  <c r="V18" i="4"/>
  <c r="AA18" i="4"/>
  <c r="AF18" i="4"/>
  <c r="G19" i="4"/>
  <c r="L19" i="4"/>
  <c r="Q19" i="4"/>
  <c r="Q29" i="4" s="1"/>
  <c r="Q39" i="4" s="1"/>
  <c r="V19" i="4"/>
  <c r="AA19" i="4"/>
  <c r="AA29" i="4" s="1"/>
  <c r="AB19" i="4"/>
  <c r="AC19" i="4"/>
  <c r="AD19" i="4"/>
  <c r="AE19" i="4"/>
  <c r="AF19" i="4"/>
  <c r="AF29" i="4" s="1"/>
  <c r="AF39" i="4" s="1"/>
  <c r="C23" i="4"/>
  <c r="D23" i="4"/>
  <c r="E23" i="4"/>
  <c r="F23" i="4"/>
  <c r="H23" i="4"/>
  <c r="I23" i="4"/>
  <c r="J23" i="4"/>
  <c r="K23" i="4"/>
  <c r="M23" i="4"/>
  <c r="N23" i="4"/>
  <c r="O23" i="4"/>
  <c r="P23" i="4"/>
  <c r="R23" i="4"/>
  <c r="R29" i="4" s="1"/>
  <c r="S23" i="4"/>
  <c r="T23" i="4"/>
  <c r="U23" i="4"/>
  <c r="U29" i="4" s="1"/>
  <c r="W23" i="4"/>
  <c r="X23" i="4"/>
  <c r="Y23" i="4"/>
  <c r="Z23" i="4"/>
  <c r="AB23" i="4"/>
  <c r="AC23" i="4"/>
  <c r="AC29" i="4" s="1"/>
  <c r="AD23" i="4"/>
  <c r="AD29" i="4" s="1"/>
  <c r="AE23" i="4"/>
  <c r="AE29" i="4" s="1"/>
  <c r="AE39" i="4" s="1"/>
  <c r="C29" i="4"/>
  <c r="D29" i="4"/>
  <c r="E29" i="4"/>
  <c r="F29" i="4"/>
  <c r="H29" i="4"/>
  <c r="I29" i="4"/>
  <c r="J29" i="4"/>
  <c r="K29" i="4"/>
  <c r="M29" i="4"/>
  <c r="N29" i="4"/>
  <c r="O29" i="4"/>
  <c r="P29" i="4"/>
  <c r="S29" i="4"/>
  <c r="T29" i="4"/>
  <c r="V29" i="4"/>
  <c r="W29" i="4"/>
  <c r="X29" i="4"/>
  <c r="Y29" i="4"/>
  <c r="Y39" i="4" s="1"/>
  <c r="Z29" i="4"/>
  <c r="AB29" i="4"/>
  <c r="C33" i="4"/>
  <c r="C38" i="4" s="1"/>
  <c r="C39" i="4" s="1"/>
  <c r="D33" i="4"/>
  <c r="D38" i="4" s="1"/>
  <c r="E33" i="4"/>
  <c r="E38" i="4" s="1"/>
  <c r="F33" i="4"/>
  <c r="F38" i="4" s="1"/>
  <c r="H33" i="4"/>
  <c r="H38" i="4" s="1"/>
  <c r="H39" i="4" s="1"/>
  <c r="I33" i="4"/>
  <c r="J33" i="4"/>
  <c r="J38" i="4" s="1"/>
  <c r="K33" i="4"/>
  <c r="K38" i="4" s="1"/>
  <c r="L33" i="4"/>
  <c r="L38" i="4" s="1"/>
  <c r="L39" i="4" s="1"/>
  <c r="M33" i="4"/>
  <c r="M38" i="4" s="1"/>
  <c r="M39" i="4" s="1"/>
  <c r="N33" i="4"/>
  <c r="O33" i="4"/>
  <c r="O38" i="4" s="1"/>
  <c r="P33" i="4"/>
  <c r="Q33" i="4"/>
  <c r="R33" i="4"/>
  <c r="R38" i="4" s="1"/>
  <c r="S33" i="4"/>
  <c r="S38" i="4" s="1"/>
  <c r="S39" i="4" s="1"/>
  <c r="T33" i="4"/>
  <c r="T38" i="4" s="1"/>
  <c r="U33" i="4"/>
  <c r="U38" i="4" s="1"/>
  <c r="V33" i="4"/>
  <c r="V38" i="4" s="1"/>
  <c r="V39" i="4" s="1"/>
  <c r="W33" i="4"/>
  <c r="W38" i="4" s="1"/>
  <c r="X33" i="4"/>
  <c r="Y33" i="4"/>
  <c r="Z33" i="4"/>
  <c r="Z38" i="4" s="1"/>
  <c r="Z39" i="4" s="1"/>
  <c r="AA33" i="4"/>
  <c r="AA38" i="4" s="1"/>
  <c r="AB33" i="4"/>
  <c r="AB38" i="4" s="1"/>
  <c r="AC33" i="4"/>
  <c r="AC38" i="4" s="1"/>
  <c r="AD33" i="4"/>
  <c r="AD38" i="4" s="1"/>
  <c r="AE33" i="4"/>
  <c r="AE38" i="4" s="1"/>
  <c r="AF33" i="4"/>
  <c r="G38" i="4"/>
  <c r="G39" i="4" s="1"/>
  <c r="I38" i="4"/>
  <c r="I39" i="4" s="1"/>
  <c r="N38" i="4"/>
  <c r="N39" i="4" s="1"/>
  <c r="P38" i="4"/>
  <c r="Q38" i="4"/>
  <c r="X38" i="4"/>
  <c r="Y38" i="4"/>
  <c r="AF38" i="4"/>
  <c r="P39" i="4"/>
  <c r="X39" i="4"/>
  <c r="G42" i="4"/>
  <c r="L42" i="4"/>
  <c r="Q42" i="4"/>
  <c r="V42" i="4"/>
  <c r="AA42" i="4"/>
  <c r="AF42" i="4"/>
  <c r="G43" i="4"/>
  <c r="L43" i="4"/>
  <c r="Q43" i="4"/>
  <c r="V43" i="4"/>
  <c r="AA43" i="4"/>
  <c r="AF43" i="4"/>
  <c r="G44" i="4"/>
  <c r="L44" i="4"/>
  <c r="Q44" i="4"/>
  <c r="V44" i="4"/>
  <c r="AA44" i="4"/>
  <c r="AF44" i="4"/>
  <c r="G45" i="4"/>
  <c r="L45" i="4"/>
  <c r="Q45" i="4"/>
  <c r="V45" i="4"/>
  <c r="AA45" i="4"/>
  <c r="AF45" i="4"/>
  <c r="G46" i="4"/>
  <c r="L46" i="4"/>
  <c r="Q46" i="4"/>
  <c r="V46" i="4"/>
  <c r="AA46" i="4"/>
  <c r="AF46" i="4"/>
  <c r="G47" i="4"/>
  <c r="L47" i="4"/>
  <c r="Q47" i="4"/>
  <c r="V47" i="4"/>
  <c r="AA47" i="4"/>
  <c r="AF47" i="4"/>
  <c r="G48" i="4"/>
  <c r="L48" i="4"/>
  <c r="Q48" i="4"/>
  <c r="V48" i="4"/>
  <c r="AA48" i="4"/>
  <c r="AF48" i="4"/>
  <c r="G49" i="4"/>
  <c r="L49" i="4"/>
  <c r="Q49" i="4"/>
  <c r="V49" i="4"/>
  <c r="AA49" i="4"/>
  <c r="AF49" i="4"/>
  <c r="C50" i="4"/>
  <c r="C59" i="4" s="1"/>
  <c r="D50" i="4"/>
  <c r="D59" i="4" s="1"/>
  <c r="E50" i="4"/>
  <c r="F50" i="4"/>
  <c r="G50" i="4"/>
  <c r="H50" i="4"/>
  <c r="I50" i="4"/>
  <c r="J50" i="4"/>
  <c r="K50" i="4"/>
  <c r="L50" i="4"/>
  <c r="M50" i="4"/>
  <c r="N50" i="4"/>
  <c r="O50" i="4"/>
  <c r="P50" i="4"/>
  <c r="Q50" i="4"/>
  <c r="R50" i="4"/>
  <c r="S50" i="4"/>
  <c r="T50" i="4"/>
  <c r="U50" i="4"/>
  <c r="V50" i="4" s="1"/>
  <c r="W50" i="4"/>
  <c r="X50" i="4"/>
  <c r="Y50" i="4"/>
  <c r="Z50" i="4"/>
  <c r="AA50" i="4" s="1"/>
  <c r="AB50" i="4"/>
  <c r="AC50" i="4"/>
  <c r="AC59" i="4" s="1"/>
  <c r="AC72" i="4" s="1"/>
  <c r="AD50" i="4"/>
  <c r="AE50" i="4"/>
  <c r="AF50" i="4"/>
  <c r="G52" i="4"/>
  <c r="L52" i="4"/>
  <c r="Q52" i="4"/>
  <c r="V52" i="4"/>
  <c r="AA52" i="4"/>
  <c r="AF52" i="4"/>
  <c r="G53" i="4"/>
  <c r="L53" i="4"/>
  <c r="Q53" i="4"/>
  <c r="V53" i="4"/>
  <c r="AA53" i="4"/>
  <c r="AF53" i="4"/>
  <c r="G54" i="4"/>
  <c r="L54" i="4"/>
  <c r="Q54" i="4"/>
  <c r="V54" i="4"/>
  <c r="AA54" i="4"/>
  <c r="AF54" i="4"/>
  <c r="G55" i="4"/>
  <c r="L55" i="4"/>
  <c r="Q55" i="4"/>
  <c r="V55" i="4"/>
  <c r="AA55" i="4"/>
  <c r="AF55" i="4"/>
  <c r="G56" i="4"/>
  <c r="L56" i="4"/>
  <c r="Q56" i="4"/>
  <c r="V56" i="4"/>
  <c r="AA56" i="4"/>
  <c r="AF56" i="4"/>
  <c r="C57" i="4"/>
  <c r="D57" i="4"/>
  <c r="E57" i="4"/>
  <c r="F57" i="4"/>
  <c r="G57" i="4" s="1"/>
  <c r="G59" i="4" s="1"/>
  <c r="H57" i="4"/>
  <c r="H59" i="4" s="1"/>
  <c r="I57" i="4"/>
  <c r="I59" i="4" s="1"/>
  <c r="J57" i="4"/>
  <c r="K57" i="4"/>
  <c r="L57" i="4" s="1"/>
  <c r="M57" i="4"/>
  <c r="N57" i="4"/>
  <c r="N59" i="4" s="1"/>
  <c r="N72" i="4" s="1"/>
  <c r="O57" i="4"/>
  <c r="O59" i="4" s="1"/>
  <c r="P57" i="4"/>
  <c r="P59" i="4" s="1"/>
  <c r="R57" i="4"/>
  <c r="R59" i="4" s="1"/>
  <c r="R72" i="4" s="1"/>
  <c r="S57" i="4"/>
  <c r="T57" i="4"/>
  <c r="U57" i="4"/>
  <c r="V57" i="4"/>
  <c r="W57" i="4"/>
  <c r="W59" i="4" s="1"/>
  <c r="X57" i="4"/>
  <c r="X59" i="4" s="1"/>
  <c r="Y57" i="4"/>
  <c r="Z57" i="4"/>
  <c r="AA57" i="4" s="1"/>
  <c r="AB57" i="4"/>
  <c r="AC57" i="4"/>
  <c r="AD57" i="4"/>
  <c r="AE57" i="4"/>
  <c r="AE59" i="4" s="1"/>
  <c r="AF57" i="4"/>
  <c r="AF59" i="4" s="1"/>
  <c r="J59" i="4"/>
  <c r="Y59" i="4"/>
  <c r="G61" i="4"/>
  <c r="L61" i="4"/>
  <c r="Q61" i="4"/>
  <c r="V61" i="4"/>
  <c r="AA61" i="4"/>
  <c r="AF61" i="4"/>
  <c r="G62" i="4"/>
  <c r="L62" i="4"/>
  <c r="Q62" i="4"/>
  <c r="V62" i="4"/>
  <c r="AA62" i="4"/>
  <c r="AF62" i="4"/>
  <c r="G63" i="4"/>
  <c r="L63" i="4"/>
  <c r="Q63" i="4"/>
  <c r="V63" i="4"/>
  <c r="AA63" i="4"/>
  <c r="AF63" i="4"/>
  <c r="G64" i="4"/>
  <c r="L64" i="4"/>
  <c r="Q64" i="4"/>
  <c r="V64" i="4"/>
  <c r="AA64" i="4"/>
  <c r="AF64" i="4"/>
  <c r="G65" i="4"/>
  <c r="L65" i="4"/>
  <c r="Q65" i="4"/>
  <c r="V65" i="4"/>
  <c r="AA65" i="4"/>
  <c r="AF65" i="4"/>
  <c r="C66" i="4"/>
  <c r="C70" i="4" s="1"/>
  <c r="D66" i="4"/>
  <c r="D70" i="4" s="1"/>
  <c r="E66" i="4"/>
  <c r="F66" i="4"/>
  <c r="F70" i="4" s="1"/>
  <c r="H66" i="4"/>
  <c r="I66" i="4"/>
  <c r="I70" i="4" s="1"/>
  <c r="J66" i="4"/>
  <c r="J70" i="4" s="1"/>
  <c r="K66" i="4"/>
  <c r="K70" i="4" s="1"/>
  <c r="L66" i="4"/>
  <c r="L70" i="4" s="1"/>
  <c r="M66" i="4"/>
  <c r="N66" i="4"/>
  <c r="N70" i="4" s="1"/>
  <c r="O66" i="4"/>
  <c r="P66" i="4"/>
  <c r="P70" i="4" s="1"/>
  <c r="Q66" i="4"/>
  <c r="Q70" i="4" s="1"/>
  <c r="R66" i="4"/>
  <c r="R70" i="4" s="1"/>
  <c r="S66" i="4"/>
  <c r="S70" i="4" s="1"/>
  <c r="T66" i="4"/>
  <c r="T70" i="4" s="1"/>
  <c r="U66" i="4"/>
  <c r="V66" i="4"/>
  <c r="V70" i="4" s="1"/>
  <c r="W66" i="4"/>
  <c r="W70" i="4" s="1"/>
  <c r="X66" i="4"/>
  <c r="Y66" i="4"/>
  <c r="Y70" i="4" s="1"/>
  <c r="Z66" i="4"/>
  <c r="Z70" i="4" s="1"/>
  <c r="AA66" i="4"/>
  <c r="AA70" i="4" s="1"/>
  <c r="AB66" i="4"/>
  <c r="AB70" i="4" s="1"/>
  <c r="AC66" i="4"/>
  <c r="AD66" i="4"/>
  <c r="AD70" i="4" s="1"/>
  <c r="AE66" i="4"/>
  <c r="AF66" i="4" s="1"/>
  <c r="AF70" i="4" s="1"/>
  <c r="G68" i="4"/>
  <c r="E70" i="4"/>
  <c r="H70" i="4"/>
  <c r="M70" i="4"/>
  <c r="O70" i="4"/>
  <c r="U70" i="4"/>
  <c r="X70" i="4"/>
  <c r="AC70" i="4"/>
  <c r="AE70" i="4"/>
  <c r="AW18" i="3"/>
  <c r="AX18" i="3"/>
  <c r="AY18" i="3"/>
  <c r="AW19" i="3"/>
  <c r="AX19" i="3"/>
  <c r="AY19" i="3"/>
  <c r="AZ19" i="3"/>
  <c r="BA19" i="3"/>
  <c r="BB19" i="3"/>
  <c r="D21" i="3"/>
  <c r="D25" i="3" s="1"/>
  <c r="E21" i="3"/>
  <c r="E25" i="3" s="1"/>
  <c r="F21" i="3"/>
  <c r="F25" i="3" s="1"/>
  <c r="G21" i="3"/>
  <c r="G25" i="3" s="1"/>
  <c r="H21" i="3"/>
  <c r="H25" i="3" s="1"/>
  <c r="I21" i="3"/>
  <c r="I25" i="3" s="1"/>
  <c r="J21" i="3"/>
  <c r="J25" i="3" s="1"/>
  <c r="K21" i="3"/>
  <c r="K25" i="3" s="1"/>
  <c r="L21" i="3"/>
  <c r="L25" i="3" s="1"/>
  <c r="M21" i="3"/>
  <c r="M25" i="3" s="1"/>
  <c r="N21" i="3"/>
  <c r="N25" i="3" s="1"/>
  <c r="O21" i="3"/>
  <c r="O25" i="3" s="1"/>
  <c r="P21" i="3"/>
  <c r="P25" i="3" s="1"/>
  <c r="Q21" i="3"/>
  <c r="Q25" i="3" s="1"/>
  <c r="R21" i="3"/>
  <c r="R25" i="3" s="1"/>
  <c r="S21" i="3"/>
  <c r="S25" i="3" s="1"/>
  <c r="T21" i="3"/>
  <c r="T25" i="3" s="1"/>
  <c r="U21" i="3"/>
  <c r="U25" i="3" s="1"/>
  <c r="V21" i="3"/>
  <c r="V25" i="3" s="1"/>
  <c r="W21" i="3"/>
  <c r="W25" i="3" s="1"/>
  <c r="X21" i="3"/>
  <c r="X25" i="3" s="1"/>
  <c r="Y21" i="3"/>
  <c r="Y25" i="3" s="1"/>
  <c r="Z21" i="3"/>
  <c r="Z25" i="3" s="1"/>
  <c r="AA21" i="3"/>
  <c r="AA25" i="3" s="1"/>
  <c r="AW23" i="3"/>
  <c r="AX23" i="3"/>
  <c r="AY23" i="3"/>
  <c r="AZ23" i="3"/>
  <c r="BA23" i="3"/>
  <c r="BB23" i="3"/>
  <c r="AW27" i="3"/>
  <c r="AX27" i="3"/>
  <c r="AZ27" i="3"/>
  <c r="BA27" i="3"/>
  <c r="BB27" i="3"/>
  <c r="BB32" i="3" s="1"/>
  <c r="AW28" i="3"/>
  <c r="AX28" i="3"/>
  <c r="AZ28" i="3"/>
  <c r="BA28" i="3"/>
  <c r="AW29" i="3"/>
  <c r="AX29" i="3"/>
  <c r="AZ29" i="3"/>
  <c r="BA29" i="3"/>
  <c r="AW30" i="3"/>
  <c r="AX30" i="3"/>
  <c r="AZ30" i="3"/>
  <c r="BA30" i="3"/>
  <c r="D32" i="3"/>
  <c r="E32" i="3"/>
  <c r="F32" i="3"/>
  <c r="G32" i="3"/>
  <c r="H32" i="3"/>
  <c r="I32" i="3"/>
  <c r="J32" i="3"/>
  <c r="K32" i="3"/>
  <c r="L32" i="3"/>
  <c r="M32" i="3"/>
  <c r="N32" i="3"/>
  <c r="O32" i="3"/>
  <c r="AY32" i="3"/>
  <c r="P32" i="3"/>
  <c r="Q32" i="3"/>
  <c r="R32" i="3"/>
  <c r="S32" i="3"/>
  <c r="T32" i="3"/>
  <c r="U32" i="3"/>
  <c r="V32" i="3"/>
  <c r="W32" i="3"/>
  <c r="X32" i="3"/>
  <c r="Y32" i="3"/>
  <c r="Z32" i="3"/>
  <c r="AA32" i="3"/>
  <c r="AW37" i="3"/>
  <c r="AX37" i="3"/>
  <c r="AY37" i="3"/>
  <c r="AZ37" i="3"/>
  <c r="BA37" i="3"/>
  <c r="BB37" i="3"/>
  <c r="AW38" i="3"/>
  <c r="AX38" i="3"/>
  <c r="AY38" i="3"/>
  <c r="AZ38" i="3"/>
  <c r="BA38" i="3"/>
  <c r="BB38" i="3"/>
  <c r="D40" i="3"/>
  <c r="E40" i="3"/>
  <c r="F40" i="3"/>
  <c r="G40" i="3"/>
  <c r="H40" i="3"/>
  <c r="I40" i="3"/>
  <c r="J40" i="3"/>
  <c r="K40" i="3"/>
  <c r="L40" i="3"/>
  <c r="M40" i="3"/>
  <c r="N40" i="3"/>
  <c r="O40" i="3"/>
  <c r="P40" i="3"/>
  <c r="Q40" i="3"/>
  <c r="R40" i="3"/>
  <c r="S40" i="3"/>
  <c r="T40" i="3"/>
  <c r="U40" i="3"/>
  <c r="V40" i="3"/>
  <c r="W40" i="3"/>
  <c r="X40" i="3"/>
  <c r="Y40" i="3"/>
  <c r="Z40" i="3"/>
  <c r="AA40" i="3"/>
  <c r="AY42" i="3"/>
  <c r="AW46" i="3"/>
  <c r="AX46" i="3"/>
  <c r="AY46" i="3"/>
  <c r="AZ46" i="3"/>
  <c r="BA46" i="3"/>
  <c r="BB46" i="3"/>
  <c r="AW47" i="3"/>
  <c r="AX47" i="3"/>
  <c r="AY47" i="3"/>
  <c r="AZ47" i="3"/>
  <c r="BA47" i="3"/>
  <c r="BB47" i="3"/>
  <c r="AW48" i="3"/>
  <c r="AX48" i="3"/>
  <c r="AY48" i="3"/>
  <c r="AZ48" i="3"/>
  <c r="BA48" i="3"/>
  <c r="BB48" i="3"/>
  <c r="AW49" i="3"/>
  <c r="AX49" i="3"/>
  <c r="AY49" i="3"/>
  <c r="AZ49" i="3"/>
  <c r="BA49" i="3"/>
  <c r="BB49" i="3"/>
  <c r="AW50" i="3"/>
  <c r="AX50" i="3"/>
  <c r="AY50" i="3"/>
  <c r="AZ50" i="3"/>
  <c r="BA50" i="3"/>
  <c r="BB50" i="3"/>
  <c r="AX54" i="3"/>
  <c r="AY54" i="3"/>
  <c r="AZ54" i="3"/>
  <c r="BB54" i="3"/>
  <c r="AW57" i="3"/>
  <c r="G40" i="22" l="1"/>
  <c r="AA35" i="3"/>
  <c r="AW40" i="3"/>
  <c r="K35" i="3"/>
  <c r="K44" i="3" s="1"/>
  <c r="K52" i="3" s="1"/>
  <c r="K55" i="3" s="1"/>
  <c r="K58" i="3" s="1"/>
  <c r="AZ21" i="3"/>
  <c r="AZ25" i="3" s="1"/>
  <c r="J35" i="3"/>
  <c r="J44" i="3" s="1"/>
  <c r="J52" i="3" s="1"/>
  <c r="J55" i="3" s="1"/>
  <c r="J58" i="3" s="1"/>
  <c r="J57" i="5"/>
  <c r="I57" i="5"/>
  <c r="AD42" i="5"/>
  <c r="W57" i="5"/>
  <c r="V57" i="5"/>
  <c r="X57" i="5"/>
  <c r="U57" i="5"/>
  <c r="AE32" i="5"/>
  <c r="T57" i="5"/>
  <c r="AA55" i="5"/>
  <c r="Z57" i="5"/>
  <c r="S57" i="5"/>
  <c r="BB40" i="3"/>
  <c r="BA40" i="3"/>
  <c r="AY40" i="3"/>
  <c r="V35" i="3"/>
  <c r="V44" i="3" s="1"/>
  <c r="V52" i="3" s="1"/>
  <c r="V55" i="3" s="1"/>
  <c r="V58" i="3" s="1"/>
  <c r="M35" i="3"/>
  <c r="M44" i="3" s="1"/>
  <c r="M52" i="3" s="1"/>
  <c r="M55" i="3" s="1"/>
  <c r="M58" i="3" s="1"/>
  <c r="G35" i="3"/>
  <c r="G44" i="3" s="1"/>
  <c r="G52" i="3" s="1"/>
  <c r="G55" i="3" s="1"/>
  <c r="G58" i="3" s="1"/>
  <c r="D35" i="3"/>
  <c r="D44" i="3" s="1"/>
  <c r="D52" i="3" s="1"/>
  <c r="D55" i="3" s="1"/>
  <c r="D58" i="3" s="1"/>
  <c r="U35" i="3"/>
  <c r="U44" i="3" s="1"/>
  <c r="U52" i="3" s="1"/>
  <c r="U55" i="3" s="1"/>
  <c r="U58" i="3" s="1"/>
  <c r="Q35" i="3"/>
  <c r="Q44" i="3" s="1"/>
  <c r="Q52" i="3" s="1"/>
  <c r="Q55" i="3" s="1"/>
  <c r="Q58" i="3" s="1"/>
  <c r="O35" i="3"/>
  <c r="O44" i="3" s="1"/>
  <c r="O52" i="3" s="1"/>
  <c r="O55" i="3" s="1"/>
  <c r="O58" i="3" s="1"/>
  <c r="I35" i="3"/>
  <c r="I44" i="3" s="1"/>
  <c r="I52" i="3" s="1"/>
  <c r="I55" i="3" s="1"/>
  <c r="I58" i="3" s="1"/>
  <c r="H35" i="3"/>
  <c r="H44" i="3" s="1"/>
  <c r="H52" i="3" s="1"/>
  <c r="H55" i="3" s="1"/>
  <c r="H58" i="3" s="1"/>
  <c r="BB25" i="3"/>
  <c r="BB35" i="3" s="1"/>
  <c r="AX21" i="3"/>
  <c r="AX25" i="3" s="1"/>
  <c r="AW21" i="3"/>
  <c r="AW25" i="3" s="1"/>
  <c r="P23" i="16"/>
  <c r="P24" i="16" s="1"/>
  <c r="P34" i="15"/>
  <c r="P43" i="15" s="1"/>
  <c r="I23" i="16"/>
  <c r="I24" i="16" s="1"/>
  <c r="I34" i="15"/>
  <c r="I43" i="15" s="1"/>
  <c r="Y23" i="16"/>
  <c r="Y24" i="16" s="1"/>
  <c r="Y34" i="15"/>
  <c r="Y43" i="15" s="1"/>
  <c r="D23" i="16"/>
  <c r="D24" i="16" s="1"/>
  <c r="D34" i="15"/>
  <c r="D43" i="15" s="1"/>
  <c r="R23" i="16"/>
  <c r="R24" i="16" s="1"/>
  <c r="R34" i="15"/>
  <c r="R43" i="15" s="1"/>
  <c r="AC23" i="16"/>
  <c r="AC24" i="16" s="1"/>
  <c r="AC34" i="15"/>
  <c r="AC43" i="15" s="1"/>
  <c r="X23" i="16"/>
  <c r="X24" i="16" s="1"/>
  <c r="X34" i="15"/>
  <c r="X43" i="15" s="1"/>
  <c r="Z23" i="16"/>
  <c r="Z24" i="16" s="1"/>
  <c r="Z34" i="15"/>
  <c r="Z43" i="15" s="1"/>
  <c r="C23" i="16"/>
  <c r="C24" i="16" s="1"/>
  <c r="C34" i="15"/>
  <c r="C43" i="15" s="1"/>
  <c r="P47" i="16"/>
  <c r="V79" i="16"/>
  <c r="AE128" i="15"/>
  <c r="V176" i="15"/>
  <c r="L176" i="15"/>
  <c r="AW32" i="3"/>
  <c r="AZ40" i="3"/>
  <c r="P35" i="3"/>
  <c r="P44" i="3" s="1"/>
  <c r="P52" i="3" s="1"/>
  <c r="P55" i="3" s="1"/>
  <c r="P58" i="3" s="1"/>
  <c r="AX32" i="3"/>
  <c r="R35" i="3"/>
  <c r="R44" i="3" s="1"/>
  <c r="R52" i="3" s="1"/>
  <c r="R55" i="3" s="1"/>
  <c r="R58" i="3" s="1"/>
  <c r="W35" i="3"/>
  <c r="W44" i="3" s="1"/>
  <c r="W52" i="3" s="1"/>
  <c r="W55" i="3" s="1"/>
  <c r="W58" i="3" s="1"/>
  <c r="Z35" i="3"/>
  <c r="Z44" i="3" s="1"/>
  <c r="Z52" i="3" s="1"/>
  <c r="Z55" i="3" s="1"/>
  <c r="Z58" i="3" s="1"/>
  <c r="BA21" i="3"/>
  <c r="BA25" i="3" s="1"/>
  <c r="AY21" i="3"/>
  <c r="AY25" i="3" s="1"/>
  <c r="AY35" i="3" s="1"/>
  <c r="H47" i="16"/>
  <c r="AA176" i="15"/>
  <c r="G85" i="16"/>
  <c r="Q176" i="15"/>
  <c r="AF20" i="16"/>
  <c r="P128" i="15"/>
  <c r="P131" i="15" s="1"/>
  <c r="AC46" i="16"/>
  <c r="AC47" i="16"/>
  <c r="AC128" i="15"/>
  <c r="AC44" i="16"/>
  <c r="N44" i="16"/>
  <c r="N45" i="16"/>
  <c r="O23" i="16"/>
  <c r="O24" i="16" s="1"/>
  <c r="K23" i="16"/>
  <c r="K24" i="16" s="1"/>
  <c r="S23" i="16"/>
  <c r="S24" i="16" s="1"/>
  <c r="V25" i="15"/>
  <c r="V20" i="16"/>
  <c r="S128" i="15"/>
  <c r="S131" i="15" s="1"/>
  <c r="S45" i="16"/>
  <c r="S44" i="16"/>
  <c r="T128" i="15"/>
  <c r="T131" i="15" s="1"/>
  <c r="T44" i="16"/>
  <c r="T45" i="16"/>
  <c r="L25" i="15"/>
  <c r="L34" i="15" s="1"/>
  <c r="L43" i="15" s="1"/>
  <c r="L20" i="16"/>
  <c r="P21" i="16"/>
  <c r="AF38" i="16"/>
  <c r="U21" i="16"/>
  <c r="U25" i="16"/>
  <c r="U26" i="16" s="1"/>
  <c r="U46" i="16"/>
  <c r="U47" i="16"/>
  <c r="F44" i="16"/>
  <c r="F45" i="16"/>
  <c r="J128" i="15"/>
  <c r="J131" i="15" s="1"/>
  <c r="J45" i="16"/>
  <c r="J44" i="16"/>
  <c r="G176" i="15"/>
  <c r="AA86" i="16"/>
  <c r="AA79" i="16"/>
  <c r="N23" i="16"/>
  <c r="N24" i="16" s="1"/>
  <c r="L79" i="16"/>
  <c r="AA37" i="16"/>
  <c r="J23" i="16"/>
  <c r="J24" i="16" s="1"/>
  <c r="AA38" i="16"/>
  <c r="W21" i="16"/>
  <c r="W47" i="16"/>
  <c r="W25" i="16"/>
  <c r="W26" i="16" s="1"/>
  <c r="W46" i="16"/>
  <c r="C128" i="15"/>
  <c r="C131" i="15" s="1"/>
  <c r="C45" i="16"/>
  <c r="C44" i="16"/>
  <c r="P44" i="16"/>
  <c r="P45" i="16"/>
  <c r="X128" i="15"/>
  <c r="X131" i="15" s="1"/>
  <c r="X44" i="16"/>
  <c r="X45" i="16"/>
  <c r="U128" i="15"/>
  <c r="U131" i="15" s="1"/>
  <c r="U44" i="16"/>
  <c r="U45" i="16"/>
  <c r="X25" i="16"/>
  <c r="X26" i="16" s="1"/>
  <c r="X46" i="16"/>
  <c r="O128" i="15"/>
  <c r="O131" i="15" s="1"/>
  <c r="O44" i="16"/>
  <c r="O45" i="16"/>
  <c r="Q25" i="15"/>
  <c r="Q34" i="15" s="1"/>
  <c r="Q43" i="15" s="1"/>
  <c r="Q20" i="16"/>
  <c r="S86" i="16"/>
  <c r="N86" i="16"/>
  <c r="AE23" i="16"/>
  <c r="AE24" i="16" s="1"/>
  <c r="Q86" i="16"/>
  <c r="Q79" i="16"/>
  <c r="T86" i="16"/>
  <c r="AF128" i="15"/>
  <c r="AF131" i="15" s="1"/>
  <c r="AF44" i="16"/>
  <c r="AF45" i="16"/>
  <c r="V128" i="15"/>
  <c r="V131" i="15" s="1"/>
  <c r="V44" i="16"/>
  <c r="V45" i="16"/>
  <c r="AB128" i="15"/>
  <c r="AB44" i="16"/>
  <c r="AB95" i="15"/>
  <c r="AB38" i="16"/>
  <c r="AB37" i="16"/>
  <c r="AE95" i="15"/>
  <c r="AE37" i="16"/>
  <c r="AE38" i="16"/>
  <c r="I45" i="16"/>
  <c r="I44" i="16"/>
  <c r="F52" i="15"/>
  <c r="F21" i="16"/>
  <c r="F46" i="16"/>
  <c r="F47" i="16"/>
  <c r="F25" i="16"/>
  <c r="F26" i="16" s="1"/>
  <c r="W128" i="15"/>
  <c r="W131" i="15" s="1"/>
  <c r="W44" i="16"/>
  <c r="W45" i="16"/>
  <c r="K128" i="15"/>
  <c r="K131" i="15" s="1"/>
  <c r="K44" i="16"/>
  <c r="K45" i="16"/>
  <c r="G115" i="15"/>
  <c r="G86" i="16" s="1"/>
  <c r="G37" i="16"/>
  <c r="G38" i="16"/>
  <c r="M128" i="15"/>
  <c r="M131" i="15" s="1"/>
  <c r="M44" i="16"/>
  <c r="M45" i="16"/>
  <c r="AC95" i="15"/>
  <c r="AC37" i="16"/>
  <c r="AC38" i="16"/>
  <c r="Z128" i="15"/>
  <c r="Z131" i="15" s="1"/>
  <c r="Z45" i="16"/>
  <c r="Z44" i="16"/>
  <c r="N128" i="15"/>
  <c r="N131" i="15" s="1"/>
  <c r="I128" i="15"/>
  <c r="I131" i="15" s="1"/>
  <c r="Z46" i="16"/>
  <c r="Z25" i="16"/>
  <c r="Z26" i="16" s="1"/>
  <c r="Y128" i="15"/>
  <c r="Y131" i="15" s="1"/>
  <c r="Y45" i="16"/>
  <c r="Y44" i="16"/>
  <c r="D128" i="15"/>
  <c r="D131" i="15" s="1"/>
  <c r="D44" i="16"/>
  <c r="D45" i="16"/>
  <c r="AC86" i="16"/>
  <c r="C86" i="16"/>
  <c r="D86" i="16"/>
  <c r="AA128" i="15"/>
  <c r="AA131" i="15" s="1"/>
  <c r="AA44" i="16"/>
  <c r="AA45" i="16"/>
  <c r="AD95" i="15"/>
  <c r="AD37" i="16"/>
  <c r="AD38" i="16"/>
  <c r="R128" i="15"/>
  <c r="R131" i="15" s="1"/>
  <c r="R45" i="16"/>
  <c r="R44" i="16"/>
  <c r="G25" i="15"/>
  <c r="G34" i="15" s="1"/>
  <c r="G20" i="16"/>
  <c r="E128" i="15"/>
  <c r="E131" i="15" s="1"/>
  <c r="E44" i="16"/>
  <c r="E45" i="16"/>
  <c r="F86" i="16"/>
  <c r="AF43" i="15"/>
  <c r="AF23" i="16"/>
  <c r="AF24" i="16" s="1"/>
  <c r="M23" i="16"/>
  <c r="M24" i="16" s="1"/>
  <c r="U86" i="16"/>
  <c r="Z86" i="16"/>
  <c r="X86" i="16"/>
  <c r="AE44" i="16"/>
  <c r="L115" i="15"/>
  <c r="L86" i="16" s="1"/>
  <c r="L37" i="16"/>
  <c r="L38" i="16"/>
  <c r="AD23" i="16"/>
  <c r="AD24" i="16" s="1"/>
  <c r="AF176" i="15"/>
  <c r="AF86" i="16"/>
  <c r="AF79" i="16"/>
  <c r="T21" i="16"/>
  <c r="T47" i="16"/>
  <c r="T46" i="16"/>
  <c r="T25" i="16"/>
  <c r="T26" i="16" s="1"/>
  <c r="AB23" i="16"/>
  <c r="AB24" i="16" s="1"/>
  <c r="AA25" i="15"/>
  <c r="AA20" i="16"/>
  <c r="Q128" i="15"/>
  <c r="Q131" i="15" s="1"/>
  <c r="Q45" i="16"/>
  <c r="Q44" i="16"/>
  <c r="AD128" i="15"/>
  <c r="AD44" i="16"/>
  <c r="H128" i="15"/>
  <c r="H131" i="15" s="1"/>
  <c r="H44" i="16"/>
  <c r="H45" i="16"/>
  <c r="E21" i="16"/>
  <c r="E25" i="16"/>
  <c r="E26" i="16" s="1"/>
  <c r="E46" i="16"/>
  <c r="E47" i="16"/>
  <c r="AF37" i="16"/>
  <c r="I86" i="16"/>
  <c r="O86" i="16"/>
  <c r="W86" i="16"/>
  <c r="V86" i="16"/>
  <c r="F128" i="15"/>
  <c r="F131" i="15" s="1"/>
  <c r="S59" i="4"/>
  <c r="K59" i="4"/>
  <c r="W39" i="4"/>
  <c r="O39" i="4"/>
  <c r="G57" i="5"/>
  <c r="AB55" i="5"/>
  <c r="AE42" i="5"/>
  <c r="AC42" i="5"/>
  <c r="F57" i="5"/>
  <c r="AB32" i="5"/>
  <c r="E57" i="5"/>
  <c r="AA32" i="5"/>
  <c r="T59" i="4"/>
  <c r="AX40" i="3"/>
  <c r="AB59" i="4"/>
  <c r="AB72" i="4" s="1"/>
  <c r="T35" i="3"/>
  <c r="T44" i="3" s="1"/>
  <c r="T52" i="3" s="1"/>
  <c r="T55" i="3" s="1"/>
  <c r="T58" i="3" s="1"/>
  <c r="Y72" i="4"/>
  <c r="I72" i="4"/>
  <c r="P72" i="4"/>
  <c r="P75" i="4" s="1"/>
  <c r="H72" i="4"/>
  <c r="H75" i="4" s="1"/>
  <c r="AA59" i="4"/>
  <c r="AA72" i="4" s="1"/>
  <c r="AF75" i="4"/>
  <c r="AA42" i="5"/>
  <c r="Q57" i="5"/>
  <c r="Y57" i="5"/>
  <c r="AD32" i="5"/>
  <c r="L57" i="5"/>
  <c r="AA44" i="3"/>
  <c r="AA52" i="3" s="1"/>
  <c r="AA55" i="3" s="1"/>
  <c r="AA58" i="3" s="1"/>
  <c r="S35" i="3"/>
  <c r="S44" i="3" s="1"/>
  <c r="S52" i="3" s="1"/>
  <c r="S55" i="3" s="1"/>
  <c r="S58" i="3" s="1"/>
  <c r="F35" i="3"/>
  <c r="F44" i="3" s="1"/>
  <c r="F52" i="3" s="1"/>
  <c r="F55" i="3" s="1"/>
  <c r="F58" i="3" s="1"/>
  <c r="BA32" i="3"/>
  <c r="X35" i="3"/>
  <c r="X44" i="3" s="1"/>
  <c r="X52" i="3" s="1"/>
  <c r="X55" i="3" s="1"/>
  <c r="X58" i="3" s="1"/>
  <c r="E35" i="3"/>
  <c r="E44" i="3" s="1"/>
  <c r="E52" i="3" s="1"/>
  <c r="E55" i="3" s="1"/>
  <c r="E58" i="3" s="1"/>
  <c r="AF72" i="4"/>
  <c r="X72" i="4"/>
  <c r="X75" i="4" s="1"/>
  <c r="O72" i="4"/>
  <c r="N75" i="4"/>
  <c r="AD39" i="4"/>
  <c r="N57" i="5"/>
  <c r="P57" i="5"/>
  <c r="D57" i="5"/>
  <c r="R57" i="5"/>
  <c r="K57" i="5"/>
  <c r="L59" i="4"/>
  <c r="N35" i="3"/>
  <c r="N44" i="3" s="1"/>
  <c r="N52" i="3" s="1"/>
  <c r="N55" i="3" s="1"/>
  <c r="N58" i="3" s="1"/>
  <c r="L35" i="3"/>
  <c r="L44" i="3" s="1"/>
  <c r="L52" i="3" s="1"/>
  <c r="L55" i="3" s="1"/>
  <c r="L58" i="3" s="1"/>
  <c r="AE72" i="4"/>
  <c r="AE75" i="4" s="1"/>
  <c r="W72" i="4"/>
  <c r="W75" i="4" s="1"/>
  <c r="AA39" i="4"/>
  <c r="K39" i="4"/>
  <c r="AC39" i="4"/>
  <c r="AC75" i="4" s="1"/>
  <c r="M57" i="5"/>
  <c r="AF55" i="5"/>
  <c r="C57" i="5"/>
  <c r="AC32" i="5"/>
  <c r="AF32" i="5"/>
  <c r="AZ32" i="3"/>
  <c r="Y35" i="3"/>
  <c r="Y44" i="3" s="1"/>
  <c r="Y52" i="3" s="1"/>
  <c r="Y55" i="3" s="1"/>
  <c r="Y58" i="3" s="1"/>
  <c r="AD59" i="4"/>
  <c r="J39" i="4"/>
  <c r="R39" i="4"/>
  <c r="R75" i="4" s="1"/>
  <c r="O57" i="5"/>
  <c r="H57" i="5"/>
  <c r="AE55" i="5"/>
  <c r="Z59" i="4"/>
  <c r="Z72" i="4" s="1"/>
  <c r="Z75" i="4" s="1"/>
  <c r="V59" i="4"/>
  <c r="M59" i="4"/>
  <c r="M72" i="4" s="1"/>
  <c r="M75" i="4" s="1"/>
  <c r="E59" i="4"/>
  <c r="E72" i="4" s="1"/>
  <c r="E75" i="4" s="1"/>
  <c r="F39" i="4"/>
  <c r="AC55" i="5"/>
  <c r="AD55" i="5"/>
  <c r="E39" i="4"/>
  <c r="AB42" i="5"/>
  <c r="AF42" i="5"/>
  <c r="U39" i="4"/>
  <c r="G72" i="4"/>
  <c r="G75" i="4" s="1"/>
  <c r="L75" i="4"/>
  <c r="AA75" i="4"/>
  <c r="AB39" i="4"/>
  <c r="V72" i="4"/>
  <c r="V75" i="4" s="1"/>
  <c r="T72" i="4"/>
  <c r="L72" i="4"/>
  <c r="D72" i="4"/>
  <c r="Y75" i="4"/>
  <c r="I75" i="4"/>
  <c r="K75" i="4"/>
  <c r="AD72" i="4"/>
  <c r="AD75" i="4" s="1"/>
  <c r="K72" i="4"/>
  <c r="D39" i="4"/>
  <c r="D75" i="4" s="1"/>
  <c r="T39" i="4"/>
  <c r="S72" i="4"/>
  <c r="S75" i="4" s="1"/>
  <c r="C72" i="4"/>
  <c r="C75" i="4" s="1"/>
  <c r="O75" i="4"/>
  <c r="J72" i="4"/>
  <c r="F59" i="4"/>
  <c r="F72" i="4" s="1"/>
  <c r="G66" i="4"/>
  <c r="G70" i="4" s="1"/>
  <c r="Q57" i="4"/>
  <c r="Q59" i="4" s="1"/>
  <c r="Q72" i="4" s="1"/>
  <c r="Q75" i="4" s="1"/>
  <c r="U59" i="4"/>
  <c r="U72" i="4" s="1"/>
  <c r="AY44" i="3" l="1"/>
  <c r="AY52" i="3" s="1"/>
  <c r="AY55" i="3" s="1"/>
  <c r="AY58" i="3" s="1"/>
  <c r="AW35" i="3"/>
  <c r="AW44" i="3" s="1"/>
  <c r="AW52" i="3" s="1"/>
  <c r="AW55" i="3" s="1"/>
  <c r="AW58" i="3" s="1"/>
  <c r="BB44" i="3"/>
  <c r="BB52" i="3" s="1"/>
  <c r="BB55" i="3" s="1"/>
  <c r="BB58" i="3" s="1"/>
  <c r="AX35" i="3"/>
  <c r="AX44" i="3" s="1"/>
  <c r="AX52" i="3" s="1"/>
  <c r="AX55" i="3" s="1"/>
  <c r="AX58" i="3" s="1"/>
  <c r="BA35" i="3"/>
  <c r="BA44" i="3" s="1"/>
  <c r="BA52" i="3" s="1"/>
  <c r="BA55" i="3" s="1"/>
  <c r="BA58" i="3" s="1"/>
  <c r="AE57" i="5"/>
  <c r="AC57" i="5"/>
  <c r="AD57" i="5"/>
  <c r="AB57" i="5"/>
  <c r="AF57" i="5"/>
  <c r="Q52" i="15"/>
  <c r="V23" i="16"/>
  <c r="V24" i="16" s="1"/>
  <c r="V34" i="15"/>
  <c r="Z47" i="16"/>
  <c r="X47" i="16"/>
  <c r="AC21" i="16"/>
  <c r="AC25" i="16"/>
  <c r="AC26" i="16" s="1"/>
  <c r="Z21" i="16"/>
  <c r="X21" i="16"/>
  <c r="H25" i="16"/>
  <c r="H26" i="16" s="1"/>
  <c r="H21" i="16"/>
  <c r="P46" i="16"/>
  <c r="P25" i="16"/>
  <c r="P26" i="16" s="1"/>
  <c r="U59" i="15"/>
  <c r="Z52" i="15"/>
  <c r="Z56" i="15" s="1"/>
  <c r="Z59" i="15" s="1"/>
  <c r="F56" i="15"/>
  <c r="F59" i="15" s="1"/>
  <c r="X52" i="15"/>
  <c r="X56" i="15" s="1"/>
  <c r="X59" i="15" s="1"/>
  <c r="W52" i="15"/>
  <c r="W56" i="15" s="1"/>
  <c r="W59" i="15" s="1"/>
  <c r="H52" i="15"/>
  <c r="H56" i="15" s="1"/>
  <c r="H59" i="15" s="1"/>
  <c r="P52" i="15"/>
  <c r="P56" i="15" s="1"/>
  <c r="P59" i="15" s="1"/>
  <c r="E52" i="15"/>
  <c r="E56" i="15" s="1"/>
  <c r="E59" i="15" s="1"/>
  <c r="T52" i="15"/>
  <c r="T56" i="15" s="1"/>
  <c r="T59" i="15" s="1"/>
  <c r="AC52" i="15"/>
  <c r="AC56" i="15" s="1"/>
  <c r="AC59" i="15" s="1"/>
  <c r="H46" i="16"/>
  <c r="N21" i="16"/>
  <c r="N46" i="16"/>
  <c r="N25" i="16"/>
  <c r="N26" i="16" s="1"/>
  <c r="N47" i="16"/>
  <c r="AC45" i="16"/>
  <c r="AE45" i="16"/>
  <c r="AF21" i="16"/>
  <c r="AF47" i="16"/>
  <c r="AF46" i="16"/>
  <c r="AF25" i="16"/>
  <c r="AF26" i="16" s="1"/>
  <c r="R21" i="16"/>
  <c r="R47" i="16"/>
  <c r="R25" i="16"/>
  <c r="R26" i="16" s="1"/>
  <c r="R46" i="16"/>
  <c r="AE131" i="15"/>
  <c r="C52" i="15"/>
  <c r="C56" i="15" s="1"/>
  <c r="C21" i="16"/>
  <c r="C47" i="16"/>
  <c r="C25" i="16"/>
  <c r="C26" i="16" s="1"/>
  <c r="C46" i="16"/>
  <c r="AB21" i="16"/>
  <c r="AB47" i="16"/>
  <c r="AB46" i="16"/>
  <c r="AB25" i="16"/>
  <c r="AB26" i="16" s="1"/>
  <c r="D52" i="15"/>
  <c r="D21" i="16"/>
  <c r="D47" i="16"/>
  <c r="D46" i="16"/>
  <c r="D25" i="16"/>
  <c r="D26" i="16" s="1"/>
  <c r="S21" i="16"/>
  <c r="S47" i="16"/>
  <c r="S25" i="16"/>
  <c r="S26" i="16" s="1"/>
  <c r="S46" i="16"/>
  <c r="Q23" i="16"/>
  <c r="Q24" i="16" s="1"/>
  <c r="Y21" i="16"/>
  <c r="Y46" i="16"/>
  <c r="Y25" i="16"/>
  <c r="Y26" i="16" s="1"/>
  <c r="Y47" i="16"/>
  <c r="AC131" i="15"/>
  <c r="K21" i="16"/>
  <c r="K47" i="16"/>
  <c r="K25" i="16"/>
  <c r="K26" i="16" s="1"/>
  <c r="K46" i="16"/>
  <c r="G128" i="15"/>
  <c r="G131" i="15" s="1"/>
  <c r="G44" i="16"/>
  <c r="G45" i="16"/>
  <c r="AD21" i="16"/>
  <c r="AD46" i="16"/>
  <c r="AD47" i="16"/>
  <c r="AD25" i="16"/>
  <c r="AD26" i="16" s="1"/>
  <c r="M21" i="16"/>
  <c r="M25" i="16"/>
  <c r="M26" i="16" s="1"/>
  <c r="M46" i="16"/>
  <c r="M47" i="16"/>
  <c r="AE21" i="16"/>
  <c r="AE46" i="16"/>
  <c r="AE47" i="16"/>
  <c r="AE25" i="16"/>
  <c r="AE26" i="16" s="1"/>
  <c r="L23" i="16"/>
  <c r="L24" i="16" s="1"/>
  <c r="O21" i="16"/>
  <c r="O46" i="16"/>
  <c r="O47" i="16"/>
  <c r="O25" i="16"/>
  <c r="O26" i="16" s="1"/>
  <c r="AD131" i="15"/>
  <c r="AD45" i="16"/>
  <c r="AA23" i="16"/>
  <c r="AA24" i="16" s="1"/>
  <c r="L128" i="15"/>
  <c r="L131" i="15" s="1"/>
  <c r="L44" i="16"/>
  <c r="L45" i="16"/>
  <c r="G43" i="15"/>
  <c r="G52" i="15" s="1"/>
  <c r="G23" i="16"/>
  <c r="G24" i="16" s="1"/>
  <c r="AB131" i="15"/>
  <c r="J21" i="16"/>
  <c r="J47" i="16"/>
  <c r="J46" i="16"/>
  <c r="J25" i="16"/>
  <c r="J26" i="16" s="1"/>
  <c r="I21" i="16"/>
  <c r="I25" i="16"/>
  <c r="I26" i="16" s="1"/>
  <c r="I46" i="16"/>
  <c r="I47" i="16"/>
  <c r="AB45" i="16"/>
  <c r="AA57" i="5"/>
  <c r="T75" i="4"/>
  <c r="AZ35" i="3"/>
  <c r="AZ44" i="3" s="1"/>
  <c r="AZ52" i="3" s="1"/>
  <c r="AZ55" i="3" s="1"/>
  <c r="AZ58" i="3" s="1"/>
  <c r="F75" i="4"/>
  <c r="J75" i="4"/>
  <c r="AB75" i="4"/>
  <c r="U75" i="4"/>
  <c r="V46" i="16" l="1"/>
  <c r="V21" i="16"/>
  <c r="E30" i="16"/>
  <c r="E31" i="16"/>
  <c r="E27" i="16"/>
  <c r="E28" i="16" s="1"/>
  <c r="H30" i="16"/>
  <c r="H31" i="16"/>
  <c r="H27" i="16"/>
  <c r="H28" i="16" s="1"/>
  <c r="Z27" i="16"/>
  <c r="Z28" i="16" s="1"/>
  <c r="Z30" i="16"/>
  <c r="Z31" i="16"/>
  <c r="P31" i="16"/>
  <c r="P30" i="16"/>
  <c r="P27" i="16"/>
  <c r="P28" i="16" s="1"/>
  <c r="W27" i="16"/>
  <c r="W28" i="16" s="1"/>
  <c r="W31" i="16"/>
  <c r="W30" i="16"/>
  <c r="X31" i="16"/>
  <c r="X30" i="16"/>
  <c r="X27" i="16"/>
  <c r="X28" i="16" s="1"/>
  <c r="F31" i="16"/>
  <c r="F27" i="16"/>
  <c r="F28" i="16" s="1"/>
  <c r="F30" i="16"/>
  <c r="AC30" i="16"/>
  <c r="AC27" i="16"/>
  <c r="AC28" i="16" s="1"/>
  <c r="AC31" i="16"/>
  <c r="T27" i="16"/>
  <c r="T28" i="16" s="1"/>
  <c r="T31" i="16"/>
  <c r="T30" i="16"/>
  <c r="U31" i="16"/>
  <c r="U30" i="16"/>
  <c r="U27" i="16"/>
  <c r="U28" i="16" s="1"/>
  <c r="AB52" i="15"/>
  <c r="AB56" i="15" s="1"/>
  <c r="AB59" i="15" s="1"/>
  <c r="N52" i="15"/>
  <c r="N56" i="15" s="1"/>
  <c r="N59" i="15" s="1"/>
  <c r="AF52" i="15"/>
  <c r="AF56" i="15" s="1"/>
  <c r="AF59" i="15" s="1"/>
  <c r="V52" i="15"/>
  <c r="V56" i="15" s="1"/>
  <c r="V59" i="15" s="1"/>
  <c r="K52" i="15"/>
  <c r="K56" i="15" s="1"/>
  <c r="K59" i="15" s="1"/>
  <c r="J52" i="15"/>
  <c r="J56" i="15" s="1"/>
  <c r="J59" i="15" s="1"/>
  <c r="AD52" i="15"/>
  <c r="AD56" i="15" s="1"/>
  <c r="AD59" i="15" s="1"/>
  <c r="Y52" i="15"/>
  <c r="Y56" i="15" s="1"/>
  <c r="Y59" i="15" s="1"/>
  <c r="O52" i="15"/>
  <c r="O56" i="15" s="1"/>
  <c r="O59" i="15" s="1"/>
  <c r="V25" i="16"/>
  <c r="V26" i="16" s="1"/>
  <c r="V47" i="16"/>
  <c r="R52" i="15"/>
  <c r="R56" i="15" s="1"/>
  <c r="R59" i="15" s="1"/>
  <c r="I52" i="15"/>
  <c r="I56" i="15" s="1"/>
  <c r="I59" i="15" s="1"/>
  <c r="AE52" i="15"/>
  <c r="AE56" i="15" s="1"/>
  <c r="AE59" i="15" s="1"/>
  <c r="M52" i="15"/>
  <c r="M56" i="15" s="1"/>
  <c r="M59" i="15" s="1"/>
  <c r="S56" i="15"/>
  <c r="S59" i="15" s="1"/>
  <c r="D56" i="15"/>
  <c r="D59" i="15" s="1"/>
  <c r="C59" i="15"/>
  <c r="Q21" i="16"/>
  <c r="Q47" i="16"/>
  <c r="Q46" i="16"/>
  <c r="Q25" i="16"/>
  <c r="Q26" i="16" s="1"/>
  <c r="AA21" i="16"/>
  <c r="AA47" i="16"/>
  <c r="AA25" i="16"/>
  <c r="AA26" i="16" s="1"/>
  <c r="AA46" i="16"/>
  <c r="L21" i="16"/>
  <c r="L47" i="16"/>
  <c r="L46" i="16"/>
  <c r="L25" i="16"/>
  <c r="L26" i="16" s="1"/>
  <c r="G21" i="16"/>
  <c r="G25" i="16"/>
  <c r="G26" i="16" s="1"/>
  <c r="G46" i="16"/>
  <c r="G47" i="16"/>
  <c r="AB27" i="16" l="1"/>
  <c r="AB28" i="16" s="1"/>
  <c r="AB30" i="16"/>
  <c r="AB31" i="16"/>
  <c r="S30" i="16"/>
  <c r="S31" i="16"/>
  <c r="S27" i="16"/>
  <c r="S28" i="16" s="1"/>
  <c r="AE27" i="16"/>
  <c r="AE28" i="16" s="1"/>
  <c r="AE31" i="16"/>
  <c r="AE30" i="16"/>
  <c r="N31" i="16"/>
  <c r="N27" i="16"/>
  <c r="N28" i="16" s="1"/>
  <c r="N30" i="16"/>
  <c r="O30" i="16"/>
  <c r="O31" i="16"/>
  <c r="O27" i="16"/>
  <c r="O28" i="16" s="1"/>
  <c r="Y30" i="16"/>
  <c r="Y27" i="16"/>
  <c r="Y28" i="16" s="1"/>
  <c r="Y31" i="16"/>
  <c r="M27" i="16"/>
  <c r="M28" i="16" s="1"/>
  <c r="M31" i="16"/>
  <c r="M30" i="16"/>
  <c r="AD27" i="16"/>
  <c r="AD28" i="16" s="1"/>
  <c r="AD30" i="16"/>
  <c r="AD31" i="16"/>
  <c r="J31" i="16"/>
  <c r="J30" i="16"/>
  <c r="J27" i="16"/>
  <c r="J28" i="16" s="1"/>
  <c r="I30" i="16"/>
  <c r="I31" i="16"/>
  <c r="I27" i="16"/>
  <c r="I28" i="16" s="1"/>
  <c r="K30" i="16"/>
  <c r="K31" i="16"/>
  <c r="K27" i="16"/>
  <c r="K28" i="16" s="1"/>
  <c r="R27" i="16"/>
  <c r="R28" i="16" s="1"/>
  <c r="R30" i="16"/>
  <c r="R31" i="16"/>
  <c r="V31" i="16"/>
  <c r="V27" i="16"/>
  <c r="V28" i="16" s="1"/>
  <c r="V30" i="16"/>
  <c r="AF31" i="16"/>
  <c r="AF30" i="16"/>
  <c r="AF27" i="16"/>
  <c r="AF28" i="16" s="1"/>
  <c r="Q56" i="15"/>
  <c r="Q59" i="15" s="1"/>
  <c r="G56" i="15"/>
  <c r="G59" i="15" s="1"/>
  <c r="AA52" i="15"/>
  <c r="AA56" i="15" s="1"/>
  <c r="AA59" i="15" s="1"/>
  <c r="L52" i="15"/>
  <c r="L56" i="15" s="1"/>
  <c r="L59" i="15" s="1"/>
  <c r="D31" i="16"/>
  <c r="D30" i="16"/>
  <c r="D27" i="16"/>
  <c r="D28" i="16" s="1"/>
  <c r="C30" i="16"/>
  <c r="C31" i="16"/>
  <c r="C27" i="16"/>
  <c r="C28" i="16" s="1"/>
  <c r="L30" i="16" l="1"/>
  <c r="L31" i="16"/>
  <c r="L27" i="16"/>
  <c r="L28" i="16" s="1"/>
  <c r="AA31" i="16"/>
  <c r="AA30" i="16"/>
  <c r="AA27" i="16"/>
  <c r="AA28" i="16" s="1"/>
  <c r="G31" i="16"/>
  <c r="G30" i="16"/>
  <c r="G27" i="16"/>
  <c r="G28" i="16" s="1"/>
  <c r="Q31" i="16"/>
  <c r="Q27" i="16"/>
  <c r="Q28" i="16" s="1"/>
  <c r="Q30"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tc={BFC54D60-D74D-1D4A-9F14-974FFA4D0D0C}</author>
    <author>tc={C03A85EF-127D-D049-AC79-48F5C2B7FE0C}</author>
  </authors>
  <commentList>
    <comment ref="A92" authorId="0" shapeId="0" xr:uid="{BFC54D60-D74D-1D4A-9F14-974FFA4D0D0C}">
      <text>
        <t>[Threaded comment]
Your version of Excel allows you to read this threaded comment; however, any edits to it will get removed if the file is opened in a newer version of Excel. Learn more: https://go.microsoft.com/fwlink/?linkid=870924
Comment:
    Macy’s Media Network only launched in 3Q 2022, explains the empty values between 2019 to 2022</t>
      </text>
    </comment>
    <comment ref="A102" authorId="1" shapeId="0" xr:uid="{C03A85EF-127D-D049-AC79-48F5C2B7FE0C}">
      <text>
        <t>[Threaded comment]
Your version of Excel allows you to read this threaded comment; however, any edits to it will get removed if the file is opened in a newer version of Excel. Learn more: https://go.microsoft.com/fwlink/?linkid=870924
Comment:
    Macy’s Media Network only launched in 3Q 2022, explains the empty values between 2019 to 2022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tc={0764D4C5-4052-544E-A6C0-7D03E9D934B7}</author>
    <author>tc={67780E06-7854-1247-945C-3B16D5BF1694}</author>
    <author>tc={B7DB8EE7-87E8-EF43-8A5A-1CD8C06886D3}</author>
    <author>tc={2CAD9563-331E-0540-A567-F8448F10A04F}</author>
    <author>tc={2BCD44A9-2C3D-4047-B525-84D210980F51}</author>
    <author>tc={BCAA8EE3-C630-B248-B8CC-83647169F4DF}</author>
    <author>tc={9C8D1F92-1100-CE40-8957-BDDD33E9F971}</author>
    <author>tc={F19D7441-0CDA-C84C-86D9-BC1DB713C571}</author>
    <author>tc={7C3E1953-614C-6C46-A9C6-48D6B9C0C269}</author>
    <author>tc={D880D45F-1148-E942-9334-6CA2AA1C0E1D}</author>
    <author>tc={8C596293-C4B1-5140-A0E0-1604A34772C7}</author>
    <author>tc={F32A981F-FE91-1D48-B58E-02FCA99101CF}</author>
    <author>tc={DCD5A04C-AEBB-9244-BE30-6256E4A0AC4B}</author>
    <author>tc={529F61C2-B84E-DB41-8A22-56607306CCAB}</author>
    <author>tc={FCD455D4-DBEA-6044-A378-57CE2C827A4C}</author>
    <author>tc={2723E6B1-9626-A940-A481-02DC1ABBF8E5}</author>
  </authors>
  <commentList>
    <comment ref="A18" authorId="0" shapeId="0" xr:uid="{0764D4C5-4052-544E-A6C0-7D03E9D934B7}">
      <text>
        <t xml:space="preserve">[Threaded comment]
Your version of Excel allows you to read this threaded comment; however, any edits to it will get removed if the file is opened in a newer version of Excel. Learn more: https://go.microsoft.com/fwlink/?linkid=870924
Comment:
    Product Categories:
-  Women’s Accessories, Intimate Apparel, Shoes and Cosmetics
Men’s and Kids
      Women’s Apparel
      Home/Other
</t>
      </text>
    </comment>
    <comment ref="A19" authorId="1" shapeId="0" xr:uid="{67780E06-7854-1247-945C-3B16D5BF1694}">
      <text>
        <t>[Threaded comment]
Your version of Excel allows you to read this threaded comment; however, any edits to it will get removed if the file is opened in a newer version of Excel. Learn more: https://go.microsoft.com/fwlink/?linkid=870924
Comment:
    Include Credit Revenue &amp; Macy’s Media Network</t>
      </text>
    </comment>
    <comment ref="A20" authorId="2" shapeId="0" xr:uid="{B7DB8EE7-87E8-EF43-8A5A-1CD8C06886D3}">
      <text>
        <t>[Threaded comment]
Your version of Excel allows you to read this threaded comment; however, any edits to it will get removed if the file is opened in a newer version of Excel. Learn more: https://go.microsoft.com/fwlink/?linkid=870924
Comment:
    “Our revenues and cash requirements are affected by the seasonal nature of our business.
Our business is seasonal, with a high proportion of revenues and operating cash flows generated during the second half of the
year, which includes the fall and the months of November and December. A disproportionate amount of our revenues is realized
in the fourth quarter due to this seasonality”
— Quoted from Macy’s FY2024 FS, Item 1A Risk Factors pg 13</t>
      </text>
    </comment>
    <comment ref="A30" authorId="3" shapeId="0" xr:uid="{2CAD9563-331E-0540-A567-F8448F10A04F}">
      <text>
        <t>[Threaded comment]
Your version of Excel allows you to read this threaded comment; however, any edits to it will get removed if the file is opened in a newer version of Excel. Learn more: https://go.microsoft.com/fwlink/?linkid=870924
Comment:
    - Impairment, Restructuring, &amp; Other costs
- Asset Writedown
- Restructuring Charges</t>
      </text>
    </comment>
    <comment ref="A41" authorId="4" shapeId="0" xr:uid="{2BCD44A9-2C3D-4047-B525-84D210980F51}">
      <text>
        <t>[Threaded comment]
Your version of Excel allows you to read this threaded comment; however, any edits to it will get removed if the file is opened in a newer version of Excel. Learn more: https://go.microsoft.com/fwlink/?linkid=870924
Comment:
    Financing costs</t>
      </text>
    </comment>
    <comment ref="A77" authorId="5" shapeId="0" xr:uid="{BCAA8EE3-C630-B248-B8CC-83647169F4DF}">
      <text>
        <t>[Threaded comment]
Your version of Excel allows you to read this threaded comment; however, any edits to it will get removed if the file is opened in a newer version of Excel. Learn more: https://go.microsoft.com/fwlink/?linkid=870924
Comment:
    - Other Receivables
- Income Tax Receivables</t>
      </text>
    </comment>
    <comment ref="A80" authorId="6" shapeId="0" xr:uid="{9C8D1F92-1100-CE40-8957-BDDD33E9F971}">
      <text>
        <t>[Threaded comment]
Your version of Excel allows you to read this threaded comment; however, any edits to it will get removed if the file is opened in a newer version of Excel. Learn more: https://go.microsoft.com/fwlink/?linkid=870924
Comment:
    Include:
- Merchandise Inventories
- Finished Goods</t>
      </text>
    </comment>
    <comment ref="A86" authorId="7" shapeId="0" xr:uid="{F19D7441-0CDA-C84C-86D9-BC1DB713C571}">
      <text>
        <t>[Threaded comment]
Your version of Excel allows you to read this threaded comment; however, any edits to it will get removed if the file is opened in a newer version of Excel. Learn more: https://go.microsoft.com/fwlink/?linkid=870924
Comment:
    Include:
- Right of use Asset Capital lease
- Right of use Operating Lease
- Buildings
- Land
- Property &amp; Equipment
- Machinery
- Other PPE</t>
      </text>
    </comment>
    <comment ref="A91" authorId="8" shapeId="0" xr:uid="{7C3E1953-614C-6C46-A9C6-48D6B9C0C269}">
      <text>
        <t>[Threaded comment]
Your version of Excel allows you to read this threaded comment; however, any edits to it will get removed if the file is opened in a newer version of Excel. Learn more: https://go.microsoft.com/fwlink/?linkid=870924
Comment:
    Include: 
- Capitalised/ Purchased Software
- Accumulated Amortisation
Reply:
    Later add “Accumulated Amortisation” row - Abraham do later</t>
      </text>
    </comment>
    <comment ref="A92" authorId="9" shapeId="0" xr:uid="{D880D45F-1148-E942-9334-6CA2AA1C0E1D}">
      <text>
        <t>[Threaded comment]
Your version of Excel allows you to read this threaded comment; however, any edits to it will get removed if the file is opened in a newer version of Excel. Learn more: https://go.microsoft.com/fwlink/?linkid=870924
Comment:
    - Other Long-term Receivables</t>
      </text>
    </comment>
    <comment ref="A141" authorId="10" shapeId="0" xr:uid="{8C596293-C4B1-5140-A0E0-1604A34772C7}">
      <text>
        <t>[Threaded comment]
Your version of Excel allows you to read this threaded comment; however, any edits to it will get removed if the file is opened in a newer version of Excel. Learn more: https://go.microsoft.com/fwlink/?linkid=870924
Comment:
    - Amortisation of Financing Costs &amp; Premium on Acquired Debt</t>
      </text>
    </comment>
    <comment ref="A142" authorId="11" shapeId="0" xr:uid="{F32A981F-FE91-1D48-B58E-02FCA99101CF}">
      <text>
        <t>[Threaded comment]
Your version of Excel allows you to read this threaded comment; however, any edits to it will get removed if the file is opened in a newer version of Excel. Learn more: https://go.microsoft.com/fwlink/?linkid=870924
Comment:
    - (Gain) Loss on Sale of Real Estate</t>
      </text>
    </comment>
    <comment ref="A153" authorId="12" shapeId="0" xr:uid="{DCD5A04C-AEBB-9244-BE30-6256E4A0AC4B}">
      <text>
        <t>[Threaded comment]
Your version of Excel allows you to read this threaded comment; however, any edits to it will get removed if the file is opened in a newer version of Excel. Learn more: https://go.microsoft.com/fwlink/?linkid=870924
Comment:
    - Purchase on Property &amp; Equipment</t>
      </text>
    </comment>
    <comment ref="A154" authorId="13" shapeId="0" xr:uid="{529F61C2-B84E-DB41-8A22-56607306CCAB}">
      <text>
        <t>[Threaded comment]
Your version of Excel allows you to read this threaded comment; however, any edits to it will get removed if the file is opened in a newer version of Excel. Learn more: https://go.microsoft.com/fwlink/?linkid=870924
Comment:
    - Disposition of Property &amp; Equipment</t>
      </text>
    </comment>
    <comment ref="A157" authorId="14" shapeId="0" xr:uid="{FCD455D4-DBEA-6044-A378-57CE2C827A4C}">
      <text>
        <t>[Threaded comment]
Your version of Excel allows you to read this threaded comment; however, any edits to it will get removed if the file is opened in a newer version of Excel. Learn more: https://go.microsoft.com/fwlink/?linkid=870924
Comment:
    - Capitalised Software</t>
      </text>
    </comment>
    <comment ref="A173" authorId="15" shapeId="0" xr:uid="{2723E6B1-9626-A940-A481-02DC1ABBF8E5}">
      <text>
        <t>[Threaded comment]
Your version of Excel allows you to read this threaded comment; however, any edits to it will get removed if the file is opened in a newer version of Excel. Learn more: https://go.microsoft.com/fwlink/?linkid=870924
Comment:
    Include:
- Debt Repurchase Premium &amp; Expenses
- Debt Issuance Costs
- Proceeds from Non-controlling interests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tc={D0CA91F8-B77A-4747-AF81-4342DD4EAA63}</author>
    <author>tc={71E63F73-A64B-44AB-9777-F0AE74DC469E}</author>
    <author>tc={889891F5-7E7D-4A21-9011-B9AD34328C56}</author>
  </authors>
  <commentList>
    <comment ref="BC15" authorId="0" shapeId="0" xr:uid="{D0CA91F8-B77A-4747-AF81-4342DD4EAA63}">
      <text>
        <t>[Threaded comment]
Your version of Excel allows you to read this threaded comment; however, any edits to it will get removed if the file is opened in a newer version of Excel. Learn more: https://go.microsoft.com/fwlink/?linkid=870924
Comment:
    Sources?</t>
      </text>
    </comment>
    <comment ref="BQ16" authorId="1" shapeId="0" xr:uid="{71E63F73-A64B-44AB-9777-F0AE74DC469E}">
      <text>
        <t>[Threaded comment]
Your version of Excel allows you to read this threaded comment; however, any edits to it will get removed if the file is opened in a newer version of Excel. Learn more: https://go.microsoft.com/fwlink/?linkid=870924
Comment:
    I don’t think they will close that many</t>
      </text>
    </comment>
    <comment ref="BQ18" authorId="2" shapeId="0" xr:uid="{889891F5-7E7D-4A21-9011-B9AD34328C56}">
      <text>
        <t>[Threaded comment]
Your version of Excel allows you to read this threaded comment; however, any edits to it will get removed if the file is opened in a newer version of Excel. Learn more: https://go.microsoft.com/fwlink/?linkid=870924
Comment:
    What’s this?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tc={45AB0230-6865-464B-B566-306696E38637}</author>
    <author>tc={05E88F54-D8A6-4F99-82ED-F9C1C613046F}</author>
    <author>tc={7326A9D9-4E95-4EF2-A8C0-0D83B4654C07}</author>
    <author>tc={CA9EABB3-720D-44DE-A76F-272490CDA4BA}</author>
    <author>tc={C7F31B00-13FF-41C0-A48A-A4A135554483}</author>
    <author>tc={07BCDA46-11FC-41BF-AA70-C8ADC61E521B}</author>
  </authors>
  <commentList>
    <comment ref="C25" authorId="0" shapeId="0" xr:uid="{45AB0230-6865-464B-B566-306696E38637}">
      <text>
        <t>[Threaded comment]
Your version of Excel allows you to read this threaded comment; however, any edits to it will get removed if the file is opened in a newer version of Excel. Learn more: https://go.microsoft.com/fwlink/?linkid=870924
Comment:
    Growth changes from this as a base by +2% per year
Reply:
    Average of 3 year CAGR &amp; simple average growth rate</t>
      </text>
    </comment>
    <comment ref="G27" authorId="1" shapeId="0" xr:uid="{05E88F54-D8A6-4F99-82ED-F9C1C613046F}">
      <text>
        <t>[Threaded comment]
Your version of Excel allows you to read this threaded comment; however, any edits to it will get removed if the file is opened in a newer version of Excel. Learn more: https://go.microsoft.com/fwlink/?linkid=870924
Comment:
    Sudden jump as they will no longer be closing stores</t>
      </text>
    </comment>
    <comment ref="C29" authorId="2" shapeId="0" xr:uid="{7326A9D9-4E95-4EF2-A8C0-0D83B4654C07}">
      <text>
        <t>[Threaded comment]
Your version of Excel allows you to read this threaded comment; however, any edits to it will get removed if the file is opened in a newer version of Excel. Learn more: https://go.microsoft.com/fwlink/?linkid=870924
Comment:
    Growth rates of each segment higher than Base by 1% for Bloom &amp; Blue, set growth to 1% for Macy’s</t>
      </text>
    </comment>
    <comment ref="C36" authorId="3" shapeId="0" xr:uid="{CA9EABB3-720D-44DE-A76F-272490CDA4BA}">
      <text>
        <t>[Threaded comment]
Your version of Excel allows you to read this threaded comment; however, any edits to it will get removed if the file is opened in a newer version of Excel. Learn more: https://go.microsoft.com/fwlink/?linkid=870924
Comment:
    Growth changes from this as a base by +4%, then +2% per year</t>
      </text>
    </comment>
    <comment ref="C42" authorId="4" shapeId="0" xr:uid="{C7F31B00-13FF-41C0-A48A-A4A135554483}">
      <text>
        <t>[Threaded comment]
Your version of Excel allows you to read this threaded comment; however, any edits to it will get removed if the file is opened in a newer version of Excel. Learn more: https://go.microsoft.com/fwlink/?linkid=870924
Comment:
    Growth rates of each segment lower than Base by 1% for Macy’s and 0.5% for B&amp;B</t>
      </text>
    </comment>
    <comment ref="C47" authorId="5" shapeId="0" xr:uid="{07BCDA46-11FC-41BF-AA70-C8ADC61E521B}">
      <text>
        <t>[Threaded comment]
Your version of Excel allows you to read this threaded comment; however, any edits to it will get removed if the file is opened in a newer version of Excel. Learn more: https://go.microsoft.com/fwlink/?linkid=870924
Comment:
    Growth changes from this as a base by +1% only in later years</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<sst xmlns="http://schemas.openxmlformats.org/spreadsheetml/2006/main" count="4061" uniqueCount="968">
  <si>
    <t>Macy's, Inc. (NYSE:"M")</t>
  </si>
  <si>
    <t>Financial Statements (Exported from S&amp;P Cap IQ)</t>
  </si>
  <si>
    <t>Template:</t>
  </si>
  <si>
    <t>Standard</t>
  </si>
  <si>
    <t>Restatement:</t>
  </si>
  <si>
    <t>Latest Filings</t>
  </si>
  <si>
    <t>Period Type:</t>
  </si>
  <si>
    <t>Annual</t>
  </si>
  <si>
    <t>Order:</t>
  </si>
  <si>
    <t>Latest on Right</t>
  </si>
  <si>
    <t>Currency:</t>
  </si>
  <si>
    <t>US Dollar</t>
  </si>
  <si>
    <t>Conversion:</t>
  </si>
  <si>
    <t>Historical</t>
  </si>
  <si>
    <t>Units:</t>
  </si>
  <si>
    <t>Millions (mm)</t>
  </si>
  <si>
    <t>Decimals:</t>
  </si>
  <si>
    <t>Capital IQ (Default)</t>
  </si>
  <si>
    <t>Source:</t>
  </si>
  <si>
    <t>Capital IQ &amp; Proprietary Data</t>
  </si>
  <si>
    <t>Macy's, Inc. (NYSE:M) &gt; Financials &gt; Key Stats</t>
  </si>
  <si>
    <t>In Millions of USD, except per share items.</t>
  </si>
  <si>
    <t> </t>
  </si>
  <si>
    <t>Dilution:</t>
  </si>
  <si>
    <t>Basic</t>
  </si>
  <si>
    <t>Key Financials¹</t>
  </si>
  <si>
    <t>2019A</t>
  </si>
  <si>
    <t>2020A</t>
  </si>
  <si>
    <t>2021A</t>
  </si>
  <si>
    <t>2022A</t>
  </si>
  <si>
    <t>2023A</t>
  </si>
  <si>
    <t>2024A</t>
  </si>
  <si>
    <t>2025A</t>
  </si>
  <si>
    <t>2025E</t>
  </si>
  <si>
    <t xml:space="preserve">For the Fiscal Period Ending
</t>
  </si>
  <si>
    <t>12 months
Feb-02-2019A</t>
  </si>
  <si>
    <t>12 months
Feb-01-2020A</t>
  </si>
  <si>
    <t>12 months
Jan-30-2021A</t>
  </si>
  <si>
    <t>12 months
Jan-29-2022A</t>
  </si>
  <si>
    <t>12 months
Jan-28-2023A</t>
  </si>
  <si>
    <t>12 months
Feb-03-2024A</t>
  </si>
  <si>
    <t>12 months
Feb-01-2025A</t>
  </si>
  <si>
    <t>12 months†
Jan-31-2026E</t>
  </si>
  <si>
    <t>Currency</t>
  </si>
  <si>
    <t>USD</t>
  </si>
  <si>
    <t>Total Revenue</t>
  </si>
  <si>
    <t xml:space="preserve">  Growth Over Prior Year</t>
  </si>
  <si>
    <t>-</t>
  </si>
  <si>
    <t>Gross Profit</t>
  </si>
  <si>
    <t xml:space="preserve">  Margin %</t>
  </si>
  <si>
    <t>EBITDA</t>
  </si>
  <si>
    <t>EBIT</t>
  </si>
  <si>
    <t>Earnings from Cont. Ops.</t>
  </si>
  <si>
    <t>Net Income</t>
  </si>
  <si>
    <t>Diluted EPS Excl. Extra Items³</t>
  </si>
  <si>
    <t>NM</t>
  </si>
  <si>
    <t>Same Store Sales Growth %</t>
  </si>
  <si>
    <t xml:space="preserve"> </t>
  </si>
  <si>
    <t>Exchange Rate</t>
  </si>
  <si>
    <t>Conversion Method</t>
  </si>
  <si>
    <t>H</t>
  </si>
  <si>
    <t>S</t>
  </si>
  <si>
    <t>¹All results are taken from the most recently filed statement for each period. When there has been more than one, earlier filings can be viewed on the individual statement pages.</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</si>
  <si>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</si>
  <si>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</si>
  <si>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</si>
  <si>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Current Capitalization (Millions of USD)</t>
  </si>
  <si>
    <t>Share Price</t>
  </si>
  <si>
    <t>Shares Out.</t>
  </si>
  <si>
    <t>Market Capitalization</t>
  </si>
  <si>
    <t>- Cash &amp; Short Term Investments</t>
  </si>
  <si>
    <t>+ Total Debt</t>
  </si>
  <si>
    <t>+ Pref. Equity</t>
  </si>
  <si>
    <t>+ Total Minority Interest</t>
  </si>
  <si>
    <t>- Long Term Marketable Securities</t>
  </si>
  <si>
    <t>= Total Enterprise Value (TEV)</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</si>
  <si>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</si>
  <si>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</si>
  <si>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</si>
  <si>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</si>
  <si>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</si>
  <si>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</si>
  <si>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</si>
  <si>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</si>
  <si>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2026E</t>
  </si>
  <si>
    <t>2027E</t>
  </si>
  <si>
    <t>2028E</t>
  </si>
  <si>
    <t>12 months
Jan-31-2026E</t>
  </si>
  <si>
    <t>12 months
Jan-31-2027E</t>
  </si>
  <si>
    <t>12 months
Jan-31-2028E</t>
  </si>
  <si>
    <t>TEV/Total Revenue</t>
  </si>
  <si>
    <t>TEV/EBITDA</t>
  </si>
  <si>
    <t>TEV/EBIT</t>
  </si>
  <si>
    <t>P/Diluted EPS Before Extra</t>
  </si>
  <si>
    <t>P/BV</t>
  </si>
  <si>
    <t>Price/Tang BV</t>
  </si>
  <si>
    <t xml:space="preserve">
               </t>
  </si>
  <si>
    <t>FA - Financial Analysis</t>
  </si>
  <si>
    <t>don't have to necessary analyse every formula below:</t>
  </si>
  <si>
    <t>FYs</t>
  </si>
  <si>
    <t>1) Profitability (IS)</t>
  </si>
  <si>
    <t xml:space="preserve">1) Profitability </t>
  </si>
  <si>
    <t xml:space="preserve">Gross Margin </t>
  </si>
  <si>
    <r>
      <t>Gross Margin</t>
    </r>
    <r>
      <rPr>
        <sz val="16"/>
        <color theme="1"/>
        <rFont val="Helvetica Neue"/>
        <family val="2"/>
      </rPr>
      <t xml:space="preserve"> = (Revenue - COGS) / Revenue</t>
    </r>
  </si>
  <si>
    <t>Gross Margin (%)</t>
  </si>
  <si>
    <r>
      <t>Operating Margin</t>
    </r>
    <r>
      <rPr>
        <sz val="16"/>
        <color theme="1"/>
        <rFont val="Helvetica Neue"/>
        <family val="2"/>
      </rPr>
      <t xml:space="preserve"> = Operating Income / Revenue</t>
    </r>
  </si>
  <si>
    <r>
      <t>Net Profit Margin</t>
    </r>
    <r>
      <rPr>
        <sz val="16"/>
        <color theme="1"/>
        <rFont val="Helvetica Neue"/>
        <family val="2"/>
      </rPr>
      <t xml:space="preserve"> = Net Income / Revenue</t>
    </r>
  </si>
  <si>
    <t xml:space="preserve">EBITDA Margin </t>
  </si>
  <si>
    <r>
      <t>Return on Assets (ROA)</t>
    </r>
    <r>
      <rPr>
        <sz val="16"/>
        <color theme="1"/>
        <rFont val="Helvetica Neue"/>
        <family val="2"/>
      </rPr>
      <t xml:space="preserve"> = Net Income / Average Total Assets</t>
    </r>
  </si>
  <si>
    <t>EBITDA Margin (%)</t>
  </si>
  <si>
    <r>
      <t>Return on Equity (ROE)</t>
    </r>
    <r>
      <rPr>
        <sz val="16"/>
        <color theme="1"/>
        <rFont val="Helvetica Neue"/>
        <family val="2"/>
      </rPr>
      <t xml:space="preserve"> = Net Income / Average Shareholders’ Equity</t>
    </r>
  </si>
  <si>
    <r>
      <t>Return on Invested Capital (ROIC)</t>
    </r>
    <r>
      <rPr>
        <sz val="16"/>
        <color theme="1"/>
        <rFont val="Helvetica Neue"/>
        <family val="2"/>
      </rPr>
      <t xml:space="preserve"> = NOPAT / Average Invested Capital</t>
    </r>
  </si>
  <si>
    <t>Net Profit Margin</t>
  </si>
  <si>
    <t>Net Profit Margin (%)</t>
  </si>
  <si>
    <t>2) Liquidity (BS)</t>
  </si>
  <si>
    <t xml:space="preserve">ROA </t>
  </si>
  <si>
    <t>ROE</t>
  </si>
  <si>
    <r>
      <t>Current Ratio</t>
    </r>
    <r>
      <rPr>
        <sz val="16"/>
        <color theme="1"/>
        <rFont val="Helvetica Neue"/>
        <family val="2"/>
      </rPr>
      <t xml:space="preserve"> = Current Assets / Current Liabilities</t>
    </r>
  </si>
  <si>
    <r>
      <t>Quick Ratio</t>
    </r>
    <r>
      <rPr>
        <sz val="16"/>
        <color theme="1"/>
        <rFont val="Helvetica Neue"/>
        <family val="2"/>
      </rPr>
      <t xml:space="preserve"> = (Current Assets - Inventory) / Current Liabilities</t>
    </r>
  </si>
  <si>
    <t xml:space="preserve">2) Liquidity </t>
  </si>
  <si>
    <t>3) Leverage &amp; Solvency (BS)</t>
  </si>
  <si>
    <t>Current Ratio</t>
  </si>
  <si>
    <r>
      <t>Debt-to-Equity</t>
    </r>
    <r>
      <rPr>
        <sz val="16"/>
        <color theme="1"/>
        <rFont val="Helvetica Neue"/>
        <family val="2"/>
      </rPr>
      <t xml:space="preserve"> = Total Debt / Shareholders’ Equity</t>
    </r>
  </si>
  <si>
    <t>Quick Ratio</t>
  </si>
  <si>
    <r>
      <t>Debt-to-Assets</t>
    </r>
    <r>
      <rPr>
        <sz val="16"/>
        <color theme="1"/>
        <rFont val="Helvetica Neue"/>
        <family val="2"/>
      </rPr>
      <t xml:space="preserve"> = Total Debt / Total Assets</t>
    </r>
  </si>
  <si>
    <r>
      <t>Interest Coverage Ratio</t>
    </r>
    <r>
      <rPr>
        <sz val="16"/>
        <color theme="1"/>
        <rFont val="Helvetica Neue"/>
        <family val="2"/>
      </rPr>
      <t xml:space="preserve"> = EBIT / Interest Expense</t>
    </r>
  </si>
  <si>
    <r>
      <t>Debt Service Coverage Ratio (DSCR)</t>
    </r>
    <r>
      <rPr>
        <sz val="16"/>
        <color theme="1"/>
        <rFont val="Helvetica Neue"/>
        <family val="2"/>
      </rPr>
      <t xml:space="preserve"> = EBITDA / Total Debt Service</t>
    </r>
  </si>
  <si>
    <t>3) Leverage &amp; Solvency</t>
  </si>
  <si>
    <t>Debt-to-Equity</t>
  </si>
  <si>
    <t>4) Efficiency (BS &amp; IS)</t>
  </si>
  <si>
    <t>Debt-to-Assets</t>
  </si>
  <si>
    <t>Interest Coverage Ratio</t>
  </si>
  <si>
    <r>
      <t>Asset Turnover</t>
    </r>
    <r>
      <rPr>
        <sz val="16"/>
        <color theme="1"/>
        <rFont val="Helvetica Neue"/>
        <family val="2"/>
      </rPr>
      <t xml:space="preserve"> = Revenue / Average Total Assets</t>
    </r>
  </si>
  <si>
    <t>DSCR</t>
  </si>
  <si>
    <r>
      <t>Inventory Turnover</t>
    </r>
    <r>
      <rPr>
        <sz val="16"/>
        <color theme="1"/>
        <rFont val="Helvetica Neue"/>
        <family val="2"/>
      </rPr>
      <t xml:space="preserve"> = COGS / Average Inventory</t>
    </r>
  </si>
  <si>
    <r>
      <t>Receivables Turnover</t>
    </r>
    <r>
      <rPr>
        <sz val="16"/>
        <color theme="1"/>
        <rFont val="Helvetica Neue"/>
        <family val="2"/>
      </rPr>
      <t xml:space="preserve"> = Revenue / Average Accounts Receivable</t>
    </r>
  </si>
  <si>
    <r>
      <t>Days Sales Outstanding (DSO)</t>
    </r>
    <r>
      <rPr>
        <sz val="16"/>
        <color theme="1"/>
        <rFont val="Helvetica Neue"/>
        <family val="2"/>
      </rPr>
      <t xml:space="preserve"> = (Accounts Receivable / Revenue) × 365</t>
    </r>
  </si>
  <si>
    <r>
      <t>Days Inventory Outstanding (DIO)</t>
    </r>
    <r>
      <rPr>
        <sz val="16"/>
        <color theme="1"/>
        <rFont val="Helvetica Neue"/>
        <family val="2"/>
      </rPr>
      <t xml:space="preserve"> = (Average Inventory / COGS) × 365</t>
    </r>
  </si>
  <si>
    <t>4) Efficiecny</t>
  </si>
  <si>
    <r>
      <t>Cash Conversion Cycle (CCC)</t>
    </r>
    <r>
      <rPr>
        <sz val="16"/>
        <color theme="1"/>
        <rFont val="Helvetica Neue"/>
        <family val="2"/>
      </rPr>
      <t xml:space="preserve"> = DIO + DSO - Days Payables Outstanding (DPO)</t>
    </r>
  </si>
  <si>
    <t>Asset Turnover</t>
  </si>
  <si>
    <t>Inventory Turnover</t>
  </si>
  <si>
    <t>Receivabls Turnover</t>
  </si>
  <si>
    <t>5) Cash Flow Analysis (CFS)</t>
  </si>
  <si>
    <t>Days Sales Outs. (days)</t>
  </si>
  <si>
    <t>Days Sales Outs. (Months)</t>
  </si>
  <si>
    <r>
      <t>Operating Cash Flow (OCF)</t>
    </r>
    <r>
      <rPr>
        <sz val="16"/>
        <color theme="1"/>
        <rFont val="Helvetica Neue"/>
        <family val="2"/>
      </rPr>
      <t xml:space="preserve"> = Cash Flow from Operations</t>
    </r>
  </si>
  <si>
    <r>
      <t>Free Cash Flow (FCF)</t>
    </r>
    <r>
      <rPr>
        <sz val="16"/>
        <color theme="1"/>
        <rFont val="Helvetica Neue"/>
        <family val="2"/>
      </rPr>
      <t xml:space="preserve"> = OCF - Capital Expenditures</t>
    </r>
  </si>
  <si>
    <t>Days Inventory Outs (days)</t>
  </si>
  <si>
    <r>
      <t>FCF Yield</t>
    </r>
    <r>
      <rPr>
        <sz val="16"/>
        <color theme="1"/>
        <rFont val="Helvetica Neue"/>
        <family val="2"/>
      </rPr>
      <t xml:space="preserve"> = FCF / Market Capitalization</t>
    </r>
  </si>
  <si>
    <t>Days Inventory Outs (Months)</t>
  </si>
  <si>
    <r>
      <t>Cash Flow to Debt Ratio</t>
    </r>
    <r>
      <rPr>
        <sz val="16"/>
        <color theme="1"/>
        <rFont val="Helvetica Neue"/>
        <family val="2"/>
      </rPr>
      <t xml:space="preserve"> = OCF / Total Debt</t>
    </r>
  </si>
  <si>
    <t>Days Payables Outs. (days)</t>
  </si>
  <si>
    <t>Days Payables Outs. (Months)</t>
  </si>
  <si>
    <t>Cash Conversion Cycle (CCC)</t>
  </si>
  <si>
    <t>5) Cash Flow Analysis</t>
  </si>
  <si>
    <t>Operating Cash Flow</t>
  </si>
  <si>
    <t xml:space="preserve">Investing Cash Flow </t>
  </si>
  <si>
    <t>Financing Cash Flow</t>
  </si>
  <si>
    <t xml:space="preserve">Free Cash Flow </t>
  </si>
  <si>
    <t>FCF Yield</t>
  </si>
  <si>
    <t>Macy's, Inc. (NYSE:M) &gt; Financial Analysis</t>
  </si>
  <si>
    <t>Don’t have to calculate everything</t>
  </si>
  <si>
    <t xml:space="preserve">FA content
</t>
  </si>
  <si>
    <t>Revenue breakdown analysis</t>
  </si>
  <si>
    <t>Profitability analysis</t>
  </si>
  <si>
    <t xml:space="preserve">Balance sheet </t>
  </si>
  <si>
    <t xml:space="preserve">Cash flow </t>
  </si>
  <si>
    <t xml:space="preserve">1) Profitability
</t>
  </si>
  <si>
    <t>1Q 2019</t>
  </si>
  <si>
    <t>2Q 2019</t>
  </si>
  <si>
    <t>3Q 2019</t>
  </si>
  <si>
    <t>4Q 2019</t>
  </si>
  <si>
    <t>1Q 2020</t>
  </si>
  <si>
    <t>2Q 2020</t>
  </si>
  <si>
    <t>3Q 2020</t>
  </si>
  <si>
    <t>4Q 2020</t>
  </si>
  <si>
    <t>1Q 2021</t>
  </si>
  <si>
    <t>2Q 2021</t>
  </si>
  <si>
    <t>3Q 2021</t>
  </si>
  <si>
    <t>4Q 2021</t>
  </si>
  <si>
    <t>1Q 2022</t>
  </si>
  <si>
    <t>2Q 2022</t>
  </si>
  <si>
    <t>3Q 2022</t>
  </si>
  <si>
    <t>4Q 2022</t>
  </si>
  <si>
    <t>1Q 2023</t>
  </si>
  <si>
    <t>2Q 2023</t>
  </si>
  <si>
    <t>3Q 2023</t>
  </si>
  <si>
    <t>4Q2023</t>
  </si>
  <si>
    <t>1Q 2024</t>
  </si>
  <si>
    <t>2Q 2024</t>
  </si>
  <si>
    <t>3Q 2024</t>
  </si>
  <si>
    <t>4Q2024</t>
  </si>
  <si>
    <t>Currency: USD</t>
  </si>
  <si>
    <t>Revenue</t>
  </si>
  <si>
    <r>
      <t>Gross Margin</t>
    </r>
    <r>
      <rPr>
        <sz val="8"/>
        <color theme="1"/>
        <rFont val="Arial"/>
        <family val="2"/>
      </rPr>
      <t xml:space="preserve"> = (Revenue - COGS) / Revenue</t>
    </r>
  </si>
  <si>
    <r>
      <t>Operating Margin</t>
    </r>
    <r>
      <rPr>
        <sz val="8"/>
        <color theme="1"/>
        <rFont val="Arial"/>
        <family val="2"/>
      </rPr>
      <t xml:space="preserve"> = Operating Income / Revenue</t>
    </r>
  </si>
  <si>
    <r>
      <t>Net Profit Margin</t>
    </r>
    <r>
      <rPr>
        <sz val="8"/>
        <color theme="1"/>
        <rFont val="Arial"/>
        <family val="2"/>
      </rPr>
      <t xml:space="preserve"> = Net Income / Revenue</t>
    </r>
  </si>
  <si>
    <r>
      <rPr>
        <b/>
        <sz val="8"/>
        <color theme="1"/>
        <rFont val="Arial"/>
        <family val="2"/>
      </rPr>
      <t>Return on Assets (ROA)</t>
    </r>
    <r>
      <rPr>
        <sz val="8"/>
        <color theme="1"/>
        <rFont val="Arial"/>
        <family val="2"/>
      </rPr>
      <t xml:space="preserve"> = Net Income / Average Total Assets</t>
    </r>
  </si>
  <si>
    <r>
      <rPr>
        <b/>
        <sz val="8"/>
        <color theme="1"/>
        <rFont val="Arial"/>
        <family val="2"/>
      </rPr>
      <t xml:space="preserve">Return on Equity (ROE) </t>
    </r>
    <r>
      <rPr>
        <sz val="8"/>
        <color theme="1"/>
        <rFont val="Arial"/>
        <family val="2"/>
      </rPr>
      <t>= Net Income / Average Shareholders’ Equity</t>
    </r>
  </si>
  <si>
    <t xml:space="preserve">2) Liquidity
</t>
  </si>
  <si>
    <r>
      <t>Current Ratio</t>
    </r>
    <r>
      <rPr>
        <sz val="8"/>
        <color theme="1"/>
        <rFont val="Arial"/>
        <family val="2"/>
      </rPr>
      <t xml:space="preserve"> = Current Assets / Current Liabilities</t>
    </r>
  </si>
  <si>
    <r>
      <t>Quick Ratio</t>
    </r>
    <r>
      <rPr>
        <sz val="8"/>
        <color theme="1"/>
        <rFont val="Arial"/>
        <family val="2"/>
      </rPr>
      <t xml:space="preserve"> = (Current Assets - Inventory) / Current Liabilities</t>
    </r>
  </si>
  <si>
    <t xml:space="preserve">3) Leverage, Solvency
</t>
  </si>
  <si>
    <r>
      <t>Debt-to-Equity</t>
    </r>
    <r>
      <rPr>
        <sz val="8"/>
        <color theme="1"/>
        <rFont val="Arial"/>
        <family val="2"/>
      </rPr>
      <t xml:space="preserve"> = Total Debt / Shareholders’ Equity</t>
    </r>
  </si>
  <si>
    <r>
      <t>Debt-to-Assets</t>
    </r>
    <r>
      <rPr>
        <sz val="8"/>
        <color theme="1"/>
        <rFont val="Arial"/>
        <family val="2"/>
      </rPr>
      <t xml:space="preserve"> = Total Debt / Total Assets</t>
    </r>
  </si>
  <si>
    <r>
      <t>Interest Coverage Ratio</t>
    </r>
    <r>
      <rPr>
        <sz val="8"/>
        <color theme="1"/>
        <rFont val="Arial"/>
        <family val="2"/>
      </rPr>
      <t xml:space="preserve"> = EBITDA / Interest Expense</t>
    </r>
  </si>
  <si>
    <r>
      <rPr>
        <b/>
        <sz val="8"/>
        <color theme="1"/>
        <rFont val="Arial"/>
        <family val="2"/>
      </rPr>
      <t xml:space="preserve">Debt Service Coverage Ratio (DSCR) </t>
    </r>
    <r>
      <rPr>
        <sz val="8"/>
        <color theme="1"/>
        <rFont val="Arial"/>
        <family val="2"/>
      </rPr>
      <t>= EBITDA / Total Debt Service
Debt service = (Interest + Debt Repayments)</t>
    </r>
  </si>
  <si>
    <t xml:space="preserve">4) Efficiency
</t>
  </si>
  <si>
    <t>4Q 2023</t>
  </si>
  <si>
    <t>4Q 2024</t>
  </si>
  <si>
    <r>
      <rPr>
        <b/>
        <sz val="8"/>
        <color theme="1"/>
        <rFont val="Arial"/>
        <family val="2"/>
      </rPr>
      <t>Asset Turnover</t>
    </r>
    <r>
      <rPr>
        <sz val="8"/>
        <color theme="1"/>
        <rFont val="Arial"/>
        <family val="2"/>
      </rPr>
      <t xml:space="preserve"> = Revenue / Average Total Assets</t>
    </r>
  </si>
  <si>
    <t>Total Assets</t>
  </si>
  <si>
    <r>
      <t>Inventory Turnover</t>
    </r>
    <r>
      <rPr>
        <sz val="8"/>
        <color theme="1"/>
        <rFont val="Arial"/>
        <family val="2"/>
      </rPr>
      <t xml:space="preserve"> = COGS / Average Inventory</t>
    </r>
  </si>
  <si>
    <t>Cost Of Goods Sold</t>
  </si>
  <si>
    <t>Inventory</t>
  </si>
  <si>
    <r>
      <t>Receivables Turnover</t>
    </r>
    <r>
      <rPr>
        <sz val="8"/>
        <color theme="1"/>
        <rFont val="Arial"/>
        <family val="2"/>
      </rPr>
      <t xml:space="preserve"> = Revenue / Average Accounts Receivable</t>
    </r>
  </si>
  <si>
    <t>Accounts Receivables</t>
  </si>
  <si>
    <r>
      <rPr>
        <b/>
        <sz val="8"/>
        <color rgb="FF000000"/>
        <rFont val="Arial"/>
        <family val="2"/>
      </rPr>
      <t>Payables Turnover</t>
    </r>
    <r>
      <rPr>
        <sz val="8"/>
        <color rgb="FF000000"/>
        <rFont val="Arial"/>
        <family val="2"/>
      </rPr>
      <t xml:space="preserve"> = COGS / Average Accounts Payable</t>
    </r>
  </si>
  <si>
    <t>Accounts Payable</t>
  </si>
  <si>
    <r>
      <t>Days Sales Outstanding (DSO)</t>
    </r>
    <r>
      <rPr>
        <sz val="8"/>
        <color theme="1"/>
        <rFont val="Arial"/>
        <family val="2"/>
      </rPr>
      <t xml:space="preserve"> = (Average Accounts Receivable / Revenue) × 365</t>
    </r>
  </si>
  <si>
    <r>
      <t>Days Inventory Outstanding (DIO)</t>
    </r>
    <r>
      <rPr>
        <sz val="8"/>
        <color theme="1"/>
        <rFont val="Arial"/>
        <family val="2"/>
      </rPr>
      <t xml:space="preserve"> = (Average Inventory / COGS) × 365</t>
    </r>
  </si>
  <si>
    <r>
      <rPr>
        <b/>
        <sz val="8"/>
        <color rgb="FF000000"/>
        <rFont val="Arial"/>
        <family val="2"/>
      </rPr>
      <t xml:space="preserve">Days Payables Outstanding (DPO) </t>
    </r>
    <r>
      <rPr>
        <sz val="8"/>
        <color rgb="FF000000"/>
        <rFont val="Arial"/>
        <family val="2"/>
      </rPr>
      <t>= (Average Accounts Payable / COGS) x 365</t>
    </r>
  </si>
  <si>
    <r>
      <t>Cash Conversion Cycle (CCC)</t>
    </r>
    <r>
      <rPr>
        <sz val="8"/>
        <color theme="1"/>
        <rFont val="Arial"/>
        <family val="2"/>
      </rPr>
      <t xml:space="preserve"> = DIO + DSO - Days Payables Outstanding (DPO)</t>
    </r>
  </si>
  <si>
    <t xml:space="preserve">5) Cash Flow Analysis
</t>
  </si>
  <si>
    <t>Operating CF</t>
  </si>
  <si>
    <t>Investing CF</t>
  </si>
  <si>
    <t xml:space="preserve">Financing CF
</t>
  </si>
  <si>
    <r>
      <t>Free Cash Flow (FCF)</t>
    </r>
    <r>
      <rPr>
        <sz val="8"/>
        <color theme="1"/>
        <rFont val="Arial"/>
        <family val="2"/>
      </rPr>
      <t xml:space="preserve"> = OCF - Capital Expenditures</t>
    </r>
  </si>
  <si>
    <r>
      <t>FCF Yield</t>
    </r>
    <r>
      <rPr>
        <sz val="8"/>
        <color theme="1"/>
        <rFont val="Arial"/>
        <family val="2"/>
      </rPr>
      <t xml:space="preserve"> = FCF / Market Capitalization</t>
    </r>
  </si>
  <si>
    <r>
      <t>Cash Flow to Debt Ratio</t>
    </r>
    <r>
      <rPr>
        <sz val="8"/>
        <color theme="1"/>
        <rFont val="Arial"/>
        <family val="2"/>
      </rPr>
      <t xml:space="preserve"> = OCF / Total Debt</t>
    </r>
  </si>
  <si>
    <t>Revenue (US$m)</t>
  </si>
  <si>
    <t>Operating Income (US$m)</t>
  </si>
  <si>
    <t>Operating Margin (%)</t>
  </si>
  <si>
    <t>Debt-to-Equity Ratio</t>
  </si>
  <si>
    <t>Assets</t>
  </si>
  <si>
    <t>Liabilities</t>
  </si>
  <si>
    <t>Debt-to-Assets (%)</t>
  </si>
  <si>
    <t>Debt Service Coverage Ratio</t>
  </si>
  <si>
    <t>Receivables Turnover</t>
  </si>
  <si>
    <r>
      <t>Payables Turnover</t>
    </r>
    <r>
      <rPr>
        <sz val="8"/>
        <color rgb="FF000000"/>
        <rFont val="Arial"/>
        <family val="2"/>
      </rPr>
      <t xml:space="preserve"> </t>
    </r>
  </si>
  <si>
    <t>Days Sales Outstanding (DSO)</t>
  </si>
  <si>
    <t>Days Inventory Outstanding (DIO)</t>
  </si>
  <si>
    <t>Days Payables Outstanding (DPO)</t>
  </si>
  <si>
    <t>Operating</t>
  </si>
  <si>
    <t>Investing</t>
  </si>
  <si>
    <t xml:space="preserve">Financing
</t>
  </si>
  <si>
    <t>Free Cash Flow (FCF)</t>
  </si>
  <si>
    <t xml:space="preserve">6) Revenue Breakdown
</t>
  </si>
  <si>
    <t>a) Revenue Segments Breakdown</t>
  </si>
  <si>
    <t>Product/ Broad Segment</t>
  </si>
  <si>
    <t xml:space="preserve">      Women’s Accessories, Intimate Apparel, Shoes and Cosmetics</t>
  </si>
  <si>
    <t xml:space="preserve">      Men’s and Kids</t>
  </si>
  <si>
    <t xml:space="preserve">      Women’s Apparel</t>
  </si>
  <si>
    <t xml:space="preserve">      Home/Other</t>
  </si>
  <si>
    <t xml:space="preserve">    Credit Card</t>
  </si>
  <si>
    <t xml:space="preserve">    Macy's Media Network</t>
  </si>
  <si>
    <t xml:space="preserve">b) Revenue Channels Proportion </t>
  </si>
  <si>
    <t>Macy's, Inc. (NYSE:M) &gt; Financials &gt; 3 Financial Statements</t>
  </si>
  <si>
    <t>Income Statement</t>
  </si>
  <si>
    <t>Other Revenue</t>
  </si>
  <si>
    <t>Year end adjustments</t>
  </si>
  <si>
    <t xml:space="preserve">  Total Revenue</t>
  </si>
  <si>
    <t xml:space="preserve">  Gross Profit</t>
  </si>
  <si>
    <t>Selling General &amp; Admin Exp.</t>
  </si>
  <si>
    <t>R &amp; D Exp.</t>
  </si>
  <si>
    <t>Depreciation &amp; Amort.</t>
  </si>
  <si>
    <t>Other Operating Expense/(Income)</t>
  </si>
  <si>
    <t>Year-end Adjustments</t>
  </si>
  <si>
    <t xml:space="preserve">  Other Operating Exp., Total</t>
  </si>
  <si>
    <t xml:space="preserve">  Operating Income (EBITDA)</t>
  </si>
  <si>
    <t>Interest Expense</t>
  </si>
  <si>
    <t>Interest and Invest. Income</t>
  </si>
  <si>
    <t>Year-end adjustments</t>
  </si>
  <si>
    <t xml:space="preserve">  Net Interest Exp.</t>
  </si>
  <si>
    <t>Other Non-Operating Inc. (Exp.)</t>
  </si>
  <si>
    <t xml:space="preserve">  EBT Excl. Unusual Items</t>
  </si>
  <si>
    <t>Restructuring Charges</t>
  </si>
  <si>
    <t>Impairment of Goodwill</t>
  </si>
  <si>
    <t>Gain (Loss) On Sale Of Assets</t>
  </si>
  <si>
    <t>Asset Writedown</t>
  </si>
  <si>
    <t>Gain (Loss) on Early Retirement of Debt</t>
  </si>
  <si>
    <t>Settlement Charges</t>
  </si>
  <si>
    <t xml:space="preserve">  EBT Incl. Unusual Items</t>
  </si>
  <si>
    <t>Income Tax Expense</t>
  </si>
  <si>
    <t xml:space="preserve">  Net Income to Company</t>
  </si>
  <si>
    <t>Minority Int. in Earnings</t>
  </si>
  <si>
    <t xml:space="preserve">  Net Income</t>
  </si>
  <si>
    <t>Basic EPS</t>
  </si>
  <si>
    <t>Weighted Avg. Basic Shares Out.</t>
  </si>
  <si>
    <t>Diluted EPS</t>
  </si>
  <si>
    <t>Weighted Avg. Diluted Shares Out.</t>
  </si>
  <si>
    <t>Balance Sheet</t>
  </si>
  <si>
    <t>ASSETS</t>
  </si>
  <si>
    <t>Cash And Equivalents</t>
  </si>
  <si>
    <t xml:space="preserve">  Total Cash &amp; ST Investments</t>
  </si>
  <si>
    <t>Accounts Receivable</t>
  </si>
  <si>
    <t>Other Receivables</t>
  </si>
  <si>
    <t xml:space="preserve">  Total Receivables</t>
  </si>
  <si>
    <t>Prepaid Exp.</t>
  </si>
  <si>
    <t>Restricted Cash</t>
  </si>
  <si>
    <t>Other Current Assets</t>
  </si>
  <si>
    <t xml:space="preserve">  Total Current Assets</t>
  </si>
  <si>
    <t>Gross Property, Plant &amp; Equipment</t>
  </si>
  <si>
    <t>Accumulated Depreciation</t>
  </si>
  <si>
    <t xml:space="preserve">  Net Property, Plant &amp; Equipment</t>
  </si>
  <si>
    <t>Goodwill</t>
  </si>
  <si>
    <t>Other Intangibles</t>
  </si>
  <si>
    <t>Other Long-Term Assets</t>
  </si>
  <si>
    <t xml:space="preserve">  Total Non-Current Assets</t>
  </si>
  <si>
    <t>LIABILITIES</t>
  </si>
  <si>
    <t>Accrued Exp.</t>
  </si>
  <si>
    <t>Short-term Borrowings</t>
  </si>
  <si>
    <t>Curr. Port. of LT Debt</t>
  </si>
  <si>
    <t>Curr. Port. of Leases</t>
  </si>
  <si>
    <t>Curr. Income Taxes Payable</t>
  </si>
  <si>
    <t>Unearned Revenue, Current</t>
  </si>
  <si>
    <t>Other Current Liabilities</t>
  </si>
  <si>
    <t xml:space="preserve">  Total Current Liabilities</t>
  </si>
  <si>
    <t>Long-Term Debt</t>
  </si>
  <si>
    <t>Long-Term Leases</t>
  </si>
  <si>
    <t>Pension &amp; Other Post-Retirement Benefits</t>
  </si>
  <si>
    <t>Def. Tax Liability, Non-Curr.</t>
  </si>
  <si>
    <t>Other Non-Current Liabilities</t>
  </si>
  <si>
    <t xml:space="preserve">  Total Non-Current Liabilities</t>
  </si>
  <si>
    <t>Total Liabilities</t>
  </si>
  <si>
    <t>Common Stock</t>
  </si>
  <si>
    <t>Additional Paid In Capital</t>
  </si>
  <si>
    <t>Retained Earnings</t>
  </si>
  <si>
    <t>Treasury Stock</t>
  </si>
  <si>
    <t>Comprehensive Inc. and Other</t>
  </si>
  <si>
    <t xml:space="preserve">  Total Common Equity</t>
  </si>
  <si>
    <t>Minority Interest</t>
  </si>
  <si>
    <t>Total Equity</t>
  </si>
  <si>
    <t>Total Liabilities And Equity</t>
  </si>
  <si>
    <t>Check: A = L + E?</t>
  </si>
  <si>
    <t>Cash Flow Statement</t>
  </si>
  <si>
    <t>Depreciation &amp; Amort., Total</t>
  </si>
  <si>
    <t>Other Amortization</t>
  </si>
  <si>
    <t>(Gain) Loss From Sale Of Assets</t>
  </si>
  <si>
    <t>Asset Writedown &amp; Restructuring Costs</t>
  </si>
  <si>
    <t>Stock-Based Compensation</t>
  </si>
  <si>
    <t>Other Operating Activities</t>
  </si>
  <si>
    <t>Change in Acc. Receivable</t>
  </si>
  <si>
    <t>Change In Inventories</t>
  </si>
  <si>
    <t>Change in Acc. Payable</t>
  </si>
  <si>
    <t>Change in Inc. Taxes</t>
  </si>
  <si>
    <t>Change in Other Net Operating Assets</t>
  </si>
  <si>
    <t xml:space="preserve">  Cash Flow from Operating</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</si>
  <si>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</si>
  <si>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</si>
  <si>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</si>
  <si>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</si>
  <si>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</si>
  <si>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</si>
  <si>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</si>
  <si>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</si>
  <si>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Flow from Investing</t>
  </si>
  <si>
    <t>Total Debt Issued</t>
  </si>
  <si>
    <t>Total Debt Repaid</t>
  </si>
  <si>
    <t>Issuance of Common Stock</t>
  </si>
  <si>
    <t>Repurchase of Common Stock</t>
  </si>
  <si>
    <t>Common Dividends Paid</t>
  </si>
  <si>
    <t>Total Dividends Paid</t>
  </si>
  <si>
    <t>Special Dividend Paid</t>
  </si>
  <si>
    <t>Other Financing Activities</t>
  </si>
  <si>
    <t xml:space="preserve">  Cash Flow from Financing</t>
  </si>
  <si>
    <t xml:space="preserve">  Net Change in Cash</t>
  </si>
  <si>
    <t>HISTORICAL</t>
  </si>
  <si>
    <t>FORECASTED</t>
  </si>
  <si>
    <t>Average useful life</t>
  </si>
  <si>
    <t>19Q1</t>
  </si>
  <si>
    <t>19Q2</t>
  </si>
  <si>
    <t>19Q3</t>
  </si>
  <si>
    <t>19Q4</t>
  </si>
  <si>
    <t>20Q1</t>
  </si>
  <si>
    <t>20Q2</t>
  </si>
  <si>
    <t>20Q3</t>
  </si>
  <si>
    <t>20Q4</t>
  </si>
  <si>
    <t>21Q1</t>
  </si>
  <si>
    <t>21Q2</t>
  </si>
  <si>
    <t>21Q3</t>
  </si>
  <si>
    <t>21Q4</t>
  </si>
  <si>
    <t>22Q1</t>
  </si>
  <si>
    <t>22Q2</t>
  </si>
  <si>
    <t>22Q3</t>
  </si>
  <si>
    <t>22Q4</t>
  </si>
  <si>
    <t>23Q1</t>
  </si>
  <si>
    <t>23Q2</t>
  </si>
  <si>
    <t>23Q3</t>
  </si>
  <si>
    <t>23Q4</t>
  </si>
  <si>
    <t>24Q1</t>
  </si>
  <si>
    <t>24Q2</t>
  </si>
  <si>
    <t>24Q3</t>
  </si>
  <si>
    <t>24Q4</t>
  </si>
  <si>
    <t>25Q1</t>
  </si>
  <si>
    <t>25Q2</t>
  </si>
  <si>
    <t>25Q3</t>
  </si>
  <si>
    <t>25Q4</t>
  </si>
  <si>
    <t>26Q1</t>
  </si>
  <si>
    <t>26Q2</t>
  </si>
  <si>
    <t>26Q3</t>
  </si>
  <si>
    <t>26Q4</t>
  </si>
  <si>
    <t>2027Q1</t>
  </si>
  <si>
    <t>2027Q2</t>
  </si>
  <si>
    <t>2027Q3</t>
  </si>
  <si>
    <t>2027Q4</t>
  </si>
  <si>
    <t>2028Q1</t>
  </si>
  <si>
    <t>2028Q2</t>
  </si>
  <si>
    <t>2028Q3</t>
  </si>
  <si>
    <t>2028Q4</t>
  </si>
  <si>
    <t>2029Q1</t>
  </si>
  <si>
    <t>2029Q2</t>
  </si>
  <si>
    <t>2029Q3</t>
  </si>
  <si>
    <t>2029Q4</t>
  </si>
  <si>
    <t>2029E</t>
  </si>
  <si>
    <t>CAPEX</t>
  </si>
  <si>
    <t>USD'm</t>
  </si>
  <si>
    <t>% change in CAPEX</t>
  </si>
  <si>
    <t>%</t>
  </si>
  <si>
    <t>PPE</t>
  </si>
  <si>
    <t>Beginning PPE</t>
  </si>
  <si>
    <t>Additions: CAPEX</t>
  </si>
  <si>
    <t>Additions / (subtractions) in other CAPEX</t>
  </si>
  <si>
    <t>Depreciation of existing PPE</t>
  </si>
  <si>
    <t>Depreciation of new CAPEX:</t>
  </si>
  <si>
    <t>Total depreciation of new CAPEX</t>
  </si>
  <si>
    <t>Total depreciation</t>
  </si>
  <si>
    <t>Closing PPE</t>
  </si>
  <si>
    <t>Count</t>
  </si>
  <si>
    <t>Locations</t>
  </si>
  <si>
    <t>Macy's Department Stores</t>
  </si>
  <si>
    <t>Macy's Furniture</t>
  </si>
  <si>
    <t>Macy's Furniture Clearance</t>
  </si>
  <si>
    <t>Freestanding Backstage*</t>
  </si>
  <si>
    <t>Macy's Small Format</t>
  </si>
  <si>
    <t>Stores converted to Fulfillment Centers</t>
  </si>
  <si>
    <t>Total Macy's</t>
  </si>
  <si>
    <t>Bloomingdale's Department Stores</t>
  </si>
  <si>
    <t>Bloomie's</t>
  </si>
  <si>
    <t>Bloomingdale's Furniture/Other</t>
  </si>
  <si>
    <t>Bloomingdale's The Outlet</t>
  </si>
  <si>
    <t>Total Bloomingdale's</t>
  </si>
  <si>
    <t>Bluemercury</t>
  </si>
  <si>
    <t>Total Macy's, Inc.</t>
  </si>
  <si>
    <t>Cost Schedule</t>
  </si>
  <si>
    <t xml:space="preserve">Assumptions </t>
  </si>
  <si>
    <t>Units</t>
  </si>
  <si>
    <t>27Q1</t>
  </si>
  <si>
    <t>27Q2</t>
  </si>
  <si>
    <t>27Q3</t>
  </si>
  <si>
    <t>27Q4</t>
  </si>
  <si>
    <t>Please add all the assumption here (ex- projected sg&amp;a as a % of sales</t>
  </si>
  <si>
    <t xml:space="preserve">Cost of sales : Base case 61.6% , Bull : 61.3% , Bear : 61.8% (the extra % is cos of π) </t>
  </si>
  <si>
    <t xml:space="preserve">Total Revenue </t>
  </si>
  <si>
    <t>YoY Growth %</t>
  </si>
  <si>
    <t xml:space="preserve">Cost of sales </t>
  </si>
  <si>
    <t xml:space="preserve">COGS Margin </t>
  </si>
  <si>
    <t>Gross Margin</t>
  </si>
  <si>
    <t xml:space="preserve">Operating Expense </t>
  </si>
  <si>
    <t>SG&amp;A</t>
  </si>
  <si>
    <t xml:space="preserve">Impairment, Restructing and other costs </t>
  </si>
  <si>
    <t>Marketing Expense</t>
  </si>
  <si>
    <t>Revenue Schedule</t>
  </si>
  <si>
    <t xml:space="preserve"> Base Case (Old)</t>
  </si>
  <si>
    <t>Projected Revenue Schedule</t>
  </si>
  <si>
    <t>MACY'S MARKET SHARE</t>
  </si>
  <si>
    <t>Industry</t>
  </si>
  <si>
    <t xml:space="preserve">YoY Growth rate </t>
  </si>
  <si>
    <t>EXPECTED SEGMENT GROWTH FROM MACY NEWS AND REPORTS</t>
  </si>
  <si>
    <t>2019</t>
  </si>
  <si>
    <t>2020</t>
  </si>
  <si>
    <t>2021</t>
  </si>
  <si>
    <t>2022</t>
  </si>
  <si>
    <t>2023</t>
  </si>
  <si>
    <t>2024</t>
  </si>
  <si>
    <t>2025</t>
  </si>
  <si>
    <t>2026</t>
  </si>
  <si>
    <t>2027</t>
  </si>
  <si>
    <t>2028</t>
  </si>
  <si>
    <t>Total Revenue (USD)</t>
  </si>
  <si>
    <t>Accesesories</t>
  </si>
  <si>
    <t>2-3%</t>
  </si>
  <si>
    <t>no of stores</t>
  </si>
  <si>
    <t>YoY Revenue Growth %</t>
  </si>
  <si>
    <t>wOMEN apparel</t>
  </si>
  <si>
    <t>1-2%</t>
  </si>
  <si>
    <t>G rate in stores</t>
  </si>
  <si>
    <t>Segmented Revenue</t>
  </si>
  <si>
    <t>men apparel</t>
  </si>
  <si>
    <t>share of home</t>
  </si>
  <si>
    <t>Women’s Accessories, Shoes, Cosmetics and Fragrances</t>
  </si>
  <si>
    <t>home</t>
  </si>
  <si>
    <t>Women’s Apparel</t>
  </si>
  <si>
    <t>Men’s and Kids’</t>
  </si>
  <si>
    <t>G OF PREV YEAR</t>
  </si>
  <si>
    <t xml:space="preserve">Home/Other </t>
  </si>
  <si>
    <t>APPAREL Women</t>
  </si>
  <si>
    <t>APPAREL Men</t>
  </si>
  <si>
    <t>Home</t>
  </si>
  <si>
    <t>q1</t>
  </si>
  <si>
    <t>q2</t>
  </si>
  <si>
    <t>q3</t>
  </si>
  <si>
    <t>q4</t>
  </si>
  <si>
    <t>Total Net Sales</t>
  </si>
  <si>
    <t>5 year CAGR quaterly</t>
  </si>
  <si>
    <t>other revenue</t>
  </si>
  <si>
    <t xml:space="preserve">5 year CAGR </t>
  </si>
  <si>
    <t>Working Capital Schedule</t>
  </si>
  <si>
    <t>Inputs</t>
  </si>
  <si>
    <t>Days in Year</t>
  </si>
  <si>
    <t>Total COGS</t>
  </si>
  <si>
    <t>s</t>
  </si>
  <si>
    <t>Current Assets</t>
  </si>
  <si>
    <t xml:space="preserve">Accounts Recievables </t>
  </si>
  <si>
    <t>Days recievable</t>
  </si>
  <si>
    <t xml:space="preserve">Inventories </t>
  </si>
  <si>
    <t xml:space="preserve">Inventory turnover days </t>
  </si>
  <si>
    <t xml:space="preserve">Prepaid expenses and other </t>
  </si>
  <si>
    <t>Days prepaid</t>
  </si>
  <si>
    <t xml:space="preserve">Total Current assets </t>
  </si>
  <si>
    <t>Current Liabilities</t>
  </si>
  <si>
    <t xml:space="preserve">Days Payable </t>
  </si>
  <si>
    <t xml:space="preserve">Accrued Expense </t>
  </si>
  <si>
    <t xml:space="preserve">Days Accrued </t>
  </si>
  <si>
    <t>Unearned Revenue ( Current)</t>
  </si>
  <si>
    <t xml:space="preserve">Days Unearned Revenue </t>
  </si>
  <si>
    <t xml:space="preserve">Total Current Liabilities </t>
  </si>
  <si>
    <t>Change in NOWC</t>
  </si>
  <si>
    <t>Depreciation &amp; Amortisation Schedule</t>
  </si>
  <si>
    <t>Assumptions:</t>
  </si>
  <si>
    <t>Useful life of all assets</t>
  </si>
  <si>
    <t>% change in terminal year CAPEX</t>
  </si>
  <si>
    <t>PPE at end of 23A</t>
  </si>
  <si>
    <t>2024E</t>
  </si>
  <si>
    <t>Scenario</t>
  </si>
  <si>
    <t>1, 2 or 3</t>
  </si>
  <si>
    <t>Macy's, Inc. (NYSE:M) &gt; Financials &gt; Balance Sheet</t>
  </si>
  <si>
    <t>Pension &amp; Other Post-Retire. Benefits</t>
  </si>
  <si>
    <t>Overall Stores</t>
  </si>
  <si>
    <t>Growth</t>
  </si>
  <si>
    <t>Proportion</t>
  </si>
  <si>
    <t>^Growth is go-forward growth of 2024</t>
  </si>
  <si>
    <t>MG's O+L+M</t>
  </si>
  <si>
    <t>Blo's O+L+M</t>
  </si>
  <si>
    <t>Blue's O</t>
  </si>
  <si>
    <t>Target</t>
  </si>
  <si>
    <t>Stores</t>
  </si>
  <si>
    <t>M's Total</t>
  </si>
  <si>
    <t>Blo's Total</t>
  </si>
  <si>
    <t>Blu's Total</t>
  </si>
  <si>
    <t xml:space="preserve"> Base</t>
  </si>
  <si>
    <t>Macy's</t>
  </si>
  <si>
    <t>Bloomingdale</t>
  </si>
  <si>
    <t>BlueMercury</t>
  </si>
  <si>
    <t>Other Revenue Growth %</t>
  </si>
  <si>
    <t>Bull</t>
  </si>
  <si>
    <t>Bear</t>
  </si>
  <si>
    <t>WACC &amp; Inputs</t>
  </si>
  <si>
    <t xml:space="preserve">Terminal Growth Rate assumptions </t>
  </si>
  <si>
    <t xml:space="preserve">Shares Outstanding </t>
  </si>
  <si>
    <t>Fisher Equation = 2.18% +2.9% = 5.08%</t>
  </si>
  <si>
    <t>(taken the average over the past 10 years (ignored outliers)</t>
  </si>
  <si>
    <t>Marginal tax rate</t>
  </si>
  <si>
    <t>Total debt (in millions)</t>
  </si>
  <si>
    <t>Market cap (in millions)</t>
  </si>
  <si>
    <t>Market D/E ratio</t>
  </si>
  <si>
    <t>Equity beta</t>
  </si>
  <si>
    <t>Market risk premium</t>
  </si>
  <si>
    <t>Risk free rate</t>
  </si>
  <si>
    <t>Cost of equity</t>
  </si>
  <si>
    <t>0.8 to 1.2</t>
  </si>
  <si>
    <t>Cost of debt</t>
  </si>
  <si>
    <t xml:space="preserve">2-4 percent </t>
  </si>
  <si>
    <t>Cost of debt (after tax)</t>
  </si>
  <si>
    <t>WACC</t>
  </si>
  <si>
    <t xml:space="preserve">Free Cash Flow (FCF) </t>
  </si>
  <si>
    <t>Term</t>
  </si>
  <si>
    <t>Assumptions</t>
  </si>
  <si>
    <t>Valuation date</t>
  </si>
  <si>
    <t>Terminal Growth</t>
  </si>
  <si>
    <t>FCFF</t>
  </si>
  <si>
    <t>Tax on EBIT</t>
  </si>
  <si>
    <t>Tax rate</t>
  </si>
  <si>
    <t>NOPAT</t>
  </si>
  <si>
    <t>Depreciation and amortisation</t>
  </si>
  <si>
    <t>Change in net working capital</t>
  </si>
  <si>
    <t>Terminal Value</t>
  </si>
  <si>
    <t>Free Cash Flow to Firm (FCFF)</t>
  </si>
  <si>
    <t xml:space="preserve">Discounted Cash Flow Total Valuation </t>
  </si>
  <si>
    <t>Perpetuity Method</t>
  </si>
  <si>
    <t>Total of Present Value of Cash Flows</t>
  </si>
  <si>
    <t>Unadjusted Cash Flow</t>
  </si>
  <si>
    <t>Present Value of Terminal Value</t>
  </si>
  <si>
    <t>Discrete forecast</t>
  </si>
  <si>
    <t>Total Enterprise Value</t>
  </si>
  <si>
    <t>Terminal value</t>
  </si>
  <si>
    <t>Net Debt, Non-controlling interests, preferred securities</t>
  </si>
  <si>
    <t>Total Cash Flow</t>
  </si>
  <si>
    <t>Equity Value</t>
  </si>
  <si>
    <t>Share Count (millions)</t>
  </si>
  <si>
    <t>Estimated Equity Value per Share</t>
  </si>
  <si>
    <t>Discounted Cash Flow</t>
  </si>
  <si>
    <t>Years for discounting</t>
  </si>
  <si>
    <t xml:space="preserve">Total NPV </t>
  </si>
  <si>
    <t>TWO STAGE MODEL (H MODEL)</t>
  </si>
  <si>
    <t xml:space="preserve">High Growth </t>
  </si>
  <si>
    <t xml:space="preserve">Long term Stable growth </t>
  </si>
  <si>
    <t xml:space="preserve">H </t>
  </si>
  <si>
    <t xml:space="preserve">Not a stable firm , </t>
  </si>
  <si>
    <t>Free Cash Flow (Terminal Multiples)</t>
  </si>
  <si>
    <t>Terminal Multiple (EV/EBITDA)</t>
  </si>
  <si>
    <t>Terminal Multiple (EV/Sales)</t>
  </si>
  <si>
    <t>Terminal Multiple (EV/EBIT)</t>
  </si>
  <si>
    <t>EBITDA (Term)</t>
  </si>
  <si>
    <t>Sales (Term)</t>
  </si>
  <si>
    <t>EBIT (Term)</t>
  </si>
  <si>
    <t>Unadjusted Cash Flow (EV/EBITDA)</t>
  </si>
  <si>
    <t>Unadjusted Cash Flow (EV/Sales)</t>
  </si>
  <si>
    <t>Unadjusted Cash Flow (EV/EBIT)</t>
  </si>
  <si>
    <t>Macy's, Inc. (NYSE:M) &gt; Financials &gt; Income Statement</t>
  </si>
  <si>
    <t>Projected</t>
  </si>
  <si>
    <t>1Q 2025</t>
  </si>
  <si>
    <t>2Q2025</t>
  </si>
  <si>
    <t>3Q2025</t>
  </si>
  <si>
    <t>4Q2025</t>
  </si>
  <si>
    <t>1Q2026</t>
  </si>
  <si>
    <t>2Q2026</t>
  </si>
  <si>
    <t>3Q2026</t>
  </si>
  <si>
    <t>4Q2026</t>
  </si>
  <si>
    <t>1Q2027</t>
  </si>
  <si>
    <t>2Q2027</t>
  </si>
  <si>
    <t>3Q2027</t>
  </si>
  <si>
    <t>4Q2027</t>
  </si>
  <si>
    <t>1Q2028</t>
  </si>
  <si>
    <t>2Q2028</t>
  </si>
  <si>
    <t>3Q2028</t>
  </si>
  <si>
    <t>4Q2028</t>
  </si>
  <si>
    <t>1Q2029</t>
  </si>
  <si>
    <t>2Q2029</t>
  </si>
  <si>
    <t>3Q2029</t>
  </si>
  <si>
    <t>4Q2029</t>
  </si>
  <si>
    <t>2026A</t>
  </si>
  <si>
    <t>2027A</t>
  </si>
  <si>
    <t>2028A</t>
  </si>
  <si>
    <t>2029A</t>
  </si>
  <si>
    <t xml:space="preserve">  Operating Income</t>
  </si>
  <si>
    <r>
      <t xml:space="preserve">Other Unusual Items, </t>
    </r>
    <r>
      <rPr>
        <i/>
        <sz val="8"/>
        <color rgb="FF000000"/>
        <rFont val="Arial"/>
        <family val="2"/>
      </rPr>
      <t>incl Gain/ Loss on Early retirement of Debt Settlement Charges</t>
    </r>
  </si>
  <si>
    <t>Macy's, Inc. (NYSE:M) &gt; Financials &gt; Cash Flow Statement</t>
  </si>
  <si>
    <t>Company Name</t>
  </si>
  <si>
    <t>LTM EV/Revenue</t>
  </si>
  <si>
    <t>LTM EV/ EBITDA</t>
  </si>
  <si>
    <t>LTM/ EBIT</t>
  </si>
  <si>
    <t xml:space="preserve">NTM EV/Forward Revenue </t>
  </si>
  <si>
    <t xml:space="preserve">NTM EV/ EBITDA </t>
  </si>
  <si>
    <t>The TJX Companies, Inc. (NYSE:TJX)</t>
  </si>
  <si>
    <t>Kohl's Corporation (NYSE:KSS)</t>
  </si>
  <si>
    <t>The Gap, Inc. (NYSE:GAP)</t>
  </si>
  <si>
    <t>Nordstrom, Inc. (NYSE:JWN)</t>
  </si>
  <si>
    <t>Dillard's, Inc. (NYSE:DDS)</t>
  </si>
  <si>
    <t>Macy's, Inc. (NYSE:M)</t>
  </si>
  <si>
    <t>Mean</t>
  </si>
  <si>
    <t>Median</t>
  </si>
  <si>
    <t>25th quartile</t>
  </si>
  <si>
    <t>75th quartile</t>
  </si>
  <si>
    <t>LTM EPS</t>
  </si>
  <si>
    <t>Stock Price 
(as of 26/3/2025)</t>
  </si>
  <si>
    <t>LTM P/E</t>
  </si>
  <si>
    <t>NTM Forward P/E</t>
  </si>
  <si>
    <t>5 Year Beta</t>
  </si>
  <si>
    <t>Macy's, Inc. (NYSE:M) &gt;  Quick Comparable Analysis &gt; Business Description</t>
  </si>
  <si>
    <t>Details</t>
  </si>
  <si>
    <t>Capital IQ Default Comps</t>
  </si>
  <si>
    <t>As-Of Date:</t>
  </si>
  <si>
    <t>Company Comp Set</t>
  </si>
  <si>
    <t>Business Description</t>
  </si>
  <si>
    <t>Headquarters</t>
  </si>
  <si>
    <t>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t>
  </si>
  <si>
    <t>770 Cochituate Road, Framingham, Massachusetts, 01701, United States</t>
  </si>
  <si>
    <t>Kohl's Corporation operates as an omnichannel retailer in the United States. It offers branded apparel, footwear, accessories, beauty, and home products through its stores and website. The company provides its products primarily under the brand names of Apt. 9, Croft &amp; Barrow, Jumping Beans, SO, Sonoma Goods for Life, and Tek Gear, as well as LC Lauren Conrad, Nine West, and Simply Vera Vera Wang. Kohl's Corporation was founded in 1988 and is headquartered in Menomonee Falls, Wisconsin.</t>
  </si>
  <si>
    <t>N56 W17000 Ridgewood Drive, Menomonee Falls, Wisconsin, 53051, United States</t>
  </si>
  <si>
    <t>The Gap, Inc. operates as an apparel retail company. The company offers apparel, accessories, and personal care products for men, women, and children under the Old Navy, Gap, Banana Republic, and Athleta brands. Its products include adult apparel and accessories; and lifestyle products for use in yoga, training, travel, and recovery activities for women and girls. The company offers its products through company-operated stores, franchise stores, websites, and third-party arrangements, as well as licensing partnerships. It has franchise agreements to operate Old Navy, Gap, Banana Republic, and Athleta in Asia, Europe, Latin America, the Middle East, and Africa. The Gap, Inc. was incorporated in 1969 and is headquartered in San Francisco, California.</t>
  </si>
  <si>
    <t>Two Folsom Street, San Francisco, California, 94105, United States</t>
  </si>
  <si>
    <t>Nordstrom, Inc. operates as a fashion retailer in the United States. The company provides apparel, shoes, beauty, accessories, and home goods for women, men, young adults, and children. It also offers a range of third-party and private-label merchandise through various channels, such as Nordstrom stores, and Nordstrom.com website and mobile application; Nordstrom Rack stores; Nordstrom Locals; NordstromRack.com website and mobile application; and clearance stores under the Last Chance name. Nordstrom, Inc. was founded in 1901 and is headquartered in Seattle, Washington.</t>
  </si>
  <si>
    <t>1617 Sixth Avenue, Seattle, Washington, 98101-1707, United States</t>
  </si>
  <si>
    <t>Dillard's, Inc. operates retail department stores in the southeastern, southwestern, and midwestern areas of the United States. The company’s stores offer merchandise, including fashion apparel for women, men, and children; and accessories, cosmetics, home furnishings, and other consumer goods. It also engages in the general contracting construction activities. Dillard's, Inc. was founded in 1938 and is based in Little Rock, Arkansas.</t>
  </si>
  <si>
    <t>1600 Cantrell Road, Little Rock, Arkansas, 72201, United States</t>
  </si>
  <si>
    <t>Macy's, Inc., an omni-channel retail organization, operates stores, websites, and mobile applications in the United States. It sells a range of merchandise, such as apparel and accessories for men, women, and kids; cosmetics; home furnishings; and other consumer goods under the Macy's, Bloomingdale's, and Bluemercury brands. The company also operates in Dubai, the United Arab Emirates, and Al Zahra, Kuwait under the license agreements. The company was formerly known as Federated Department Stores, Inc. and changed its name to Macy's, Inc. in June 2007. Macy's, Inc. was founded in 1830 and is based in New York, New York.</t>
  </si>
  <si>
    <t>151 West 34th Street, New York, New York, 10001, United States</t>
  </si>
  <si>
    <t>Displaying 64 Companies.</t>
  </si>
  <si>
    <t>Values converted at today's spot rate.</t>
  </si>
  <si>
    <t>Companies by default are sorted by S&amp;P Capital IQ’s proprietary relevancy score.</t>
  </si>
  <si>
    <t>Historical Equity Pricing Data supplied by Interactive Data Pricing and Reference Data LLC</t>
  </si>
  <si>
    <t>Macy's Inc (M US) - By Measure</t>
  </si>
  <si>
    <t>In Millions of USD except Per Share</t>
  </si>
  <si>
    <t>FY 2016</t>
  </si>
  <si>
    <t>FY 2017</t>
  </si>
  <si>
    <t>FY 2018</t>
  </si>
  <si>
    <t>FY 2019</t>
  </si>
  <si>
    <t>FY 2020</t>
  </si>
  <si>
    <t>FY 2021</t>
  </si>
  <si>
    <t>FY 2022</t>
  </si>
  <si>
    <t>FY 2023</t>
  </si>
  <si>
    <t>FY 2024</t>
  </si>
  <si>
    <t>FY 2025</t>
  </si>
  <si>
    <t>12 Months Ending</t>
  </si>
  <si>
    <t>01/30/2016</t>
  </si>
  <si>
    <t>01/28/2017</t>
  </si>
  <si>
    <t>02/03/2018</t>
  </si>
  <si>
    <t>02/02/2019</t>
  </si>
  <si>
    <t>02/01/2020</t>
  </si>
  <si>
    <t>01/30/2021</t>
  </si>
  <si>
    <t>01/29/2022</t>
  </si>
  <si>
    <t>01/28/2023</t>
  </si>
  <si>
    <t>02/03/2024</t>
  </si>
  <si>
    <t>02/01/2025</t>
  </si>
  <si>
    <t xml:space="preserve">  Non Credit Card</t>
  </si>
  <si>
    <t xml:space="preserve">    Women’s Accessories, Intimate Apparel, Shoes and Cosmetics</t>
  </si>
  <si>
    <t xml:space="preserve">    Men’s and Kids</t>
  </si>
  <si>
    <t xml:space="preserve">    Women’s Apparel</t>
  </si>
  <si>
    <t xml:space="preserve">    Home/Other</t>
  </si>
  <si>
    <t xml:space="preserve">  Credit Card</t>
  </si>
  <si>
    <t xml:space="preserve">  Macy's Media Network</t>
  </si>
  <si>
    <t xml:space="preserve">  Department Stores</t>
  </si>
  <si>
    <t>Percentage of Revenue</t>
  </si>
  <si>
    <t xml:space="preserve">  Bloomingdale's</t>
  </si>
  <si>
    <t xml:space="preserve">    Bloomingdale's Digital</t>
  </si>
  <si>
    <t xml:space="preserve">    Bloomingdale's Stores</t>
  </si>
  <si>
    <t xml:space="preserve">  Macy's</t>
  </si>
  <si>
    <t xml:space="preserve">    Macy's Digital</t>
  </si>
  <si>
    <t xml:space="preserve">    Macy's Stores</t>
  </si>
  <si>
    <t xml:space="preserve">  Bluemercury</t>
  </si>
  <si>
    <t xml:space="preserve">  Home/Miscellaneous</t>
  </si>
  <si>
    <t xml:space="preserve">  Men's and Children's</t>
  </si>
  <si>
    <t xml:space="preserve">  Women’s Apparel</t>
  </si>
  <si>
    <t xml:space="preserve">  Women’s Accessories, Intimate Apparel, Shoes and Cosmetics</t>
  </si>
  <si>
    <t>SG&amp;A to Sales (SG&amp;A Margin/Rate)</t>
  </si>
  <si>
    <t>Same Store Sales %</t>
  </si>
  <si>
    <t xml:space="preserve">  Dept Stores &amp; Licensed</t>
  </si>
  <si>
    <t>Total Square Feet/Meter</t>
  </si>
  <si>
    <t xml:space="preserve">    Macy's Core</t>
  </si>
  <si>
    <t xml:space="preserve">    Macy's Small Format</t>
  </si>
  <si>
    <t xml:space="preserve">    Freestanding Backstage</t>
  </si>
  <si>
    <t xml:space="preserve">    Stores converted to Fulfillment Centers</t>
  </si>
  <si>
    <t xml:space="preserve">  Total Bloomingdale's</t>
  </si>
  <si>
    <t xml:space="preserve">    Bloomingdale's - Department Stores</t>
  </si>
  <si>
    <t xml:space="preserve">    Bloomingdale's The Outlet</t>
  </si>
  <si>
    <t xml:space="preserve">    Bloomie's</t>
  </si>
  <si>
    <t>Number of Locations</t>
  </si>
  <si>
    <t xml:space="preserve">  Freestanding Backstage</t>
  </si>
  <si>
    <t xml:space="preserve">  South</t>
  </si>
  <si>
    <t xml:space="preserve">  Bloomingdale's The Outlet</t>
  </si>
  <si>
    <t xml:space="preserve">  Southwest</t>
  </si>
  <si>
    <t xml:space="preserve">  Northwest</t>
  </si>
  <si>
    <t xml:space="preserve">  North Central</t>
  </si>
  <si>
    <t xml:space="preserve">  Northeast</t>
  </si>
  <si>
    <t>Retail - Number of Locations Opened</t>
  </si>
  <si>
    <t>Retail - Number of Locations Closed</t>
  </si>
  <si>
    <t>Number of Stores by Ownership</t>
  </si>
  <si>
    <t xml:space="preserve">  Partly Owned &amp; Partly Leased</t>
  </si>
  <si>
    <t xml:space="preserve">  Stores Subject to a Ground Lease</t>
  </si>
  <si>
    <t xml:space="preserve">  Leased Stores</t>
  </si>
  <si>
    <t xml:space="preserve">  Owned Stores</t>
  </si>
  <si>
    <t>Number of Stores by Location</t>
  </si>
  <si>
    <t xml:space="preserve">      Macy's Magnets</t>
  </si>
  <si>
    <t xml:space="preserve">      Macy's Flagships</t>
  </si>
  <si>
    <t xml:space="preserve">    Macy's Furniture</t>
  </si>
  <si>
    <t xml:space="preserve">    Macy's Furniture Clearance</t>
  </si>
  <si>
    <t xml:space="preserve">    Macy's Neighborhood</t>
  </si>
  <si>
    <t xml:space="preserve">    Bloomingdale's - Furniture/ Other</t>
  </si>
  <si>
    <t xml:space="preserve">  Home/Furniture/Clearance/Outlet Stores</t>
  </si>
  <si>
    <t xml:space="preserve">    Bluemercury</t>
  </si>
  <si>
    <t xml:space="preserve">    Backstage</t>
  </si>
  <si>
    <t xml:space="preserve">    South</t>
  </si>
  <si>
    <t xml:space="preserve">    Bloomingdale's Outlet</t>
  </si>
  <si>
    <t xml:space="preserve">    Bloomingdale's</t>
  </si>
  <si>
    <t xml:space="preserve">    Southwest</t>
  </si>
  <si>
    <t xml:space="preserve">    Northwest</t>
  </si>
  <si>
    <t xml:space="preserve">    North Central</t>
  </si>
  <si>
    <t xml:space="preserve">    Northeast</t>
  </si>
  <si>
    <t xml:space="preserve">  Full Line Store</t>
  </si>
  <si>
    <t>Retail Square Feet/Meter</t>
  </si>
  <si>
    <t xml:space="preserve">  Story</t>
  </si>
  <si>
    <t>Source: Bloomberg</t>
  </si>
  <si>
    <t>Macy's, Inc. (NYSE:M) &gt; Financials &gt; Industry Specific</t>
  </si>
  <si>
    <t>Industry Specific</t>
  </si>
  <si>
    <t>12 months
Feb-02-2019</t>
  </si>
  <si>
    <t>12 months
Feb-01-2020</t>
  </si>
  <si>
    <t>12 months
Jan-30-2021</t>
  </si>
  <si>
    <t>12 months
Jan-29-2022</t>
  </si>
  <si>
    <t>12 months
Jan-28-2023</t>
  </si>
  <si>
    <t>12 months
Feb-03-2024</t>
  </si>
  <si>
    <t>12 months
Feb-01-2025</t>
  </si>
  <si>
    <t>Retail Specific Data</t>
  </si>
  <si>
    <t>Stores at Beginning</t>
  </si>
  <si>
    <t>Total Stores</t>
  </si>
  <si>
    <t xml:space="preserve">Total Same Store Sales Growth </t>
  </si>
  <si>
    <t>Operating Margin</t>
  </si>
  <si>
    <t>Retail Revenues</t>
  </si>
  <si>
    <t>Total Retail Sq. Ft. (Net)</t>
  </si>
  <si>
    <t>Owned / Operated Store Data</t>
  </si>
  <si>
    <t>Owned/Operated Stores at Beginning</t>
  </si>
  <si>
    <t>Owned/Operated Stores Opened</t>
  </si>
  <si>
    <t>Owned/Operated Stores Closed</t>
  </si>
  <si>
    <t>Total Owned/Operated Stores</t>
  </si>
  <si>
    <t>Owned/Operated Same Store Sales Growth</t>
  </si>
  <si>
    <t>Franchise Store Data</t>
  </si>
  <si>
    <t>Total Franchise Stores</t>
  </si>
  <si>
    <t xml:space="preserve">Franchise Same Store Sales Growth </t>
  </si>
  <si>
    <t>Filing Date</t>
  </si>
  <si>
    <t>Macy's, Inc. (NYSE:M) &gt; Financials &gt; Capital Structure Summary</t>
  </si>
  <si>
    <t>In Millions of USD, except ratios and % of Total values.</t>
  </si>
  <si>
    <t>Capital Structure Data</t>
  </si>
  <si>
    <t xml:space="preserve"> For the Fiscal Period Ending
</t>
  </si>
  <si>
    <t xml:space="preserve"> 12 months Feb-02-2019</t>
  </si>
  <si>
    <t xml:space="preserve"> 12 months Feb-01-2020</t>
  </si>
  <si>
    <t xml:space="preserve"> 12 months Jan-30-2021</t>
  </si>
  <si>
    <t xml:space="preserve"> 12 months Jan-29-2022</t>
  </si>
  <si>
    <t xml:space="preserve"> 12 months Jan-28-2023</t>
  </si>
  <si>
    <t xml:space="preserve"> 12 months Feb-03-2024</t>
  </si>
  <si>
    <t xml:space="preserve"> 12 months Feb-01-2025</t>
  </si>
  <si>
    <t xml:space="preserve"> Currency</t>
  </si>
  <si>
    <t xml:space="preserve"> USD</t>
  </si>
  <si>
    <t xml:space="preserve"> Units</t>
  </si>
  <si>
    <t xml:space="preserve"> Millions</t>
  </si>
  <si>
    <t>% of Total</t>
  </si>
  <si>
    <t>Total Debt</t>
  </si>
  <si>
    <t>Total Common Equity</t>
  </si>
  <si>
    <t xml:space="preserve">  Total Capital</t>
  </si>
  <si>
    <t>Debt Summary Data</t>
  </si>
  <si>
    <t>Total Commercial Paper</t>
  </si>
  <si>
    <t>Total Revolving Credit</t>
  </si>
  <si>
    <t>Total Senior Bonds and Notes</t>
  </si>
  <si>
    <t>Total Lease Liabilities</t>
  </si>
  <si>
    <t>General/Other Borrowings</t>
  </si>
  <si>
    <t xml:space="preserve">  Total Principal Due</t>
  </si>
  <si>
    <t>Total Unamortized Discount</t>
  </si>
  <si>
    <t>Total Unamortized Premium</t>
  </si>
  <si>
    <t>Total Adjustments</t>
  </si>
  <si>
    <t xml:space="preserve">  Total Debt Outstanding</t>
  </si>
  <si>
    <t>Available Credit</t>
  </si>
  <si>
    <t>Undrawn Revolving Credit</t>
  </si>
  <si>
    <t xml:space="preserve">  Total Undrawn Credit</t>
  </si>
  <si>
    <t>Additional Totals</t>
  </si>
  <si>
    <t>Total Cash &amp; ST Investments</t>
  </si>
  <si>
    <t>Net Debt</t>
  </si>
  <si>
    <t>Total Senior Debt</t>
  </si>
  <si>
    <t>Total Short-Term Borrowings</t>
  </si>
  <si>
    <t>Curr. Port. of LT Debt/Cap. Leases</t>
  </si>
  <si>
    <t>Long-Term Debt (Incl. Cap. Leases)</t>
  </si>
  <si>
    <t>Total Bank Debt</t>
  </si>
  <si>
    <t>Total Secured Debt</t>
  </si>
  <si>
    <t>Senior Secured Loans</t>
  </si>
  <si>
    <t>Senior Secured Bonds and Notes</t>
  </si>
  <si>
    <t>Total Senior Secured Debt</t>
  </si>
  <si>
    <t>Total Unsecured Debt</t>
  </si>
  <si>
    <t>Senior Unsecured Bonds and Notes</t>
  </si>
  <si>
    <t>Fixed Rate Debt</t>
  </si>
  <si>
    <t>Variable Rate Debt</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</si>
  <si>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</si>
  <si>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</si>
  <si>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</si>
  <si>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</si>
  <si>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</si>
  <si>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</si>
  <si>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</si>
  <si>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</si>
  <si>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</si>
  <si>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Fixed Payment Schedule</t>
  </si>
  <si>
    <t>LT Debt (Incl. Cap. Leases) Due +1</t>
  </si>
  <si>
    <t>LT Debt (Incl. Cap. Leases) Due +2</t>
  </si>
  <si>
    <t>LT Debt (Incl. Cap. Leases) Due +3</t>
  </si>
  <si>
    <t>LT Debt (Incl. Cap. Leases) Due +4</t>
  </si>
  <si>
    <t>LT Debt (Incl. Cap. Leases) Due +5</t>
  </si>
  <si>
    <t>LT Debt (Incl. Cap. Leases) Due, Next 5 Yrs</t>
  </si>
  <si>
    <t>LT Debt (Incl. Cap. Leases) Due, After 5 Yrs</t>
  </si>
  <si>
    <t>Cap. Lease Payment Due +1</t>
  </si>
  <si>
    <t>Cap. Lease Payment Due +2</t>
  </si>
  <si>
    <t>Cap. Lease Payment Due +3</t>
  </si>
  <si>
    <t>Cap. Lease Payment Due +4</t>
  </si>
  <si>
    <t>Cap. Lease Payment Due +5</t>
  </si>
  <si>
    <t>Cap. Lease Payment Due, Next 5 Yrs</t>
  </si>
  <si>
    <t>Cap. Lease Payment Due, After 5 Yrs</t>
  </si>
  <si>
    <t>Cap. Lease Payment Due (incl. Interest) +1</t>
  </si>
  <si>
    <t>Operating Lease Commitment Due +1</t>
  </si>
  <si>
    <t>Operating Lease Commitment Due +2</t>
  </si>
  <si>
    <t>Operating Lease Commitment Due +3</t>
  </si>
  <si>
    <t>Operating Lease Commitment Due +4</t>
  </si>
  <si>
    <t>Operating Lease Commitment Due +5</t>
  </si>
  <si>
    <t>Operating Lease Commitment Due, Next 5 Yrs</t>
  </si>
  <si>
    <t>Operating Lease Commitment Due, After 5 Yrs</t>
  </si>
  <si>
    <t>Contractual Obligations Due +1</t>
  </si>
  <si>
    <t>Contractual Obligations Due + 2</t>
  </si>
  <si>
    <t>Contractual Obligations Due + 3</t>
  </si>
  <si>
    <t>Contractual Obligations Due + 4</t>
  </si>
  <si>
    <t>Contractual Obligations Due + 5</t>
  </si>
  <si>
    <t>Contractual Obligations Due, Next 5 Yrs</t>
  </si>
  <si>
    <t>Contractual Obligations Due, After 5 Yrs</t>
  </si>
  <si>
    <t>Total Contractual Obligations</t>
  </si>
  <si>
    <t>Interest Rate Data</t>
  </si>
  <si>
    <t xml:space="preserve">Cost of sales : Base case 61.6% , Bull : 58.8% , Bear : 61.8% (the extra % is cos of π) </t>
  </si>
  <si>
    <t>SG&amp;A as a % of sales (Increasing it by 1% every year</t>
  </si>
  <si>
    <t>Impairment and Restructuring (Same amount as 2024)</t>
  </si>
  <si>
    <t>Marketing expense (average)</t>
  </si>
  <si>
    <t>EBIT Margin (conservative 2.5% per year)</t>
  </si>
  <si>
    <t>Days Recievable (Average)</t>
  </si>
  <si>
    <t>Inventories as a % of COGS (Average)</t>
  </si>
  <si>
    <t>Days Prepaid (Constant 10.6)</t>
  </si>
  <si>
    <t>SG&amp;A as a % of sales</t>
  </si>
  <si>
    <t>Days Payable (Constant 67)</t>
  </si>
  <si>
    <t>Days Accrued (Constant 29.5)</t>
  </si>
  <si>
    <t>Days Unearned Revenue ( Step wise decrease by .2)</t>
  </si>
  <si>
    <t>Total Operating expense</t>
  </si>
  <si>
    <t>Store 2024</t>
  </si>
  <si>
    <t>Other Revenue Growth</t>
  </si>
  <si>
    <t>Simple Avg</t>
  </si>
  <si>
    <t>CAGR</t>
  </si>
  <si>
    <t>Forecast</t>
  </si>
  <si>
    <t>Step</t>
  </si>
  <si>
    <t>*Forecast growth rate will increase by 2% each year</t>
  </si>
  <si>
    <t>*Decreases in accordance with management statement</t>
  </si>
  <si>
    <t>*Increase in accordance with management statement</t>
  </si>
  <si>
    <t>Inventories as a % of COGS</t>
  </si>
  <si>
    <t>BULL</t>
  </si>
  <si>
    <t>Total Operatingexpense</t>
  </si>
  <si>
    <t>BEAR</t>
  </si>
  <si>
    <t xml:space="preserve">LTM Total Revenue </t>
  </si>
  <si>
    <t xml:space="preserve">LTM EBITDA </t>
  </si>
  <si>
    <t xml:space="preserve">LTM EBIT </t>
  </si>
  <si>
    <t xml:space="preserve">NTM Revenue (Capital IQ) </t>
  </si>
  <si>
    <t xml:space="preserve">NTM EBITDA (Capital IQ) </t>
  </si>
  <si>
    <t xml:space="preserve">LTM Basic EPS </t>
  </si>
  <si>
    <t xml:space="preserve">NTM EPS (Capital IQ) </t>
  </si>
  <si>
    <t xml:space="preserve">LTM Tangible Book Value/Share </t>
  </si>
  <si>
    <t>Total Enterprise Value Multiples</t>
  </si>
  <si>
    <t>Pricing Multiples</t>
  </si>
  <si>
    <t xml:space="preserve">LTM TEV/Total Revenues </t>
  </si>
  <si>
    <t xml:space="preserve">LTM TEV/EBITDA </t>
  </si>
  <si>
    <t xml:space="preserve">LTM TEV/EBIT </t>
  </si>
  <si>
    <t xml:space="preserve">NTM TEV/Forward Total Revenue </t>
  </si>
  <si>
    <t xml:space="preserve">NTM TEV/Forward EBITDA </t>
  </si>
  <si>
    <t xml:space="preserve">LTM P/Diluted EPS Before Extra </t>
  </si>
  <si>
    <t xml:space="preserve">NTM Forward P/E </t>
  </si>
  <si>
    <t xml:space="preserve">LTM P/TangBV </t>
  </si>
  <si>
    <t>High</t>
  </si>
  <si>
    <t>Low</t>
  </si>
  <si>
    <t>Implied Enterprise Value</t>
  </si>
  <si>
    <t>+ Total Cash &amp; ST Investments</t>
  </si>
  <si>
    <t>- Total Debt</t>
  </si>
  <si>
    <t>- Total Pref. Equity</t>
  </si>
  <si>
    <t>- Minority Interest</t>
  </si>
  <si>
    <t>= Implied Equity Value</t>
  </si>
  <si>
    <t>/ Shares Outstanding</t>
  </si>
  <si>
    <t>= Implied Price per Share</t>
  </si>
  <si>
    <t>Mean Equity Value Across Multiples</t>
  </si>
  <si>
    <t>Price Per Share</t>
  </si>
  <si>
    <t>TEV/Total Revenues LTM - Latest</t>
  </si>
  <si>
    <t>TEV/EBITDA LTM - Latest</t>
  </si>
  <si>
    <t>TEV/EBIT LTM - Latest</t>
  </si>
  <si>
    <t>P/Diluted EPS Before Extra LTM - Latest</t>
  </si>
  <si>
    <t>P/TangBV LTM - Latest</t>
  </si>
  <si>
    <t xml:space="preserve">NTM TEV/Forward Total Revenue (Capital IQ) </t>
  </si>
  <si>
    <t xml:space="preserve">NTM TEV/Forward EBITDA (Capital IQ) </t>
  </si>
  <si>
    <t xml:space="preserve">NTM Forward P/E (Capital IQ) </t>
  </si>
  <si>
    <t>Summary Statistics</t>
  </si>
  <si>
    <t>EV/Total Revenue</t>
  </si>
  <si>
    <t xml:space="preserve">EV/EBITDA </t>
  </si>
  <si>
    <t xml:space="preserve">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</si>
</sst>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7" formatCode="&quot;$&quot;#,##0.00_);\(&quot;$&quot;#,##0.00\)"/>
    <numFmt numFmtId="43" formatCode="_(* #,##0.00_);_(* \(#,##0.00\);_(* &quot;-&quot;??_);_(@_)"/>
    <numFmt numFmtId="164" formatCode="#,##0.0\x"/>
    <numFmt numFmtId="165" formatCode="#,##0.00\x"/>
    <numFmt numFmtId="166" formatCode="_(* #,##0.0_);_(* \(#,##0.0\)_)\ ;_(* 0_)"/>
    <numFmt numFmtId="167" formatCode="_(&quot;$&quot;#,##0.0#_);_(\(&quot;$&quot;#,##0.0#\)_);_(&quot;$&quot;&quot; - &quot;_)"/>
    <numFmt numFmtId="168" formatCode="_(#,##0.0%_);_(\(#,##0.0%\)_);_(#,##0.0%_)"/>
    <numFmt numFmtId="169" formatCode="_(* #,##0.0#_);_(* \(#,##0.0#\)_)\ ;_(* 0_)"/>
    <numFmt numFmtId="170" formatCode="_(#,##0.00%_);_(\(#,##0.00%\)_);_(#,##0.00%_)"/>
    <numFmt numFmtId="171" formatCode="0.0"/>
    <numFmt numFmtId="172" formatCode="_(&quot;$&quot;* #,##0.0_);_(&quot;$&quot;* \(#,##0.0\);_(&quot;$&quot;* &quot;-&quot;?_);_(@_)"/>
    <numFmt numFmtId="173" formatCode="#,##0.0_);\(#,##0.0\)"/>
    <numFmt numFmtId="174" formatCode="#,##0.0"/>
    <numFmt numFmtId="175" formatCode="mmm\-dd\-yyyy"/>
    <numFmt numFmtId="176" formatCode="_(#,##0.00#%_);_(\(#,##0.00#%\)_);_(#,##0.00#%_)"/>
    <numFmt numFmtId="177" formatCode="_(* #,##0_);_(* \(#,##0\)_)\ ;_(* 0_)"/>
    <numFmt numFmtId="178" formatCode="0.00000000"/>
    <numFmt numFmtId="179" formatCode="#,##0.0000000"/>
    <numFmt numFmtId="180" formatCode="0.0000%"/>
    <numFmt numFmtId="181" formatCode="0.0%"/>
    <numFmt numFmtId="182" formatCode="0.0000"/>
    <numFmt numFmtId="183" formatCode="#,##0.0000"/>
    <numFmt numFmtId="184" formatCode="#,##0.000"/>
    <numFmt numFmtId="185" formatCode="0.000%"/>
    <numFmt numFmtId="186" formatCode="0.00_);[Red]\(0.00\)"/>
    <numFmt numFmtId="187" formatCode="_(#,##0_)_%;\(#,##0\)_%;_(&quot;–&quot;_)_%;_(@_)_%"/>
    <numFmt numFmtId="188" formatCode="_(#,##0.00_)_%;\(#,##0.00\)_%;_(&quot;–&quot;_)_%;_(@_)_%"/>
    <numFmt numFmtId="189" formatCode="_(0.00\x_)_)_';_(\(0.00\x\)_'_';_(&quot;–&quot;_)_%;_(@_)_%"/>
    <numFmt numFmtId="190" formatCode="_-* #,##0_-;\-* #,##0_-;_-* &quot;-&quot;??_-;_-@_-"/>
    <numFmt numFmtId="191" formatCode="_(* #,##0.0_);_(* \(#,##0.0\);_(* &quot;-&quot;??_);_(@_)"/>
    <numFmt numFmtId="192" formatCode="_-* #,##0.0_-;\-* #,##0.0_-;_-* &quot;-&quot;?_-;_-@_-"/>
    <numFmt numFmtId="193" formatCode="_-* #,##0.0_-;\-* #,##0.0_-;_-* &quot;-&quot;??_-;_-@_-"/>
    <numFmt numFmtId="194" formatCode="#,##0.0_);[Red]\(#,##0.0\)"/>
    <numFmt numFmtId="195" formatCode="_(\ #,##0.0_);_(\ \(#,##0.0\)_);_(\ &quot; - &quot;_)"/>
    <numFmt numFmtId="196" formatCode="_(\ #,##0.0#_);_(\(\ #,##0.0#\)_);_(\ &quot; - &quot;_)"/>
    <numFmt numFmtId="197" formatCode="0.0\x"/>
    <numFmt numFmtId="198" formatCode="_(* #,##0.0_);_(* \(#,##0.0\);_(* &quot;-&quot;?_);_(@_)"/>
  </numFmts>
  <fonts count="122">
    <font>
      <sz val="12"/>
      <color theme="1"/>
      <name val="Aptos Narrow"/>
      <family val="2"/>
      <scheme val="minor"/>
    </font>
    <font>
      <sz val="11"/>
      <color theme="1"/>
      <name val="Aptos Narrow"/>
      <family val="2"/>
      <scheme val="minor"/>
    </font>
    <font>
      <b/>
      <sz val="8"/>
      <name val="Arial"/>
      <family val="2"/>
    </font>
    <font>
      <i/>
      <sz val="8"/>
      <name val="Arial"/>
      <family val="2"/>
    </font>
    <font>
      <sz val="8"/>
      <name val="Arial"/>
      <family val="2"/>
    </font>
    <font>
      <sz val="8"/>
      <color indexed="8"/>
      <name val="Arial"/>
      <family val="2"/>
    </font>
    <font>
      <b/>
      <sz val="13"/>
      <color indexed="8"/>
      <name val="Verdana"/>
      <family val="2"/>
    </font>
    <font>
      <b/>
      <sz val="12"/>
      <color theme="1"/>
      <name val="Aptos Narrow"/>
      <family val="2"/>
      <scheme val="minor"/>
    </font>
    <font>
      <sz val="10"/>
      <name val="Arial"/>
      <family val="2"/>
    </font>
    <font>
      <b/>
      <sz val="8"/>
      <color indexed="8"/>
      <name val="Arial"/>
      <family val="2"/>
    </font>
    <font>
      <sz val="1"/>
      <color indexed="9"/>
      <name val="Symbol"/>
      <family val="1"/>
      <charset val="2"/>
    </font>
    <font>
      <b/>
      <sz val="8"/>
      <color indexed="9"/>
      <name val="Verdana"/>
      <family val="2"/>
    </font>
    <font>
      <b/>
      <i/>
      <sz val="8"/>
      <color indexed="8"/>
      <name val="Arial"/>
      <family val="2"/>
    </font>
    <font>
      <i/>
      <sz val="8"/>
      <color indexed="8"/>
      <name val="Arial"/>
      <family val="2"/>
    </font>
    <font>
      <sz val="8"/>
      <color rgb="FF000000"/>
      <name val="Arial"/>
      <family val="2"/>
    </font>
    <font>
      <i/>
      <sz val="8"/>
      <color rgb="FF000000"/>
      <name val="Arial"/>
      <family val="2"/>
    </font>
    <font>
      <b/>
      <sz val="10"/>
      <color indexed="8"/>
      <name val="Arial"/>
      <family val="2"/>
    </font>
    <font>
      <sz val="11"/>
      <color indexed="9"/>
      <name val="Arial"/>
      <family val="2"/>
    </font>
    <font>
      <sz val="11"/>
      <color indexed="9"/>
      <name val="Symbol"/>
      <family val="1"/>
      <charset val="2"/>
    </font>
    <font>
      <b/>
      <sz val="11"/>
      <color indexed="9"/>
      <name val="Verdana"/>
      <family val="2"/>
    </font>
    <font>
      <b/>
      <u/>
      <sz val="10"/>
      <name val="Arial"/>
      <family val="2"/>
    </font>
    <font>
      <b/>
      <u/>
      <sz val="10"/>
      <color indexed="8"/>
      <name val="Arial"/>
      <family val="2"/>
    </font>
    <font>
      <b/>
      <u val="double"/>
      <sz val="8"/>
      <color indexed="8"/>
      <name val="Arial"/>
      <family val="2"/>
    </font>
    <font>
      <b/>
      <u/>
      <sz val="8"/>
      <color indexed="8"/>
      <name val="Arial"/>
      <family val="2"/>
    </font>
    <font>
      <b/>
      <u/>
      <sz val="8"/>
      <name val="Arial"/>
      <family val="2"/>
    </font>
    <font>
      <b/>
      <u/>
      <sz val="11"/>
      <color indexed="8"/>
      <name val="Arial"/>
      <family val="2"/>
    </font>
    <font>
      <b/>
      <u val="singleAccounting"/>
      <sz val="8"/>
      <color indexed="8"/>
      <name val="Arial"/>
      <family val="2"/>
    </font>
    <font>
      <b/>
      <i/>
      <sz val="8"/>
      <name val="Arial"/>
      <family val="2"/>
    </font>
    <font>
      <b/>
      <u/>
      <sz val="16"/>
      <color indexed="9"/>
      <name val="Verdana"/>
      <family val="2"/>
    </font>
    <font>
      <u/>
      <sz val="16"/>
      <name val="Arial"/>
      <family val="2"/>
    </font>
    <font>
      <b/>
      <sz val="12"/>
      <color indexed="8"/>
      <name val="Arial"/>
      <family val="2"/>
    </font>
    <font>
      <sz val="12"/>
      <name val="Arial"/>
      <family val="2"/>
    </font>
    <font>
      <u/>
      <sz val="16"/>
      <color indexed="8"/>
      <name val="Arial"/>
      <family val="2"/>
    </font>
    <font>
      <u/>
      <sz val="16"/>
      <color indexed="9"/>
      <name val="Symbol"/>
      <family val="1"/>
      <charset val="2"/>
    </font>
    <font>
      <u/>
      <sz val="16"/>
      <color indexed="9"/>
      <name val="Arial"/>
      <family val="2"/>
    </font>
    <font>
      <b/>
      <sz val="20"/>
      <color theme="0"/>
      <name val="Helvetica Neue"/>
      <family val="2"/>
    </font>
    <font>
      <sz val="16"/>
      <color theme="1"/>
      <name val="Aptos Narrow"/>
      <family val="2"/>
      <scheme val="minor"/>
    </font>
    <font>
      <b/>
      <sz val="16"/>
      <color theme="1"/>
      <name val="Aptos Narrow"/>
      <family val="2"/>
      <scheme val="minor"/>
    </font>
    <font>
      <b/>
      <sz val="16"/>
      <color theme="1"/>
      <name val="Helvetica Neue"/>
      <family val="2"/>
    </font>
    <font>
      <b/>
      <u/>
      <sz val="16"/>
      <color theme="1"/>
      <name val="Aptos Narrow"/>
      <family val="2"/>
      <scheme val="minor"/>
    </font>
    <font>
      <b/>
      <sz val="16"/>
      <color rgb="FF000000"/>
      <name val="Aptos Narrow"/>
      <family val="2"/>
      <scheme val="minor"/>
    </font>
    <font>
      <sz val="16"/>
      <color theme="1"/>
      <name val="Helvetica Neue"/>
      <family val="2"/>
    </font>
    <font>
      <b/>
      <u/>
      <sz val="16"/>
      <color rgb="FF0070C0"/>
      <name val="Aptos Narrow"/>
      <family val="2"/>
      <scheme val="minor"/>
    </font>
    <font>
      <b/>
      <sz val="8"/>
      <color theme="1"/>
      <name val="Arial"/>
      <family val="2"/>
    </font>
    <font>
      <sz val="8"/>
      <color theme="1"/>
      <name val="Arial"/>
      <family val="2"/>
    </font>
    <font>
      <b/>
      <u/>
      <sz val="14"/>
      <color indexed="9"/>
      <name val="Verdana"/>
      <family val="2"/>
    </font>
    <font>
      <sz val="10"/>
      <color rgb="FF333333"/>
      <name val="Arial"/>
      <family val="2"/>
    </font>
    <font>
      <sz val="10"/>
      <color rgb="FF000000"/>
      <name val="Arial"/>
      <family val="2"/>
    </font>
    <font>
      <sz val="10"/>
      <color theme="1"/>
      <name val="Arial"/>
      <family val="2"/>
    </font>
    <font>
      <b/>
      <sz val="8"/>
      <color rgb="FF000000"/>
      <name val="Arial"/>
      <family val="2"/>
    </font>
    <font>
      <b/>
      <sz val="11"/>
      <color indexed="9"/>
      <name val="Calibri"/>
      <family val="2"/>
    </font>
    <font>
      <sz val="11"/>
      <color theme="1"/>
      <name val="Aptos Narrow"/>
      <family val="2"/>
      <scheme val="minor"/>
    </font>
    <font>
      <b/>
      <sz val="16"/>
      <color indexed="9"/>
      <name val="Arial"/>
      <family val="2"/>
    </font>
    <font>
      <sz val="10"/>
      <name val="Calibri"/>
      <family val="2"/>
    </font>
    <font>
      <b/>
      <sz val="10"/>
      <color indexed="9"/>
      <name val="Arial"/>
      <family val="2"/>
    </font>
    <font>
      <sz val="10"/>
      <color indexed="63"/>
      <name val="Arial"/>
      <family val="2"/>
    </font>
    <font>
      <sz val="10"/>
      <color indexed="8"/>
      <name val="Arial"/>
      <family val="2"/>
    </font>
    <font>
      <i/>
      <sz val="10"/>
      <color indexed="8"/>
      <name val="Arial"/>
      <family val="2"/>
    </font>
    <font>
      <sz val="14"/>
      <color theme="1"/>
      <name val="Aptos Narrow"/>
      <family val="2"/>
      <scheme val="minor"/>
    </font>
    <font>
      <sz val="8"/>
      <color theme="1" tint="0.499984740745262"/>
      <name val="Arial"/>
      <family val="2"/>
    </font>
    <font>
      <b/>
      <sz val="8"/>
      <color rgb="FFC00000"/>
      <name val="Arial"/>
      <family val="2"/>
    </font>
    <font>
      <b/>
      <sz val="8"/>
      <color rgb="FF1464F4"/>
      <name val="Arial"/>
      <family val="2"/>
    </font>
    <font>
      <b/>
      <sz val="8"/>
      <color theme="1" tint="0.499984740745262"/>
      <name val="Arial"/>
      <family val="2"/>
    </font>
    <font>
      <sz val="8"/>
      <color rgb="FF008000"/>
      <name val="Arial"/>
      <family val="2"/>
    </font>
    <font>
      <b/>
      <sz val="8"/>
      <color theme="0"/>
      <name val="Arial"/>
      <family val="2"/>
    </font>
    <font>
      <sz val="8"/>
      <name val="Aptos Narrow"/>
      <family val="2"/>
      <scheme val="minor"/>
    </font>
    <font>
      <b/>
      <u val="singleAccounting"/>
      <sz val="8"/>
      <color theme="1" tint="0.499984740745262"/>
      <name val="Arial"/>
      <family val="2"/>
    </font>
    <font>
      <b/>
      <u val="singleAccounting"/>
      <sz val="8"/>
      <color rgb="FF000000"/>
      <name val="Arial"/>
      <family val="2"/>
    </font>
    <font>
      <i/>
      <sz val="8"/>
      <color theme="1"/>
      <name val="Arial"/>
      <family val="2"/>
    </font>
    <font>
      <sz val="8"/>
      <color theme="1"/>
      <name val="Aptos Narrow"/>
      <family val="2"/>
      <scheme val="minor"/>
    </font>
    <font>
      <i/>
      <sz val="8"/>
      <color theme="1"/>
      <name val="Aptos Narrow"/>
      <family val="2"/>
      <scheme val="minor"/>
    </font>
    <font>
      <sz val="8"/>
      <color theme="2" tint="-0.499984740745262"/>
      <name val="Aptos Narrow"/>
      <family val="2"/>
      <scheme val="minor"/>
    </font>
    <font>
      <i/>
      <sz val="8"/>
      <color theme="2" tint="-0.499984740745262"/>
      <name val="Aptos Narrow"/>
      <family val="2"/>
      <scheme val="minor"/>
    </font>
    <font>
      <b/>
      <sz val="8"/>
      <color theme="4" tint="-0.249977111117893"/>
      <name val="Aptos Narrow"/>
      <family val="2"/>
      <scheme val="minor"/>
    </font>
    <font>
      <b/>
      <sz val="8"/>
      <color theme="1"/>
      <name val="Aptos Narrow"/>
      <family val="2"/>
      <scheme val="minor"/>
    </font>
    <font>
      <sz val="12"/>
      <color theme="1"/>
      <name val="Aptos Narrow"/>
      <family val="2"/>
      <scheme val="minor"/>
    </font>
    <font>
      <b/>
      <sz val="12"/>
      <color theme="0"/>
      <name val="Arial"/>
      <family val="2"/>
    </font>
    <font>
      <sz val="11"/>
      <color theme="1"/>
      <name val="Arial"/>
      <family val="2"/>
    </font>
    <font>
      <b/>
      <sz val="8"/>
      <color rgb="FFFF0000"/>
      <name val="Arial"/>
      <family val="2"/>
    </font>
    <font>
      <i/>
      <sz val="8"/>
      <color rgb="FF0000FF"/>
      <name val="Arial"/>
      <family val="2"/>
    </font>
    <font>
      <sz val="8"/>
      <color theme="0"/>
      <name val="Arial"/>
      <family val="2"/>
    </font>
    <font>
      <b/>
      <sz val="10"/>
      <color theme="1"/>
      <name val="Arial"/>
      <family val="2"/>
    </font>
    <font>
      <b/>
      <sz val="11"/>
      <color theme="1"/>
      <name val="Arial"/>
      <family val="2"/>
    </font>
    <font>
      <sz val="40"/>
      <color theme="1"/>
      <name val="Aptos Narrow"/>
      <family val="2"/>
      <scheme val="minor"/>
    </font>
    <font>
      <sz val="35"/>
      <color theme="1"/>
      <name val="Aptos Narrow"/>
      <family val="2"/>
      <scheme val="minor"/>
    </font>
    <font>
      <b/>
      <sz val="11"/>
      <color theme="3" tint="0.749992370372631"/>
      <name val="Verdana"/>
      <family val="2"/>
    </font>
    <font>
      <b/>
      <sz val="11"/>
      <color theme="1"/>
      <name val="Verdana"/>
      <family val="2"/>
    </font>
    <font>
      <b/>
      <sz val="8"/>
      <color rgb="FF000000"/>
      <name val="Aptos Narrow"/>
      <family val="2"/>
      <scheme val="minor"/>
    </font>
    <font>
      <i/>
      <sz val="8"/>
      <color rgb="FF0000FF"/>
      <name val="Aptos Narrow"/>
      <family val="2"/>
      <scheme val="minor"/>
    </font>
    <font>
      <sz val="8"/>
      <color rgb="FF0000FF"/>
      <name val="Aptos Narrow"/>
      <family val="2"/>
      <scheme val="minor"/>
    </font>
    <font>
      <sz val="1"/>
      <color indexed="9"/>
      <name val="Symbol"/>
      <family val="1"/>
      <charset val="2"/>
    </font>
    <font>
      <b/>
      <sz val="10"/>
      <name val="Arial"/>
      <family val="2"/>
    </font>
    <font>
      <b/>
      <sz val="12"/>
      <color theme="0"/>
      <name val="Aptos Narrow"/>
      <family val="2"/>
      <scheme val="minor"/>
    </font>
    <font>
      <i/>
      <sz val="12"/>
      <color theme="1"/>
      <name val="Aptos Narrow"/>
      <family val="2"/>
      <scheme val="minor"/>
    </font>
    <font>
      <b/>
      <sz val="9"/>
      <name val="Arial"/>
      <family val="2"/>
    </font>
    <font>
      <sz val="9"/>
      <name val="Arial"/>
      <family val="2"/>
    </font>
    <font>
      <b/>
      <sz val="9"/>
      <color theme="0"/>
      <name val="Arial"/>
      <family val="2"/>
    </font>
    <font>
      <b/>
      <sz val="9"/>
      <color theme="1"/>
      <name val="Aptos Narrow"/>
      <family val="2"/>
      <scheme val="minor"/>
    </font>
    <font>
      <sz val="25"/>
      <color theme="0"/>
      <name val="Aptos Narrow"/>
      <family val="2"/>
      <scheme val="minor"/>
    </font>
    <font>
      <sz val="9"/>
      <color theme="1"/>
      <name val="Aptos Narrow"/>
      <family val="2"/>
      <scheme val="minor"/>
    </font>
    <font>
      <sz val="9"/>
      <color theme="2" tint="-0.499984740745262"/>
      <name val="Aptos Narrow"/>
      <family val="2"/>
      <scheme val="minor"/>
    </font>
    <font>
      <i/>
      <sz val="9"/>
      <color theme="1"/>
      <name val="Aptos Narrow"/>
      <family val="2"/>
      <scheme val="minor"/>
    </font>
    <font>
      <i/>
      <sz val="9"/>
      <color rgb="FF0000FF"/>
      <name val="Aptos Narrow"/>
      <family val="2"/>
      <scheme val="minor"/>
    </font>
    <font>
      <sz val="9"/>
      <color indexed="8"/>
      <name val="Aptos Narrow"/>
      <family val="2"/>
      <scheme val="minor"/>
    </font>
    <font>
      <b/>
      <sz val="9"/>
      <color theme="4" tint="-0.249977111117893"/>
      <name val="Aptos Narrow"/>
      <family val="2"/>
      <scheme val="minor"/>
    </font>
    <font>
      <b/>
      <sz val="9"/>
      <color indexed="8"/>
      <name val="Arial"/>
      <family val="2"/>
    </font>
    <font>
      <b/>
      <sz val="9"/>
      <color indexed="8"/>
      <name val="Aptos Narrow"/>
      <family val="2"/>
      <scheme val="minor"/>
    </font>
    <font>
      <i/>
      <sz val="9"/>
      <color theme="2" tint="-0.499984740745262"/>
      <name val="Aptos Narrow"/>
      <family val="2"/>
      <scheme val="minor"/>
    </font>
    <font>
      <sz val="9"/>
      <color rgb="FF0000FF"/>
      <name val="Aptos Narrow"/>
      <family val="2"/>
      <scheme val="minor"/>
    </font>
    <font>
      <b/>
      <sz val="9"/>
      <color theme="1" tint="0.499984740745262"/>
      <name val="Arial"/>
      <family val="2"/>
    </font>
    <font>
      <sz val="9"/>
      <color theme="1"/>
      <name val="Arial"/>
      <family val="2"/>
    </font>
    <font>
      <b/>
      <u val="singleAccounting"/>
      <sz val="9"/>
      <color theme="1" tint="0.499984740745262"/>
      <name val="Arial"/>
      <family val="2"/>
    </font>
    <font>
      <b/>
      <u val="singleAccounting"/>
      <sz val="9"/>
      <color rgb="FF000000"/>
      <name val="Arial"/>
      <family val="2"/>
    </font>
    <font>
      <sz val="9"/>
      <color indexed="8"/>
      <name val="Arial"/>
      <family val="2"/>
    </font>
    <font>
      <b/>
      <sz val="9"/>
      <color rgb="FFC00000"/>
      <name val="Arial"/>
      <family val="2"/>
    </font>
    <font>
      <b/>
      <sz val="9"/>
      <color rgb="FF1464F4"/>
      <name val="Arial"/>
      <family val="2"/>
    </font>
    <font>
      <sz val="9"/>
      <color theme="1" tint="0.499984740745262"/>
      <name val="Arial"/>
      <family val="2"/>
    </font>
    <font>
      <b/>
      <sz val="9"/>
      <color theme="1"/>
      <name val="Arial"/>
      <family val="2"/>
    </font>
    <font>
      <i/>
      <sz val="9"/>
      <color rgb="FF0000FF"/>
      <name val="Arial"/>
      <family val="2"/>
    </font>
    <font>
      <sz val="9"/>
      <color rgb="FF008000"/>
      <name val="Arial"/>
      <family val="2"/>
    </font>
    <font>
      <i/>
      <sz val="9"/>
      <name val="Aptos Narrow"/>
      <family val="2"/>
      <scheme val="minor"/>
    </font>
    <font>
      <b/>
      <sz val="8"/>
      <color theme="0"/>
      <name val="Verdana"/>
      <family val="2"/>
    </font>
  </fonts>
  <fills count="26">
    <fill>
      <patternFill patternType="none"/>
    </fill>
    <fill>
      <patternFill patternType="gray125"/>
    </fill>
    <fill>
      <patternFill patternType="solid">
        <fgColor indexed="56"/>
        <bgColor indexed="64"/>
      </patternFill>
    </fill>
    <fill>
      <patternFill patternType="solid">
        <fgColor theme="0" tint="-0.249977111117893"/>
        <bgColor indexed="64"/>
      </patternFill>
    </fill>
    <fill>
      <patternFill patternType="solid">
        <fgColor rgb="FFFFFF00"/>
        <bgColor indexed="64"/>
      </patternFill>
    </fill>
    <fill>
      <patternFill patternType="solid">
        <fgColor rgb="FFF0F0DC"/>
        <bgColor indexed="64"/>
      </patternFill>
    </fill>
    <fill>
      <patternFill patternType="solid">
        <fgColor rgb="FFC00000"/>
        <bgColor indexed="64"/>
      </patternFill>
    </fill>
    <fill>
      <patternFill patternType="solid">
        <fgColor rgb="FFFF0000"/>
        <bgColor indexed="64"/>
      </patternFill>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theme="3"/>
        <bgColor indexed="64"/>
      </patternFill>
    </fill>
    <fill>
      <patternFill patternType="solid">
        <fgColor theme="3" tint="0.499984740745262"/>
        <bgColor indexed="64"/>
      </patternFill>
    </fill>
    <fill>
      <patternFill patternType="solid">
        <fgColor theme="0"/>
        <bgColor indexed="64"/>
      </patternFill>
    </fill>
    <fill>
      <patternFill patternType="darkUp">
        <bgColor theme="0" tint="-4.9989318521683403E-2"/>
      </patternFill>
    </fill>
    <fill>
      <patternFill patternType="solid">
        <fgColor rgb="FFFFFFFF"/>
        <bgColor rgb="FF000000"/>
      </patternFill>
    </fill>
    <fill>
      <patternFill patternType="darkUp">
        <fgColor rgb="FF000000"/>
        <bgColor rgb="FFF2F2F2"/>
      </patternFill>
    </fill>
    <fill>
      <patternFill patternType="solid">
        <fgColor rgb="FFF1B5A4"/>
        <bgColor indexed="64"/>
      </patternFill>
    </fill>
    <fill>
      <patternFill patternType="solid">
        <fgColor rgb="FFA6C9EC"/>
        <bgColor rgb="FF000000"/>
      </patternFill>
    </fill>
    <fill>
      <patternFill patternType="solid">
        <fgColor rgb="FFF1F1DC"/>
        <bgColor indexed="64"/>
      </patternFill>
    </fill>
    <fill>
      <patternFill patternType="solid">
        <fgColor rgb="FFFF2600"/>
        <bgColor indexed="64"/>
      </patternFill>
    </fill>
    <fill>
      <patternFill patternType="darkUp">
        <fgColor rgb="FF000000"/>
        <bgColor theme="0"/>
      </patternFill>
    </fill>
    <fill>
      <patternFill patternType="solid">
        <fgColor indexed="60"/>
        <bgColor indexed="64"/>
      </patternFill>
    </fill>
    <fill>
      <patternFill patternType="solid">
        <fgColor theme="5"/>
        <bgColor indexed="64"/>
      </patternFill>
    </fill>
  </fills>
  <borders count="61">
    <border>
      <left/>
      <right/>
      <top/>
      <bottom/>
      <diagonal/>
    </border>
    <border>
      <left/>
      <right/>
      <top style="thin">
        <color auto="1"/>
      </top>
      <bottom/>
      <diagonal/>
    </border>
    <border>
      <left/>
      <right style="medium">
        <color auto="1"/>
      </right>
      <top/>
      <bottom/>
      <diagonal/>
    </border>
    <border>
      <left/>
      <right/>
      <top style="medium">
        <color auto="1"/>
      </top>
      <bottom/>
      <diagonal/>
    </border>
    <border>
      <left/>
      <right/>
      <top style="thin">
        <color auto="1"/>
      </top>
      <bottom style="double">
        <color auto="1"/>
      </bottom>
      <diagonal/>
    </border>
    <border>
      <left/>
      <right style="medium">
        <color auto="1"/>
      </right>
      <top/>
      <bottom style="medium">
        <color auto="1"/>
      </bottom>
      <diagonal/>
    </border>
    <border>
      <left/>
      <right/>
      <top/>
      <bottom style="medium">
        <color auto="1"/>
      </bottom>
      <diagonal/>
    </border>
    <border>
      <left/>
      <right style="thin">
        <color auto="1"/>
      </right>
      <top/>
      <bottom/>
      <diagonal/>
    </border>
    <border>
      <left/>
      <right style="medium">
        <color auto="1"/>
      </right>
      <top/>
      <bottom style="double">
        <color auto="1"/>
      </bottom>
      <diagonal/>
    </border>
    <border>
      <left/>
      <right/>
      <top/>
      <bottom style="double">
        <color auto="1"/>
      </bottom>
      <diagonal/>
    </border>
    <border>
      <left style="thin">
        <color auto="1"/>
      </left>
      <right/>
      <top/>
      <bottom/>
      <diagonal/>
    </border>
    <border>
      <left style="thin">
        <color auto="1"/>
      </left>
      <right style="medium">
        <color auto="1"/>
      </right>
      <top/>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double">
        <color auto="1"/>
      </bottom>
      <diagonal/>
    </border>
    <border>
      <left/>
      <right/>
      <top/>
      <bottom style="hair">
        <color rgb="FF000000"/>
      </bottom>
      <diagonal/>
    </border>
    <border>
      <left/>
      <right/>
      <top style="thin">
        <color rgb="FF000000"/>
      </top>
      <bottom/>
      <diagonal/>
    </border>
    <border>
      <left/>
      <right/>
      <top style="thin">
        <color auto="1"/>
      </top>
      <bottom style="thin">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right style="hair">
        <color indexed="64"/>
      </right>
      <top style="hair">
        <color indexed="64"/>
      </top>
      <bottom/>
      <diagonal/>
    </border>
    <border>
      <left/>
      <right style="hair">
        <color indexed="64"/>
      </right>
      <top/>
      <bottom/>
      <diagonal/>
    </border>
    <border>
      <left/>
      <right/>
      <top style="double">
        <color auto="1"/>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auto="1"/>
      </top>
      <bottom style="double">
        <color auto="1"/>
      </bottom>
      <diagonal/>
    </border>
    <border>
      <left/>
      <right style="medium">
        <color auto="1"/>
      </right>
      <top style="thin">
        <color auto="1"/>
      </top>
      <bottom style="double">
        <color auto="1"/>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auto="1"/>
      </right>
      <top style="thin">
        <color auto="1"/>
      </top>
      <bottom/>
      <diagonal/>
    </border>
    <border>
      <left/>
      <right/>
      <top style="thin">
        <color indexed="8"/>
      </top>
      <bottom/>
      <diagonal/>
    </border>
    <border>
      <left/>
      <right/>
      <top style="thin">
        <color auto="1"/>
      </top>
      <bottom style="double">
        <color auto="1"/>
      </bottom>
      <diagonal/>
    </border>
    <border>
      <left/>
      <right style="medium">
        <color auto="1"/>
      </right>
      <top style="thin">
        <color auto="1"/>
      </top>
      <bottom style="double">
        <color auto="1"/>
      </bottom>
      <diagonal/>
    </border>
    <border>
      <left/>
      <right/>
      <top style="thin">
        <color indexed="64"/>
      </top>
      <bottom/>
      <diagonal/>
    </border>
    <border>
      <left/>
      <right style="medium">
        <color auto="1"/>
      </right>
      <top style="thin">
        <color auto="1"/>
      </top>
      <bottom/>
      <diagonal/>
    </border>
    <border>
      <left/>
      <right/>
      <top style="thin">
        <color indexed="8"/>
      </top>
      <bottom/>
      <diagonal/>
    </border>
    <border>
      <left/>
      <right style="medium">
        <color auto="1"/>
      </right>
      <top style="thin">
        <color indexed="8"/>
      </top>
      <bottom/>
      <diagonal/>
    </border>
    <border>
      <left/>
      <right/>
      <top style="thin">
        <color indexed="64"/>
      </top>
      <bottom/>
      <diagonal/>
    </border>
    <border>
      <left/>
      <right style="medium">
        <color auto="1"/>
      </right>
      <top style="thin">
        <color auto="1"/>
      </top>
      <bottom/>
      <diagonal/>
    </border>
    <border>
      <left/>
      <right/>
      <top style="thin">
        <color auto="1"/>
      </top>
      <bottom style="double">
        <color auto="1"/>
      </bottom>
      <diagonal/>
    </border>
    <border>
      <left/>
      <right style="medium">
        <color auto="1"/>
      </right>
      <top style="thin">
        <color auto="1"/>
      </top>
      <bottom style="double">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8"/>
      </top>
      <bottom/>
      <diagonal/>
    </border>
    <border>
      <left/>
      <right style="medium">
        <color auto="1"/>
      </right>
      <top style="thin">
        <color indexed="8"/>
      </top>
      <bottom/>
      <diagonal/>
    </border>
    <border>
      <left/>
      <right/>
      <top style="thin">
        <color indexed="64"/>
      </top>
      <bottom style="medium">
        <color indexed="64"/>
      </bottom>
      <diagonal/>
    </border>
    <border>
      <left/>
      <right/>
      <top style="thin">
        <color indexed="64"/>
      </top>
      <bottom/>
      <diagonal/>
    </border>
    <border>
      <left/>
      <right style="medium">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diagonal/>
    </border>
    <border>
      <left/>
      <right style="medium">
        <color auto="1"/>
      </right>
      <top style="thin">
        <color indexed="8"/>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s>
  <cellStyleXfs count="27">
    <xf numFmtId="0" fontId="0" fillId="0" borderId="0"/>
    <xf numFmtId="0" fontId="8" fillId="0" borderId="0"/>
    <xf numFmtId="0" fontId="10" fillId="0" borderId="0" applyAlignment="0"/>
    <xf numFmtId="0" fontId="50" fillId="8" borderId="0"/>
    <xf numFmtId="0" fontId="51" fillId="0" borderId="0"/>
    <xf numFmtId="0" fontId="52" fillId="8" borderId="12" applyNumberFormat="0" applyProtection="0">
      <alignment horizontal="left" vertical="center" readingOrder="1"/>
    </xf>
    <xf numFmtId="0" fontId="53" fillId="9" borderId="0" applyNumberFormat="0" applyBorder="0" applyProtection="0">
      <alignment horizontal="center"/>
    </xf>
    <xf numFmtId="0" fontId="54" fillId="8" borderId="13">
      <alignment horizontal="left"/>
    </xf>
    <xf numFmtId="0" fontId="54" fillId="8" borderId="13">
      <alignment horizontal="centerContinuous"/>
    </xf>
    <xf numFmtId="0" fontId="54" fillId="8" borderId="14">
      <alignment horizontal="left"/>
    </xf>
    <xf numFmtId="0" fontId="54" fillId="8" borderId="14">
      <alignment horizontal="centerContinuous"/>
    </xf>
    <xf numFmtId="0" fontId="16" fillId="9" borderId="10"/>
    <xf numFmtId="184" fontId="16" fillId="9" borderId="10">
      <alignment horizontal="right"/>
    </xf>
    <xf numFmtId="185" fontId="16" fillId="9" borderId="7">
      <alignment horizontal="right"/>
    </xf>
    <xf numFmtId="0" fontId="55" fillId="9" borderId="10"/>
    <xf numFmtId="184" fontId="56" fillId="9" borderId="10">
      <alignment horizontal="right"/>
    </xf>
    <xf numFmtId="185" fontId="56" fillId="9" borderId="7">
      <alignment horizontal="right"/>
    </xf>
    <xf numFmtId="0" fontId="57" fillId="10" borderId="1" applyNumberFormat="0" applyAlignment="0" applyProtection="0"/>
    <xf numFmtId="43" fontId="48" fillId="0" borderId="0" applyFont="0" applyFill="0" applyBorder="0" applyAlignment="0" applyProtection="0"/>
    <xf numFmtId="9" fontId="75" fillId="0" borderId="0" applyFont="0" applyFill="0" applyBorder="0" applyAlignment="0" applyProtection="0"/>
    <xf numFmtId="43" fontId="75" fillId="0" borderId="0" applyFont="0" applyFill="0" applyBorder="0" applyAlignment="0" applyProtection="0"/>
    <xf numFmtId="0" fontId="90" fillId="0" borderId="0" applyAlignment="0"/>
    <xf numFmtId="0" fontId="8" fillId="0" borderId="0"/>
    <xf numFmtId="0" fontId="1" fillId="0" borderId="0"/>
    <xf numFmtId="9" fontId="1" fillId="0" borderId="0" applyFont="0" applyFill="0" applyBorder="0" applyAlignment="0" applyProtection="0"/>
    <xf numFmtId="0" fontId="8" fillId="0" borderId="0"/>
    <xf numFmtId="0" fontId="10" fillId="0" borderId="0" applyAlignment="0"/>
  </cellStyleXfs>
  <cellXfs count="795">
    <xf numFmtId="0" fontId="0" fillId="0" borderId="0" xfId="0"/>
    <xf numFmtId="0" fontId="2" fillId="0" borderId="0" xfId="0" applyFont="1" applyAlignment="1">
      <alignment horizontal="right"/>
    </xf>
    <xf numFmtId="0" fontId="3" fillId="0" borderId="0" xfId="0" applyFont="1" applyAlignment="1">
      <alignment horizontal="right" wrapText="1"/>
    </xf>
    <xf numFmtId="0" fontId="4" fillId="0" borderId="0" xfId="0" applyFont="1" applyAlignment="1">
      <alignment horizontal="right"/>
    </xf>
    <xf numFmtId="0" fontId="5" fillId="0" borderId="0" xfId="0" applyFont="1" applyAlignment="1">
      <alignment horizontal="right" vertical="top"/>
    </xf>
    <xf numFmtId="49" fontId="4" fillId="0" borderId="0" xfId="0" applyNumberFormat="1" applyFont="1" applyAlignment="1">
      <alignment horizontal="right"/>
    </xf>
    <xf numFmtId="0" fontId="5" fillId="0" borderId="0" xfId="0" applyFont="1" applyAlignment="1">
      <alignment horizontal="right" vertical="center"/>
    </xf>
    <xf numFmtId="0" fontId="6" fillId="0" borderId="0" xfId="0" applyFont="1"/>
    <xf numFmtId="0" fontId="7" fillId="0" borderId="0" xfId="0" applyFont="1"/>
    <xf numFmtId="0" fontId="4" fillId="0" borderId="0" xfId="1" applyFont="1"/>
    <xf numFmtId="0" fontId="5" fillId="0" borderId="0" xfId="1" applyFont="1" applyAlignment="1">
      <alignment horizontal="center" vertical="center"/>
    </xf>
    <xf numFmtId="0" fontId="4" fillId="0" borderId="0" xfId="1" applyFont="1" applyAlignment="1">
      <alignment vertical="top" wrapText="1"/>
    </xf>
    <xf numFmtId="0" fontId="5" fillId="0" borderId="0" xfId="1" applyFont="1" applyAlignment="1">
      <alignment horizontal="left" vertical="top"/>
    </xf>
    <xf numFmtId="49" fontId="5" fillId="0" borderId="0" xfId="1" applyNumberFormat="1" applyFont="1" applyAlignment="1">
      <alignment horizontal="right" vertical="top" wrapText="1"/>
    </xf>
    <xf numFmtId="164" fontId="5" fillId="0" borderId="0" xfId="1" applyNumberFormat="1" applyFont="1" applyAlignment="1">
      <alignment horizontal="right" vertical="top" wrapText="1"/>
    </xf>
    <xf numFmtId="0" fontId="9" fillId="0" borderId="0" xfId="1" applyFont="1" applyAlignment="1">
      <alignment horizontal="left" vertical="top"/>
    </xf>
    <xf numFmtId="165" fontId="5" fillId="0" borderId="0" xfId="1" applyNumberFormat="1" applyFont="1" applyAlignment="1">
      <alignment horizontal="right" vertical="top" wrapText="1"/>
    </xf>
    <xf numFmtId="0" fontId="10" fillId="0" borderId="0" xfId="2" applyAlignment="1"/>
    <xf numFmtId="0" fontId="11" fillId="2" borderId="0" xfId="1" applyFont="1" applyFill="1"/>
    <xf numFmtId="0" fontId="4" fillId="0" borderId="0" xfId="1" applyFont="1" applyAlignment="1">
      <alignment horizontal="center" vertical="top" wrapText="1"/>
    </xf>
    <xf numFmtId="166" fontId="9" fillId="0" borderId="0" xfId="1" applyNumberFormat="1" applyFont="1" applyAlignment="1">
      <alignment horizontal="right" vertical="top" wrapText="1"/>
    </xf>
    <xf numFmtId="166" fontId="5" fillId="0" borderId="0" xfId="1" applyNumberFormat="1" applyFont="1" applyAlignment="1">
      <alignment horizontal="right" vertical="top" wrapText="1"/>
    </xf>
    <xf numFmtId="167" fontId="5" fillId="0" borderId="0" xfId="1" applyNumberFormat="1" applyFont="1" applyAlignment="1">
      <alignment horizontal="right" vertical="top" wrapText="1"/>
    </xf>
    <xf numFmtId="49" fontId="9" fillId="0" borderId="0" xfId="1" applyNumberFormat="1" applyFont="1" applyAlignment="1">
      <alignment horizontal="right" vertical="top" wrapText="1"/>
    </xf>
    <xf numFmtId="168" fontId="9" fillId="0" borderId="0" xfId="1" applyNumberFormat="1" applyFont="1" applyAlignment="1">
      <alignment horizontal="right" vertical="top" wrapText="1"/>
    </xf>
    <xf numFmtId="49" fontId="13" fillId="0" borderId="0" xfId="1" applyNumberFormat="1" applyFont="1" applyAlignment="1">
      <alignment horizontal="right" vertical="top" wrapText="1"/>
    </xf>
    <xf numFmtId="168" fontId="13" fillId="0" borderId="0" xfId="1" applyNumberFormat="1" applyFont="1" applyAlignment="1">
      <alignment horizontal="right" vertical="top" wrapText="1"/>
    </xf>
    <xf numFmtId="0" fontId="13" fillId="0" borderId="0" xfId="1" applyFont="1" applyAlignment="1">
      <alignment horizontal="left" vertical="top"/>
    </xf>
    <xf numFmtId="169" fontId="9" fillId="0" borderId="0" xfId="1" applyNumberFormat="1" applyFont="1" applyAlignment="1">
      <alignment horizontal="right" vertical="top" wrapText="1"/>
    </xf>
    <xf numFmtId="170" fontId="13" fillId="0" borderId="0" xfId="1" applyNumberFormat="1" applyFont="1" applyAlignment="1">
      <alignment horizontal="right" vertical="top" wrapText="1"/>
    </xf>
    <xf numFmtId="0" fontId="2" fillId="0" borderId="0" xfId="1" applyFont="1"/>
    <xf numFmtId="49" fontId="4" fillId="0" borderId="0" xfId="1" applyNumberFormat="1" applyFont="1"/>
    <xf numFmtId="0" fontId="3" fillId="0" borderId="0" xfId="1" applyFont="1" applyAlignment="1">
      <alignment wrapText="1"/>
    </xf>
    <xf numFmtId="0" fontId="6" fillId="0" borderId="0" xfId="1" applyFont="1"/>
    <xf numFmtId="37" fontId="4" fillId="0" borderId="0" xfId="1" applyNumberFormat="1" applyFont="1" applyAlignment="1">
      <alignment horizontal="right"/>
    </xf>
    <xf numFmtId="37" fontId="5" fillId="0" borderId="0" xfId="1" applyNumberFormat="1" applyFont="1" applyAlignment="1">
      <alignment horizontal="right" vertical="center"/>
    </xf>
    <xf numFmtId="37" fontId="5" fillId="0" borderId="0" xfId="1" applyNumberFormat="1" applyFont="1" applyAlignment="1">
      <alignment horizontal="right" vertical="top"/>
    </xf>
    <xf numFmtId="171" fontId="4" fillId="0" borderId="0" xfId="1" applyNumberFormat="1" applyFont="1"/>
    <xf numFmtId="171" fontId="5" fillId="0" borderId="0" xfId="1" applyNumberFormat="1" applyFont="1" applyAlignment="1">
      <alignment horizontal="right" vertical="top" wrapText="1"/>
    </xf>
    <xf numFmtId="171" fontId="5" fillId="0" borderId="0" xfId="1" applyNumberFormat="1" applyFont="1" applyAlignment="1">
      <alignment horizontal="left" vertical="top"/>
    </xf>
    <xf numFmtId="171" fontId="9" fillId="0" borderId="0" xfId="1" applyNumberFormat="1" applyFont="1" applyAlignment="1">
      <alignment horizontal="left" vertical="top"/>
    </xf>
    <xf numFmtId="172" fontId="4" fillId="0" borderId="0" xfId="1" applyNumberFormat="1" applyFont="1"/>
    <xf numFmtId="172" fontId="5" fillId="0" borderId="0" xfId="1" applyNumberFormat="1" applyFont="1" applyAlignment="1">
      <alignment horizontal="right" vertical="top" wrapText="1"/>
    </xf>
    <xf numFmtId="172" fontId="5" fillId="0" borderId="0" xfId="1" applyNumberFormat="1" applyFont="1" applyAlignment="1">
      <alignment horizontal="left" vertical="top"/>
    </xf>
    <xf numFmtId="172" fontId="9" fillId="0" borderId="0" xfId="1" applyNumberFormat="1" applyFont="1" applyAlignment="1">
      <alignment horizontal="left" vertical="top"/>
    </xf>
    <xf numFmtId="0" fontId="5" fillId="0" borderId="0" xfId="1" applyFont="1" applyAlignment="1">
      <alignment horizontal="right" vertical="top"/>
    </xf>
    <xf numFmtId="0" fontId="4" fillId="3" borderId="0" xfId="1" applyFont="1" applyFill="1"/>
    <xf numFmtId="37" fontId="5" fillId="3" borderId="0" xfId="1" applyNumberFormat="1" applyFont="1" applyFill="1" applyAlignment="1">
      <alignment horizontal="right" vertical="top"/>
    </xf>
    <xf numFmtId="0" fontId="5" fillId="3" borderId="0" xfId="1" applyFont="1" applyFill="1" applyAlignment="1">
      <alignment horizontal="left" vertical="top"/>
    </xf>
    <xf numFmtId="37" fontId="9" fillId="0" borderId="0" xfId="1" applyNumberFormat="1" applyFont="1" applyAlignment="1">
      <alignment horizontal="right" vertical="top"/>
    </xf>
    <xf numFmtId="173" fontId="9" fillId="0" borderId="0" xfId="1" applyNumberFormat="1" applyFont="1" applyAlignment="1">
      <alignment horizontal="right" vertical="top"/>
    </xf>
    <xf numFmtId="173" fontId="5" fillId="0" borderId="0" xfId="1" applyNumberFormat="1" applyFont="1" applyAlignment="1">
      <alignment horizontal="right" vertical="top" wrapText="1"/>
    </xf>
    <xf numFmtId="173" fontId="5" fillId="0" borderId="0" xfId="1" applyNumberFormat="1" applyFont="1" applyAlignment="1">
      <alignment horizontal="right" vertical="top"/>
    </xf>
    <xf numFmtId="173" fontId="9" fillId="0" borderId="0" xfId="1" applyNumberFormat="1" applyFont="1" applyAlignment="1">
      <alignment horizontal="right" vertical="top" wrapText="1"/>
    </xf>
    <xf numFmtId="0" fontId="9" fillId="0" borderId="0" xfId="1" applyFont="1" applyAlignment="1">
      <alignment horizontal="right" vertical="top"/>
    </xf>
    <xf numFmtId="0" fontId="8" fillId="0" borderId="0" xfId="1"/>
    <xf numFmtId="0" fontId="17" fillId="0" borderId="0" xfId="1" applyFont="1" applyAlignment="1">
      <alignment horizontal="center"/>
    </xf>
    <xf numFmtId="0" fontId="18" fillId="0" borderId="0" xfId="2" applyFont="1" applyAlignment="1">
      <alignment horizontal="center"/>
    </xf>
    <xf numFmtId="0" fontId="19" fillId="2" borderId="0" xfId="1" applyFont="1" applyFill="1" applyAlignment="1">
      <alignment horizontal="right"/>
    </xf>
    <xf numFmtId="0" fontId="19" fillId="2" borderId="0" xfId="1" applyFont="1" applyFill="1" applyAlignment="1">
      <alignment horizontal="center"/>
    </xf>
    <xf numFmtId="0" fontId="4" fillId="0" borderId="0" xfId="1" applyFont="1" applyAlignment="1">
      <alignment horizontal="right"/>
    </xf>
    <xf numFmtId="0" fontId="5" fillId="0" borderId="0" xfId="1" applyFont="1" applyAlignment="1">
      <alignment horizontal="right" vertical="center"/>
    </xf>
    <xf numFmtId="0" fontId="2" fillId="0" borderId="0" xfId="1" applyFont="1" applyAlignment="1">
      <alignment horizontal="right"/>
    </xf>
    <xf numFmtId="49" fontId="4" fillId="0" borderId="0" xfId="1" applyNumberFormat="1" applyFont="1" applyAlignment="1">
      <alignment horizontal="right"/>
    </xf>
    <xf numFmtId="0" fontId="3" fillId="0" borderId="0" xfId="1" applyFont="1" applyAlignment="1">
      <alignment horizontal="right" wrapText="1"/>
    </xf>
    <xf numFmtId="0" fontId="6" fillId="0" borderId="0" xfId="1" applyFont="1" applyAlignment="1">
      <alignment horizontal="right"/>
    </xf>
    <xf numFmtId="37" fontId="4" fillId="0" borderId="2" xfId="1" applyNumberFormat="1" applyFont="1" applyBorder="1" applyAlignment="1">
      <alignment horizontal="right"/>
    </xf>
    <xf numFmtId="174" fontId="4" fillId="0" borderId="0" xfId="1" applyNumberFormat="1" applyFont="1"/>
    <xf numFmtId="174" fontId="4" fillId="0" borderId="0" xfId="1" applyNumberFormat="1" applyFont="1" applyAlignment="1">
      <alignment horizontal="right"/>
    </xf>
    <xf numFmtId="173" fontId="22" fillId="0" borderId="2" xfId="1" applyNumberFormat="1" applyFont="1" applyBorder="1" applyAlignment="1">
      <alignment horizontal="right" vertical="top" wrapText="1"/>
    </xf>
    <xf numFmtId="173" fontId="4" fillId="0" borderId="0" xfId="1" applyNumberFormat="1" applyFont="1" applyAlignment="1">
      <alignment horizontal="right"/>
    </xf>
    <xf numFmtId="173" fontId="22" fillId="0" borderId="0" xfId="1" applyNumberFormat="1" applyFont="1" applyAlignment="1">
      <alignment horizontal="right" vertical="top" wrapText="1"/>
    </xf>
    <xf numFmtId="173" fontId="23" fillId="0" borderId="2" xfId="1" applyNumberFormat="1" applyFont="1" applyBorder="1" applyAlignment="1">
      <alignment horizontal="right" vertical="top" wrapText="1"/>
    </xf>
    <xf numFmtId="173" fontId="23" fillId="0" borderId="0" xfId="1" applyNumberFormat="1" applyFont="1" applyAlignment="1">
      <alignment horizontal="right" vertical="top" wrapText="1"/>
    </xf>
    <xf numFmtId="173" fontId="9" fillId="0" borderId="2" xfId="1" applyNumberFormat="1" applyFont="1" applyBorder="1" applyAlignment="1">
      <alignment horizontal="right" vertical="top" wrapText="1"/>
    </xf>
    <xf numFmtId="174" fontId="2" fillId="0" borderId="0" xfId="1" applyNumberFormat="1" applyFont="1"/>
    <xf numFmtId="174" fontId="2" fillId="0" borderId="0" xfId="1" applyNumberFormat="1" applyFont="1" applyAlignment="1">
      <alignment horizontal="right"/>
    </xf>
    <xf numFmtId="173" fontId="2" fillId="0" borderId="0" xfId="1" applyNumberFormat="1" applyFont="1" applyAlignment="1">
      <alignment horizontal="right"/>
    </xf>
    <xf numFmtId="173" fontId="5" fillId="0" borderId="2" xfId="1" applyNumberFormat="1" applyFont="1" applyBorder="1" applyAlignment="1">
      <alignment horizontal="right" vertical="top" wrapText="1"/>
    </xf>
    <xf numFmtId="173" fontId="5" fillId="0" borderId="0" xfId="1" applyNumberFormat="1" applyFont="1" applyAlignment="1">
      <alignment horizontal="right" vertical="center"/>
    </xf>
    <xf numFmtId="173" fontId="4" fillId="0" borderId="0" xfId="1" applyNumberFormat="1" applyFont="1"/>
    <xf numFmtId="173" fontId="9" fillId="0" borderId="3" xfId="1" applyNumberFormat="1" applyFont="1" applyBorder="1" applyAlignment="1">
      <alignment horizontal="right" vertical="top"/>
    </xf>
    <xf numFmtId="173" fontId="5" fillId="0" borderId="2" xfId="1" applyNumberFormat="1" applyFont="1" applyBorder="1" applyAlignment="1">
      <alignment horizontal="right" vertical="top"/>
    </xf>
    <xf numFmtId="173" fontId="9" fillId="0" borderId="2" xfId="1" applyNumberFormat="1" applyFont="1" applyBorder="1" applyAlignment="1">
      <alignment horizontal="right" vertical="top"/>
    </xf>
    <xf numFmtId="0" fontId="4" fillId="0" borderId="0" xfId="1" applyFont="1" applyAlignment="1">
      <alignment horizontal="left"/>
    </xf>
    <xf numFmtId="0" fontId="4" fillId="0" borderId="1" xfId="1" applyFont="1" applyBorder="1"/>
    <xf numFmtId="0" fontId="5" fillId="0" borderId="2" xfId="1" applyFont="1" applyBorder="1" applyAlignment="1">
      <alignment horizontal="right" vertical="top"/>
    </xf>
    <xf numFmtId="0" fontId="8" fillId="0" borderId="0" xfId="1" applyAlignment="1">
      <alignment horizontal="right"/>
    </xf>
    <xf numFmtId="0" fontId="18" fillId="0" borderId="0" xfId="2" applyFont="1" applyAlignment="1">
      <alignment horizontal="right"/>
    </xf>
    <xf numFmtId="0" fontId="19" fillId="2" borderId="2" xfId="1" applyFont="1" applyFill="1" applyBorder="1" applyAlignment="1">
      <alignment horizontal="right"/>
    </xf>
    <xf numFmtId="0" fontId="11" fillId="2" borderId="0" xfId="1" applyFont="1" applyFill="1" applyAlignment="1">
      <alignment horizontal="right"/>
    </xf>
    <xf numFmtId="0" fontId="4" fillId="0" borderId="2" xfId="1" applyFont="1" applyBorder="1" applyAlignment="1">
      <alignment horizontal="right"/>
    </xf>
    <xf numFmtId="0" fontId="5" fillId="0" borderId="0" xfId="1" applyFont="1" applyAlignment="1">
      <alignment horizontal="left" vertical="center"/>
    </xf>
    <xf numFmtId="173" fontId="2" fillId="0" borderId="0" xfId="1" applyNumberFormat="1" applyFont="1"/>
    <xf numFmtId="0" fontId="5" fillId="0" borderId="0" xfId="1" applyFont="1" applyAlignment="1">
      <alignment horizontal="center" vertical="center" wrapText="1"/>
    </xf>
    <xf numFmtId="168" fontId="3" fillId="0" borderId="0" xfId="1" applyNumberFormat="1" applyFont="1" applyAlignment="1">
      <alignment horizontal="right"/>
    </xf>
    <xf numFmtId="166" fontId="4" fillId="0" borderId="0" xfId="1" applyNumberFormat="1" applyFont="1" applyAlignment="1">
      <alignment horizontal="right"/>
    </xf>
    <xf numFmtId="176" fontId="3" fillId="0" borderId="0" xfId="1" applyNumberFormat="1" applyFont="1" applyAlignment="1">
      <alignment horizontal="right"/>
    </xf>
    <xf numFmtId="176" fontId="13" fillId="0" borderId="0" xfId="1" applyNumberFormat="1" applyFont="1" applyAlignment="1">
      <alignment horizontal="right" vertical="top" wrapText="1"/>
    </xf>
    <xf numFmtId="0" fontId="5" fillId="0" borderId="0" xfId="1" applyFont="1" applyAlignment="1">
      <alignment vertical="top" wrapText="1"/>
    </xf>
    <xf numFmtId="175" fontId="4" fillId="0" borderId="0" xfId="1" applyNumberFormat="1" applyFont="1" applyAlignment="1">
      <alignment horizontal="right"/>
    </xf>
    <xf numFmtId="175" fontId="5" fillId="0" borderId="0" xfId="1" applyNumberFormat="1" applyFont="1" applyAlignment="1">
      <alignment horizontal="right" vertical="top" wrapText="1"/>
    </xf>
    <xf numFmtId="164" fontId="4" fillId="0" borderId="0" xfId="1" applyNumberFormat="1" applyFont="1" applyAlignment="1">
      <alignment horizontal="right"/>
    </xf>
    <xf numFmtId="168" fontId="27" fillId="0" borderId="0" xfId="1" applyNumberFormat="1" applyFont="1" applyAlignment="1">
      <alignment horizontal="right"/>
    </xf>
    <xf numFmtId="166" fontId="2" fillId="0" borderId="0" xfId="1" applyNumberFormat="1" applyFont="1" applyAlignment="1">
      <alignment horizontal="right"/>
    </xf>
    <xf numFmtId="168" fontId="12" fillId="0" borderId="0" xfId="1" applyNumberFormat="1" applyFont="1" applyAlignment="1">
      <alignment horizontal="right" vertical="top" wrapText="1"/>
    </xf>
    <xf numFmtId="168" fontId="5" fillId="0" borderId="0" xfId="1" applyNumberFormat="1" applyFont="1" applyAlignment="1">
      <alignment horizontal="right" vertical="top" wrapText="1"/>
    </xf>
    <xf numFmtId="177" fontId="5" fillId="0" borderId="0" xfId="1" applyNumberFormat="1" applyFont="1" applyAlignment="1">
      <alignment horizontal="right" vertical="top" wrapText="1"/>
    </xf>
    <xf numFmtId="0" fontId="26" fillId="0" borderId="0" xfId="0" applyFont="1" applyAlignment="1">
      <alignment horizontal="left" wrapText="1"/>
    </xf>
    <xf numFmtId="0" fontId="16" fillId="5" borderId="0" xfId="1" applyFont="1" applyFill="1" applyAlignment="1">
      <alignment wrapText="1"/>
    </xf>
    <xf numFmtId="0" fontId="16" fillId="5" borderId="0" xfId="1" applyFont="1" applyFill="1" applyAlignment="1">
      <alignment horizontal="right" wrapText="1"/>
    </xf>
    <xf numFmtId="0" fontId="8" fillId="5" borderId="0" xfId="1" applyFill="1"/>
    <xf numFmtId="0" fontId="12" fillId="5" borderId="0" xfId="1" applyFont="1" applyFill="1" applyAlignment="1">
      <alignment wrapText="1"/>
    </xf>
    <xf numFmtId="0" fontId="12" fillId="5" borderId="0" xfId="1" applyFont="1" applyFill="1" applyAlignment="1">
      <alignment horizontal="right" wrapText="1"/>
    </xf>
    <xf numFmtId="0" fontId="4" fillId="5" borderId="0" xfId="1" applyFont="1" applyFill="1"/>
    <xf numFmtId="0" fontId="9" fillId="5" borderId="0" xfId="1" applyFont="1" applyFill="1" applyAlignment="1">
      <alignment wrapText="1"/>
    </xf>
    <xf numFmtId="0" fontId="9" fillId="5" borderId="0" xfId="1" applyFont="1" applyFill="1" applyAlignment="1">
      <alignment horizontal="right" wrapText="1"/>
    </xf>
    <xf numFmtId="0" fontId="16" fillId="5" borderId="2" xfId="1" applyFont="1" applyFill="1" applyBorder="1" applyAlignment="1">
      <alignment horizontal="right" wrapText="1"/>
    </xf>
    <xf numFmtId="0" fontId="12" fillId="5" borderId="2" xfId="1" applyFont="1" applyFill="1" applyBorder="1" applyAlignment="1">
      <alignment horizontal="right" wrapText="1"/>
    </xf>
    <xf numFmtId="0" fontId="27" fillId="5" borderId="0" xfId="1" applyFont="1" applyFill="1" applyAlignment="1">
      <alignment horizontal="right" wrapText="1"/>
    </xf>
    <xf numFmtId="0" fontId="2" fillId="5" borderId="0" xfId="1" applyFont="1" applyFill="1" applyAlignment="1">
      <alignment horizontal="right" wrapText="1"/>
    </xf>
    <xf numFmtId="0" fontId="21" fillId="0" borderId="0" xfId="1" applyFont="1" applyAlignment="1">
      <alignment horizontal="left" vertical="top"/>
    </xf>
    <xf numFmtId="173" fontId="20" fillId="0" borderId="0" xfId="1" applyNumberFormat="1" applyFont="1"/>
    <xf numFmtId="174" fontId="20" fillId="0" borderId="0" xfId="1" applyNumberFormat="1" applyFont="1" applyAlignment="1">
      <alignment horizontal="right"/>
    </xf>
    <xf numFmtId="174" fontId="20" fillId="0" borderId="0" xfId="1" applyNumberFormat="1" applyFont="1"/>
    <xf numFmtId="0" fontId="20" fillId="0" borderId="0" xfId="1" applyFont="1"/>
    <xf numFmtId="173" fontId="20" fillId="0" borderId="0" xfId="1" applyNumberFormat="1" applyFont="1" applyAlignment="1">
      <alignment horizontal="right"/>
    </xf>
    <xf numFmtId="0" fontId="24" fillId="0" borderId="4" xfId="1" applyFont="1" applyBorder="1"/>
    <xf numFmtId="0" fontId="30" fillId="5" borderId="2" xfId="1" applyFont="1" applyFill="1" applyBorder="1" applyAlignment="1">
      <alignment horizontal="center" wrapText="1"/>
    </xf>
    <xf numFmtId="0" fontId="31" fillId="0" borderId="0" xfId="1" applyFont="1" applyAlignment="1">
      <alignment horizontal="center"/>
    </xf>
    <xf numFmtId="0" fontId="30" fillId="5" borderId="2" xfId="1" applyFont="1" applyFill="1" applyBorder="1" applyAlignment="1">
      <alignment horizontal="left" wrapText="1"/>
    </xf>
    <xf numFmtId="0" fontId="30" fillId="5" borderId="0" xfId="1" applyFont="1" applyFill="1" applyAlignment="1">
      <alignment horizontal="center" vertical="center" wrapText="1"/>
    </xf>
    <xf numFmtId="0" fontId="30" fillId="5" borderId="2" xfId="1" applyFont="1" applyFill="1" applyBorder="1" applyAlignment="1">
      <alignment horizontal="center" vertical="center" wrapText="1"/>
    </xf>
    <xf numFmtId="37" fontId="9" fillId="0" borderId="2" xfId="1" applyNumberFormat="1" applyFont="1" applyBorder="1" applyAlignment="1">
      <alignment horizontal="right" vertical="top"/>
    </xf>
    <xf numFmtId="37" fontId="5" fillId="3" borderId="2" xfId="1" applyNumberFormat="1" applyFont="1" applyFill="1" applyBorder="1" applyAlignment="1">
      <alignment horizontal="right" vertical="top"/>
    </xf>
    <xf numFmtId="172" fontId="5" fillId="0" borderId="2" xfId="1" applyNumberFormat="1" applyFont="1" applyBorder="1" applyAlignment="1">
      <alignment horizontal="right" vertical="top" wrapText="1"/>
    </xf>
    <xf numFmtId="171" fontId="5" fillId="0" borderId="2" xfId="1" applyNumberFormat="1" applyFont="1" applyBorder="1" applyAlignment="1">
      <alignment horizontal="right" vertical="top" wrapText="1"/>
    </xf>
    <xf numFmtId="37" fontId="5" fillId="0" borderId="2" xfId="1" applyNumberFormat="1" applyFont="1" applyBorder="1" applyAlignment="1">
      <alignment horizontal="right" vertical="top"/>
    </xf>
    <xf numFmtId="0" fontId="30" fillId="5" borderId="0" xfId="1" applyFont="1" applyFill="1" applyAlignment="1">
      <alignment horizontal="center" wrapText="1"/>
    </xf>
    <xf numFmtId="173" fontId="20" fillId="0" borderId="2" xfId="1" applyNumberFormat="1" applyFont="1" applyBorder="1"/>
    <xf numFmtId="173" fontId="4" fillId="0" borderId="2" xfId="1" applyNumberFormat="1" applyFont="1" applyBorder="1" applyAlignment="1">
      <alignment horizontal="right"/>
    </xf>
    <xf numFmtId="173" fontId="20" fillId="0" borderId="2" xfId="1" applyNumberFormat="1" applyFont="1" applyBorder="1" applyAlignment="1">
      <alignment horizontal="right"/>
    </xf>
    <xf numFmtId="0" fontId="31" fillId="5" borderId="0" xfId="1" applyFont="1" applyFill="1" applyAlignment="1">
      <alignment horizontal="center"/>
    </xf>
    <xf numFmtId="173" fontId="2" fillId="0" borderId="2" xfId="1" applyNumberFormat="1" applyFont="1" applyBorder="1"/>
    <xf numFmtId="173" fontId="4" fillId="0" borderId="2" xfId="1" applyNumberFormat="1" applyFont="1" applyBorder="1"/>
    <xf numFmtId="0" fontId="4" fillId="0" borderId="2" xfId="1" applyFont="1" applyBorder="1"/>
    <xf numFmtId="174" fontId="4" fillId="0" borderId="2" xfId="1" applyNumberFormat="1" applyFont="1" applyBorder="1"/>
    <xf numFmtId="0" fontId="4" fillId="0" borderId="6" xfId="1" applyFont="1" applyBorder="1"/>
    <xf numFmtId="37" fontId="4" fillId="0" borderId="6" xfId="1" applyNumberFormat="1" applyFont="1" applyBorder="1" applyAlignment="1">
      <alignment horizontal="right"/>
    </xf>
    <xf numFmtId="37" fontId="4" fillId="0" borderId="5" xfId="1" applyNumberFormat="1" applyFont="1" applyBorder="1" applyAlignment="1">
      <alignment horizontal="right"/>
    </xf>
    <xf numFmtId="0" fontId="30" fillId="5" borderId="2" xfId="1" applyFont="1" applyFill="1" applyBorder="1" applyAlignment="1">
      <alignment horizontal="left" vertical="center" wrapText="1"/>
    </xf>
    <xf numFmtId="0" fontId="12" fillId="5" borderId="2" xfId="1" applyFont="1" applyFill="1" applyBorder="1" applyAlignment="1">
      <alignment wrapText="1"/>
    </xf>
    <xf numFmtId="0" fontId="9" fillId="0" borderId="2" xfId="1" applyFont="1" applyBorder="1" applyAlignment="1">
      <alignment horizontal="left" vertical="top"/>
    </xf>
    <xf numFmtId="0" fontId="5" fillId="0" borderId="2" xfId="1" applyFont="1" applyBorder="1" applyAlignment="1">
      <alignment horizontal="left" vertical="top"/>
    </xf>
    <xf numFmtId="0" fontId="5" fillId="0" borderId="2" xfId="1" applyFont="1" applyBorder="1" applyAlignment="1">
      <alignment horizontal="left" vertical="top" wrapText="1"/>
    </xf>
    <xf numFmtId="0" fontId="5" fillId="3" borderId="2" xfId="1" applyFont="1" applyFill="1" applyBorder="1" applyAlignment="1">
      <alignment horizontal="left" vertical="top"/>
    </xf>
    <xf numFmtId="172" fontId="9" fillId="0" borderId="2" xfId="1" applyNumberFormat="1" applyFont="1" applyBorder="1" applyAlignment="1">
      <alignment horizontal="left" vertical="top"/>
    </xf>
    <xf numFmtId="171" fontId="9" fillId="0" borderId="2" xfId="1" applyNumberFormat="1" applyFont="1" applyBorder="1" applyAlignment="1">
      <alignment horizontal="left" vertical="top"/>
    </xf>
    <xf numFmtId="0" fontId="21" fillId="0" borderId="2" xfId="1" applyFont="1" applyBorder="1" applyAlignment="1">
      <alignment horizontal="left" vertical="top"/>
    </xf>
    <xf numFmtId="0" fontId="4" fillId="0" borderId="5" xfId="1" applyFont="1" applyBorder="1"/>
    <xf numFmtId="0" fontId="33" fillId="0" borderId="0" xfId="2" applyFont="1" applyAlignment="1">
      <alignment horizontal="center"/>
    </xf>
    <xf numFmtId="0" fontId="34" fillId="0" borderId="0" xfId="1" applyFont="1" applyAlignment="1">
      <alignment horizontal="center"/>
    </xf>
    <xf numFmtId="0" fontId="31" fillId="0" borderId="0" xfId="1" applyFont="1" applyAlignment="1">
      <alignment horizontal="center" vertical="center"/>
    </xf>
    <xf numFmtId="0" fontId="29" fillId="0" borderId="0" xfId="1" applyFont="1"/>
    <xf numFmtId="0" fontId="28" fillId="6" borderId="2" xfId="1" applyFont="1" applyFill="1" applyBorder="1" applyAlignment="1">
      <alignment horizontal="center" vertical="center"/>
    </xf>
    <xf numFmtId="0" fontId="28" fillId="6" borderId="0" xfId="1" applyFont="1" applyFill="1" applyAlignment="1">
      <alignment horizontal="center"/>
    </xf>
    <xf numFmtId="0" fontId="28" fillId="6" borderId="0" xfId="1" applyFont="1" applyFill="1" applyAlignment="1">
      <alignment horizontal="right"/>
    </xf>
    <xf numFmtId="0" fontId="28" fillId="6" borderId="2" xfId="1" applyFont="1" applyFill="1" applyBorder="1" applyAlignment="1">
      <alignment horizontal="right"/>
    </xf>
    <xf numFmtId="37" fontId="32" fillId="6" borderId="2" xfId="1" applyNumberFormat="1" applyFont="1" applyFill="1" applyBorder="1" applyAlignment="1">
      <alignment horizontal="right" vertical="top"/>
    </xf>
    <xf numFmtId="0" fontId="29" fillId="0" borderId="0" xfId="1" applyFont="1" applyAlignment="1">
      <alignment vertical="center"/>
    </xf>
    <xf numFmtId="0" fontId="28" fillId="6" borderId="2" xfId="1" applyFont="1" applyFill="1" applyBorder="1" applyAlignment="1">
      <alignment vertical="center"/>
    </xf>
    <xf numFmtId="0" fontId="29" fillId="6" borderId="0" xfId="1" applyFont="1" applyFill="1" applyAlignment="1">
      <alignment vertical="center"/>
    </xf>
    <xf numFmtId="0" fontId="28" fillId="6" borderId="0" xfId="1" applyFont="1" applyFill="1" applyAlignment="1">
      <alignment vertical="center"/>
    </xf>
    <xf numFmtId="0" fontId="35" fillId="7" borderId="0" xfId="0" applyFont="1" applyFill="1"/>
    <xf numFmtId="0" fontId="36" fillId="7" borderId="0" xfId="0" applyFont="1" applyFill="1"/>
    <xf numFmtId="0" fontId="36" fillId="7" borderId="7" xfId="0" applyFont="1" applyFill="1" applyBorder="1"/>
    <xf numFmtId="0" fontId="36" fillId="0" borderId="0" xfId="0" applyFont="1"/>
    <xf numFmtId="0" fontId="38" fillId="0" borderId="0" xfId="0" applyFont="1"/>
    <xf numFmtId="0" fontId="40" fillId="0" borderId="0" xfId="0" applyFont="1"/>
    <xf numFmtId="0" fontId="37" fillId="0" borderId="0" xfId="0" applyFont="1"/>
    <xf numFmtId="10" fontId="36" fillId="0" borderId="0" xfId="0" applyNumberFormat="1" applyFont="1" applyAlignment="1">
      <alignment horizontal="right" indent="1"/>
    </xf>
    <xf numFmtId="10" fontId="36" fillId="0" borderId="0" xfId="0" applyNumberFormat="1" applyFont="1" applyAlignment="1">
      <alignment horizontal="left" indent="1"/>
    </xf>
    <xf numFmtId="10" fontId="36" fillId="0" borderId="0" xfId="0" applyNumberFormat="1" applyFont="1"/>
    <xf numFmtId="0" fontId="42" fillId="0" borderId="0" xfId="0" applyFont="1"/>
    <xf numFmtId="0" fontId="4" fillId="4" borderId="2" xfId="1" applyFont="1" applyFill="1" applyBorder="1"/>
    <xf numFmtId="0" fontId="4" fillId="4" borderId="0" xfId="1" applyFont="1" applyFill="1"/>
    <xf numFmtId="37" fontId="4" fillId="4" borderId="0" xfId="1" applyNumberFormat="1" applyFont="1" applyFill="1" applyAlignment="1">
      <alignment horizontal="right"/>
    </xf>
    <xf numFmtId="37" fontId="4" fillId="4" borderId="2" xfId="1" applyNumberFormat="1" applyFont="1" applyFill="1" applyBorder="1" applyAlignment="1">
      <alignment horizontal="right"/>
    </xf>
    <xf numFmtId="0" fontId="23" fillId="0" borderId="0" xfId="1" applyFont="1" applyAlignment="1">
      <alignment horizontal="left" vertical="top"/>
    </xf>
    <xf numFmtId="173" fontId="23" fillId="0" borderId="0" xfId="1" applyNumberFormat="1" applyFont="1" applyAlignment="1">
      <alignment horizontal="right" vertical="top"/>
    </xf>
    <xf numFmtId="0" fontId="6" fillId="0" borderId="2" xfId="1" applyFont="1" applyBorder="1"/>
    <xf numFmtId="0" fontId="3" fillId="0" borderId="2" xfId="1" applyFont="1" applyBorder="1" applyAlignment="1">
      <alignment wrapText="1"/>
    </xf>
    <xf numFmtId="0" fontId="43" fillId="0" borderId="2" xfId="0" applyFont="1" applyBorder="1"/>
    <xf numFmtId="0" fontId="45" fillId="6" borderId="2" xfId="1" applyFont="1" applyFill="1" applyBorder="1" applyAlignment="1">
      <alignment horizontal="center" wrapText="1"/>
    </xf>
    <xf numFmtId="0" fontId="45" fillId="6" borderId="2" xfId="1" applyFont="1" applyFill="1" applyBorder="1" applyAlignment="1">
      <alignment horizontal="center" vertical="top" wrapText="1"/>
    </xf>
    <xf numFmtId="178" fontId="43" fillId="0" borderId="2" xfId="0" applyNumberFormat="1" applyFont="1" applyBorder="1"/>
    <xf numFmtId="178" fontId="5" fillId="0" borderId="0" xfId="1" applyNumberFormat="1" applyFont="1" applyAlignment="1">
      <alignment horizontal="left" vertical="top"/>
    </xf>
    <xf numFmtId="178" fontId="5" fillId="0" borderId="0" xfId="1" applyNumberFormat="1" applyFont="1" applyAlignment="1">
      <alignment horizontal="right" vertical="top"/>
    </xf>
    <xf numFmtId="178" fontId="4" fillId="0" borderId="0" xfId="1" applyNumberFormat="1" applyFont="1"/>
    <xf numFmtId="179" fontId="43" fillId="0" borderId="2" xfId="0" applyNumberFormat="1" applyFont="1" applyBorder="1"/>
    <xf numFmtId="179" fontId="5" fillId="0" borderId="0" xfId="1" applyNumberFormat="1" applyFont="1" applyAlignment="1">
      <alignment horizontal="left" vertical="top"/>
    </xf>
    <xf numFmtId="179" fontId="5" fillId="0" borderId="0" xfId="1" applyNumberFormat="1" applyFont="1" applyAlignment="1">
      <alignment horizontal="right" vertical="top"/>
    </xf>
    <xf numFmtId="179" fontId="5" fillId="0" borderId="0" xfId="1" applyNumberFormat="1" applyFont="1" applyAlignment="1">
      <alignment horizontal="right" vertical="top" wrapText="1"/>
    </xf>
    <xf numFmtId="179" fontId="5" fillId="0" borderId="2" xfId="1" applyNumberFormat="1" applyFont="1" applyBorder="1" applyAlignment="1">
      <alignment horizontal="right" vertical="top" wrapText="1"/>
    </xf>
    <xf numFmtId="179" fontId="4" fillId="0" borderId="0" xfId="1" applyNumberFormat="1" applyFont="1"/>
    <xf numFmtId="179" fontId="9" fillId="0" borderId="0" xfId="1" applyNumberFormat="1" applyFont="1" applyAlignment="1">
      <alignment horizontal="left" vertical="top"/>
    </xf>
    <xf numFmtId="179" fontId="5" fillId="0" borderId="2" xfId="1" applyNumberFormat="1" applyFont="1" applyBorder="1" applyAlignment="1">
      <alignment horizontal="right" vertical="top"/>
    </xf>
    <xf numFmtId="178" fontId="44" fillId="0" borderId="2" xfId="0" applyNumberFormat="1" applyFont="1" applyBorder="1"/>
    <xf numFmtId="10" fontId="43" fillId="0" borderId="2" xfId="0" applyNumberFormat="1" applyFont="1" applyBorder="1" applyAlignment="1">
      <alignment horizontal="left" indent="2"/>
    </xf>
    <xf numFmtId="10" fontId="9" fillId="0" borderId="0" xfId="1" applyNumberFormat="1" applyFont="1" applyAlignment="1">
      <alignment horizontal="left" vertical="top"/>
    </xf>
    <xf numFmtId="10" fontId="9" fillId="0" borderId="0" xfId="1" applyNumberFormat="1" applyFont="1" applyAlignment="1">
      <alignment horizontal="right" vertical="top"/>
    </xf>
    <xf numFmtId="10" fontId="2" fillId="0" borderId="0" xfId="1" applyNumberFormat="1" applyFont="1"/>
    <xf numFmtId="178" fontId="5" fillId="0" borderId="2" xfId="1" applyNumberFormat="1" applyFont="1" applyBorder="1" applyAlignment="1">
      <alignment horizontal="right" vertical="top"/>
    </xf>
    <xf numFmtId="10" fontId="9" fillId="0" borderId="2" xfId="1" applyNumberFormat="1" applyFont="1" applyBorder="1" applyAlignment="1">
      <alignment horizontal="right" vertical="top"/>
    </xf>
    <xf numFmtId="173" fontId="23" fillId="0" borderId="2" xfId="1" applyNumberFormat="1" applyFont="1" applyBorder="1" applyAlignment="1">
      <alignment horizontal="right" vertical="top"/>
    </xf>
    <xf numFmtId="179" fontId="44" fillId="0" borderId="2" xfId="0" applyNumberFormat="1" applyFont="1" applyBorder="1" applyAlignment="1">
      <alignment wrapText="1"/>
    </xf>
    <xf numFmtId="174" fontId="43" fillId="0" borderId="2" xfId="0" applyNumberFormat="1" applyFont="1" applyBorder="1"/>
    <xf numFmtId="174" fontId="5" fillId="0" borderId="0" xfId="1" applyNumberFormat="1" applyFont="1" applyAlignment="1">
      <alignment horizontal="left" vertical="top"/>
    </xf>
    <xf numFmtId="174" fontId="5" fillId="0" borderId="0" xfId="1" applyNumberFormat="1" applyFont="1" applyAlignment="1">
      <alignment horizontal="right" vertical="top"/>
    </xf>
    <xf numFmtId="174" fontId="43" fillId="0" borderId="2" xfId="0" applyNumberFormat="1" applyFont="1" applyBorder="1" applyAlignment="1">
      <alignment wrapText="1"/>
    </xf>
    <xf numFmtId="180" fontId="4" fillId="0" borderId="0" xfId="1" applyNumberFormat="1" applyFont="1"/>
    <xf numFmtId="179" fontId="23" fillId="0" borderId="0" xfId="1" applyNumberFormat="1" applyFont="1" applyAlignment="1">
      <alignment horizontal="left" vertical="top"/>
    </xf>
    <xf numFmtId="174" fontId="5" fillId="0" borderId="2" xfId="1" applyNumberFormat="1" applyFont="1" applyBorder="1" applyAlignment="1">
      <alignment horizontal="right" vertical="top"/>
    </xf>
    <xf numFmtId="180" fontId="4" fillId="0" borderId="2" xfId="1" applyNumberFormat="1" applyFont="1" applyBorder="1"/>
    <xf numFmtId="0" fontId="12" fillId="0" borderId="2" xfId="1" applyFont="1" applyBorder="1" applyAlignment="1">
      <alignment wrapText="1"/>
    </xf>
    <xf numFmtId="0" fontId="12" fillId="0" borderId="0" xfId="1" applyFont="1" applyAlignment="1">
      <alignment wrapText="1"/>
    </xf>
    <xf numFmtId="0" fontId="12" fillId="0" borderId="0" xfId="1" applyFont="1" applyAlignment="1">
      <alignment horizontal="right" wrapText="1"/>
    </xf>
    <xf numFmtId="0" fontId="12" fillId="0" borderId="2" xfId="1" applyFont="1" applyBorder="1" applyAlignment="1">
      <alignment horizontal="right" wrapText="1"/>
    </xf>
    <xf numFmtId="4" fontId="9" fillId="0" borderId="0" xfId="1" applyNumberFormat="1" applyFont="1" applyAlignment="1">
      <alignment horizontal="right" vertical="top"/>
    </xf>
    <xf numFmtId="179" fontId="44" fillId="0" borderId="2" xfId="0" applyNumberFormat="1" applyFont="1" applyBorder="1"/>
    <xf numFmtId="0" fontId="25" fillId="0" borderId="8" xfId="1" applyFont="1" applyBorder="1" applyAlignment="1">
      <alignment horizontal="left" vertical="top"/>
    </xf>
    <xf numFmtId="0" fontId="23" fillId="0" borderId="9" xfId="1" applyFont="1" applyBorder="1" applyAlignment="1">
      <alignment horizontal="left" vertical="top"/>
    </xf>
    <xf numFmtId="173" fontId="23" fillId="0" borderId="9" xfId="1" applyNumberFormat="1" applyFont="1" applyBorder="1" applyAlignment="1">
      <alignment horizontal="right" vertical="top"/>
    </xf>
    <xf numFmtId="0" fontId="21" fillId="0" borderId="8" xfId="1" applyFont="1" applyBorder="1" applyAlignment="1">
      <alignment horizontal="left" vertical="top"/>
    </xf>
    <xf numFmtId="0" fontId="20" fillId="0" borderId="9" xfId="1" applyFont="1" applyBorder="1"/>
    <xf numFmtId="173" fontId="20" fillId="0" borderId="9" xfId="1" applyNumberFormat="1" applyFont="1" applyBorder="1" applyAlignment="1">
      <alignment horizontal="right"/>
    </xf>
    <xf numFmtId="0" fontId="4" fillId="0" borderId="9" xfId="1" applyFont="1" applyBorder="1"/>
    <xf numFmtId="174" fontId="44" fillId="0" borderId="2" xfId="0" applyNumberFormat="1" applyFont="1" applyBorder="1"/>
    <xf numFmtId="174" fontId="5" fillId="0" borderId="0" xfId="1" quotePrefix="1" applyNumberFormat="1" applyFont="1" applyAlignment="1">
      <alignment horizontal="right" vertical="top"/>
    </xf>
    <xf numFmtId="174" fontId="5" fillId="0" borderId="0" xfId="1" applyNumberFormat="1" applyFont="1" applyAlignment="1">
      <alignment horizontal="right" vertical="top" wrapText="1"/>
    </xf>
    <xf numFmtId="174" fontId="5" fillId="0" borderId="2" xfId="1" applyNumberFormat="1" applyFont="1" applyBorder="1" applyAlignment="1">
      <alignment horizontal="right" vertical="top" wrapText="1"/>
    </xf>
    <xf numFmtId="4" fontId="5" fillId="0" borderId="0" xfId="1" applyNumberFormat="1" applyFont="1" applyAlignment="1">
      <alignment horizontal="right" vertical="top"/>
    </xf>
    <xf numFmtId="2" fontId="5" fillId="0" borderId="0" xfId="1" applyNumberFormat="1" applyFont="1" applyAlignment="1">
      <alignment horizontal="right" vertical="top"/>
    </xf>
    <xf numFmtId="2" fontId="5" fillId="0" borderId="2" xfId="1" applyNumberFormat="1" applyFont="1" applyBorder="1" applyAlignment="1">
      <alignment horizontal="right" vertical="top"/>
    </xf>
    <xf numFmtId="0" fontId="4" fillId="0" borderId="2" xfId="1" applyFont="1" applyBorder="1" applyAlignment="1">
      <alignment wrapText="1"/>
    </xf>
    <xf numFmtId="181" fontId="9" fillId="0" borderId="0" xfId="1" applyNumberFormat="1" applyFont="1" applyAlignment="1">
      <alignment horizontal="right" vertical="top"/>
    </xf>
    <xf numFmtId="181" fontId="9" fillId="0" borderId="2" xfId="1" applyNumberFormat="1" applyFont="1" applyBorder="1" applyAlignment="1">
      <alignment horizontal="right" vertical="top"/>
    </xf>
    <xf numFmtId="3" fontId="9" fillId="0" borderId="0" xfId="1" applyNumberFormat="1" applyFont="1" applyAlignment="1">
      <alignment horizontal="right" vertical="top"/>
    </xf>
    <xf numFmtId="10" fontId="4" fillId="0" borderId="0" xfId="1" applyNumberFormat="1" applyFont="1"/>
    <xf numFmtId="2" fontId="9" fillId="0" borderId="0" xfId="1" applyNumberFormat="1" applyFont="1" applyAlignment="1">
      <alignment horizontal="right" vertical="top"/>
    </xf>
    <xf numFmtId="2" fontId="9" fillId="0" borderId="2" xfId="1" applyNumberFormat="1" applyFont="1" applyBorder="1" applyAlignment="1">
      <alignment horizontal="right" vertical="top"/>
    </xf>
    <xf numFmtId="0" fontId="47" fillId="0" borderId="11" xfId="0" applyFont="1" applyBorder="1"/>
    <xf numFmtId="0" fontId="46" fillId="0" borderId="11" xfId="0" applyFont="1" applyBorder="1"/>
    <xf numFmtId="0" fontId="48" fillId="0" borderId="11" xfId="0" applyFont="1" applyBorder="1"/>
    <xf numFmtId="4" fontId="9" fillId="0" borderId="2" xfId="1" applyNumberFormat="1" applyFont="1" applyBorder="1" applyAlignment="1">
      <alignment horizontal="right" vertical="top"/>
    </xf>
    <xf numFmtId="0" fontId="9" fillId="0" borderId="2" xfId="1" applyFont="1" applyBorder="1" applyAlignment="1">
      <alignment horizontal="right" vertical="top"/>
    </xf>
    <xf numFmtId="174" fontId="5" fillId="0" borderId="2" xfId="1" quotePrefix="1" applyNumberFormat="1" applyFont="1" applyBorder="1" applyAlignment="1">
      <alignment horizontal="right" vertical="top"/>
    </xf>
    <xf numFmtId="182" fontId="5" fillId="0" borderId="0" xfId="1" applyNumberFormat="1" applyFont="1" applyAlignment="1">
      <alignment horizontal="right" vertical="top"/>
    </xf>
    <xf numFmtId="182" fontId="5" fillId="0" borderId="2" xfId="1" applyNumberFormat="1" applyFont="1" applyBorder="1" applyAlignment="1">
      <alignment horizontal="right" vertical="top"/>
    </xf>
    <xf numFmtId="183" fontId="5" fillId="0" borderId="0" xfId="1" applyNumberFormat="1" applyFont="1" applyAlignment="1">
      <alignment horizontal="right" vertical="top"/>
    </xf>
    <xf numFmtId="183" fontId="5" fillId="0" borderId="2" xfId="1" applyNumberFormat="1" applyFont="1" applyBorder="1" applyAlignment="1">
      <alignment horizontal="right" vertical="top"/>
    </xf>
    <xf numFmtId="179" fontId="49" fillId="0" borderId="2" xfId="0" applyNumberFormat="1" applyFont="1" applyBorder="1"/>
    <xf numFmtId="0" fontId="51" fillId="0" borderId="0" xfId="4"/>
    <xf numFmtId="0" fontId="50" fillId="8" borderId="0" xfId="3"/>
    <xf numFmtId="0" fontId="52" fillId="8" borderId="12" xfId="5">
      <alignment horizontal="left" vertical="center" readingOrder="1"/>
    </xf>
    <xf numFmtId="0" fontId="53" fillId="9" borderId="0" xfId="6">
      <alignment horizontal="center"/>
    </xf>
    <xf numFmtId="0" fontId="54" fillId="8" borderId="13" xfId="7">
      <alignment horizontal="left"/>
    </xf>
    <xf numFmtId="0" fontId="54" fillId="8" borderId="13" xfId="8">
      <alignment horizontal="centerContinuous"/>
    </xf>
    <xf numFmtId="0" fontId="54" fillId="8" borderId="14" xfId="9">
      <alignment horizontal="left"/>
    </xf>
    <xf numFmtId="0" fontId="54" fillId="8" borderId="14" xfId="10">
      <alignment horizontal="centerContinuous"/>
    </xf>
    <xf numFmtId="0" fontId="16" fillId="9" borderId="10" xfId="11"/>
    <xf numFmtId="184" fontId="16" fillId="9" borderId="10" xfId="12">
      <alignment horizontal="right"/>
    </xf>
    <xf numFmtId="185" fontId="16" fillId="9" borderId="7" xfId="13">
      <alignment horizontal="right"/>
    </xf>
    <xf numFmtId="0" fontId="55" fillId="9" borderId="10" xfId="14"/>
    <xf numFmtId="184" fontId="56" fillId="9" borderId="10" xfId="15">
      <alignment horizontal="right"/>
    </xf>
    <xf numFmtId="185" fontId="56" fillId="9" borderId="7" xfId="16">
      <alignment horizontal="right"/>
    </xf>
    <xf numFmtId="0" fontId="57" fillId="10" borderId="1" xfId="17"/>
    <xf numFmtId="173" fontId="14" fillId="0" borderId="0" xfId="0" applyNumberFormat="1" applyFont="1" applyAlignment="1">
      <alignment horizontal="right" vertical="top"/>
    </xf>
    <xf numFmtId="0" fontId="58" fillId="0" borderId="0" xfId="0" applyFont="1"/>
    <xf numFmtId="0" fontId="0" fillId="4" borderId="0" xfId="0" applyFill="1"/>
    <xf numFmtId="0" fontId="2" fillId="0" borderId="18" xfId="1" applyFont="1" applyBorder="1"/>
    <xf numFmtId="0" fontId="5" fillId="4" borderId="0" xfId="1" applyFont="1" applyFill="1" applyAlignment="1">
      <alignment horizontal="left" vertical="top"/>
    </xf>
    <xf numFmtId="173" fontId="5" fillId="4" borderId="0" xfId="1" applyNumberFormat="1" applyFont="1" applyFill="1" applyAlignment="1">
      <alignment horizontal="right" vertical="top"/>
    </xf>
    <xf numFmtId="173" fontId="5" fillId="4" borderId="0" xfId="1" applyNumberFormat="1" applyFont="1" applyFill="1" applyAlignment="1">
      <alignment horizontal="right" vertical="top" wrapText="1"/>
    </xf>
    <xf numFmtId="173" fontId="4" fillId="4" borderId="0" xfId="1" applyNumberFormat="1" applyFont="1" applyFill="1"/>
    <xf numFmtId="0" fontId="9" fillId="4" borderId="0" xfId="1" applyFont="1" applyFill="1" applyAlignment="1">
      <alignment horizontal="left" vertical="top"/>
    </xf>
    <xf numFmtId="173" fontId="9" fillId="4" borderId="0" xfId="1" applyNumberFormat="1" applyFont="1" applyFill="1" applyAlignment="1">
      <alignment horizontal="right" vertical="top"/>
    </xf>
    <xf numFmtId="173" fontId="9" fillId="4" borderId="2" xfId="1" applyNumberFormat="1" applyFont="1" applyFill="1" applyBorder="1" applyAlignment="1">
      <alignment horizontal="right" vertical="top"/>
    </xf>
    <xf numFmtId="0" fontId="4" fillId="4" borderId="0" xfId="1" applyFont="1" applyFill="1" applyAlignment="1">
      <alignment horizontal="right"/>
    </xf>
    <xf numFmtId="2" fontId="5" fillId="0" borderId="0" xfId="1" quotePrefix="1" applyNumberFormat="1" applyFont="1" applyAlignment="1">
      <alignment horizontal="right" vertical="top"/>
    </xf>
    <xf numFmtId="173" fontId="5" fillId="4" borderId="2" xfId="1" applyNumberFormat="1" applyFont="1" applyFill="1" applyBorder="1" applyAlignment="1">
      <alignment horizontal="right" vertical="top" wrapText="1"/>
    </xf>
    <xf numFmtId="173" fontId="9" fillId="4" borderId="0" xfId="1" applyNumberFormat="1" applyFont="1" applyFill="1" applyAlignment="1">
      <alignment horizontal="right" vertical="top" wrapText="1"/>
    </xf>
    <xf numFmtId="0" fontId="2" fillId="4" borderId="0" xfId="1" applyFont="1" applyFill="1"/>
    <xf numFmtId="2" fontId="44" fillId="0" borderId="2" xfId="0" applyNumberFormat="1" applyFont="1" applyBorder="1"/>
    <xf numFmtId="2" fontId="5" fillId="0" borderId="0" xfId="1" applyNumberFormat="1" applyFont="1" applyAlignment="1">
      <alignment horizontal="left" vertical="top"/>
    </xf>
    <xf numFmtId="2" fontId="4" fillId="0" borderId="0" xfId="1" applyNumberFormat="1" applyFont="1"/>
    <xf numFmtId="2" fontId="43" fillId="0" borderId="2" xfId="0" applyNumberFormat="1" applyFont="1" applyBorder="1"/>
    <xf numFmtId="2" fontId="9" fillId="0" borderId="0" xfId="1" quotePrefix="1" applyNumberFormat="1" applyFont="1" applyAlignment="1">
      <alignment horizontal="right" vertical="top"/>
    </xf>
    <xf numFmtId="2" fontId="9" fillId="0" borderId="2" xfId="1" quotePrefix="1" applyNumberFormat="1" applyFont="1" applyBorder="1" applyAlignment="1">
      <alignment horizontal="right" vertical="top"/>
    </xf>
    <xf numFmtId="2" fontId="5" fillId="0" borderId="0" xfId="1" applyNumberFormat="1" applyFont="1" applyAlignment="1">
      <alignment horizontal="right" vertical="top" wrapText="1"/>
    </xf>
    <xf numFmtId="2" fontId="9" fillId="0" borderId="0" xfId="1" applyNumberFormat="1" applyFont="1" applyAlignment="1">
      <alignment horizontal="right" vertical="top" wrapText="1"/>
    </xf>
    <xf numFmtId="2" fontId="9" fillId="0" borderId="2" xfId="1" applyNumberFormat="1" applyFont="1" applyBorder="1" applyAlignment="1">
      <alignment horizontal="right" vertical="top" wrapText="1"/>
    </xf>
    <xf numFmtId="10" fontId="5" fillId="0" borderId="0" xfId="1" applyNumberFormat="1" applyFont="1" applyAlignment="1">
      <alignment horizontal="right" vertical="top"/>
    </xf>
    <xf numFmtId="10" fontId="5" fillId="0" borderId="2" xfId="1" applyNumberFormat="1" applyFont="1" applyBorder="1" applyAlignment="1">
      <alignment horizontal="right" vertical="top"/>
    </xf>
    <xf numFmtId="10" fontId="4" fillId="0" borderId="2" xfId="1" applyNumberFormat="1" applyFont="1" applyBorder="1"/>
    <xf numFmtId="184" fontId="5" fillId="0" borderId="0" xfId="1" applyNumberFormat="1" applyFont="1" applyAlignment="1">
      <alignment horizontal="right" vertical="top"/>
    </xf>
    <xf numFmtId="184" fontId="5" fillId="0" borderId="2" xfId="1" applyNumberFormat="1" applyFont="1" applyBorder="1" applyAlignment="1">
      <alignment horizontal="right" vertical="top"/>
    </xf>
    <xf numFmtId="0" fontId="23" fillId="0" borderId="2" xfId="1" applyFont="1" applyBorder="1" applyAlignment="1">
      <alignment horizontal="left" vertical="top"/>
    </xf>
    <xf numFmtId="181" fontId="5" fillId="0" borderId="0" xfId="1" applyNumberFormat="1" applyFont="1" applyAlignment="1">
      <alignment horizontal="right" vertical="top" wrapText="1"/>
    </xf>
    <xf numFmtId="0" fontId="16" fillId="0" borderId="2" xfId="1" applyFont="1" applyBorder="1" applyAlignment="1">
      <alignment horizontal="left" vertical="top"/>
    </xf>
    <xf numFmtId="3" fontId="9" fillId="0" borderId="2" xfId="1" applyNumberFormat="1" applyFont="1" applyBorder="1" applyAlignment="1">
      <alignment horizontal="right" vertical="top"/>
    </xf>
    <xf numFmtId="181" fontId="5" fillId="0" borderId="0" xfId="1" applyNumberFormat="1" applyFont="1" applyAlignment="1">
      <alignment horizontal="right" vertical="top"/>
    </xf>
    <xf numFmtId="181" fontId="5" fillId="0" borderId="2" xfId="1" applyNumberFormat="1" applyFont="1" applyBorder="1" applyAlignment="1">
      <alignment horizontal="right" vertical="top"/>
    </xf>
    <xf numFmtId="179" fontId="43" fillId="0" borderId="2" xfId="0" applyNumberFormat="1" applyFont="1" applyBorder="1" applyAlignment="1">
      <alignment wrapText="1"/>
    </xf>
    <xf numFmtId="0" fontId="28" fillId="0" borderId="2" xfId="1" applyFont="1" applyBorder="1" applyAlignment="1">
      <alignment vertical="center"/>
    </xf>
    <xf numFmtId="0" fontId="28" fillId="0" borderId="0" xfId="1" applyFont="1" applyAlignment="1">
      <alignment vertical="center"/>
    </xf>
    <xf numFmtId="0" fontId="30" fillId="0" borderId="2" xfId="1" applyFont="1" applyBorder="1" applyAlignment="1">
      <alignment horizontal="left" wrapText="1"/>
    </xf>
    <xf numFmtId="0" fontId="30" fillId="0" borderId="0" xfId="1" applyFont="1" applyAlignment="1">
      <alignment horizontal="center" wrapText="1"/>
    </xf>
    <xf numFmtId="0" fontId="30" fillId="0" borderId="2" xfId="1" applyFont="1" applyBorder="1" applyAlignment="1">
      <alignment horizontal="center" wrapText="1"/>
    </xf>
    <xf numFmtId="0" fontId="44" fillId="12" borderId="0" xfId="1" applyFont="1" applyFill="1" applyAlignment="1">
      <alignment wrapText="1"/>
    </xf>
    <xf numFmtId="0" fontId="66" fillId="12" borderId="0" xfId="1" applyFont="1" applyFill="1" applyAlignment="1">
      <alignment horizontal="center" wrapText="1"/>
    </xf>
    <xf numFmtId="43" fontId="66" fillId="12" borderId="0" xfId="18" applyFont="1" applyFill="1" applyAlignment="1">
      <alignment horizontal="center" wrapText="1"/>
    </xf>
    <xf numFmtId="0" fontId="64" fillId="6" borderId="0" xfId="1" applyFont="1" applyFill="1" applyAlignment="1">
      <alignment vertical="center"/>
    </xf>
    <xf numFmtId="0" fontId="62" fillId="6" borderId="0" xfId="1" applyFont="1" applyFill="1" applyAlignment="1">
      <alignment horizontal="center" vertical="center"/>
    </xf>
    <xf numFmtId="186" fontId="0" fillId="0" borderId="0" xfId="0" applyNumberFormat="1"/>
    <xf numFmtId="186" fontId="0" fillId="0" borderId="10" xfId="0" applyNumberFormat="1" applyBorder="1"/>
    <xf numFmtId="186" fontId="0" fillId="11" borderId="0" xfId="0" applyNumberFormat="1" applyFill="1"/>
    <xf numFmtId="186" fontId="44" fillId="0" borderId="0" xfId="1" applyNumberFormat="1" applyFont="1" applyAlignment="1">
      <alignment vertical="center"/>
    </xf>
    <xf numFmtId="186" fontId="59" fillId="0" borderId="0" xfId="1" applyNumberFormat="1" applyFont="1" applyAlignment="1">
      <alignment horizontal="center" vertical="center"/>
    </xf>
    <xf numFmtId="186" fontId="60" fillId="0" borderId="16" xfId="1" applyNumberFormat="1" applyFont="1" applyBorder="1" applyAlignment="1">
      <alignment vertical="center"/>
    </xf>
    <xf numFmtId="186" fontId="61" fillId="0" borderId="16" xfId="1" applyNumberFormat="1" applyFont="1" applyBorder="1" applyAlignment="1">
      <alignment vertical="center"/>
    </xf>
    <xf numFmtId="186" fontId="59" fillId="0" borderId="16" xfId="1" applyNumberFormat="1" applyFont="1" applyBorder="1" applyAlignment="1">
      <alignment horizontal="center" vertical="center"/>
    </xf>
    <xf numFmtId="186" fontId="43" fillId="0" borderId="0" xfId="1" applyNumberFormat="1" applyFont="1" applyAlignment="1">
      <alignment vertical="center"/>
    </xf>
    <xf numFmtId="186" fontId="62" fillId="0" borderId="0" xfId="1" applyNumberFormat="1" applyFont="1" applyAlignment="1">
      <alignment horizontal="center" vertical="center"/>
    </xf>
    <xf numFmtId="186" fontId="0" fillId="13" borderId="0" xfId="0" applyNumberFormat="1" applyFill="1"/>
    <xf numFmtId="186" fontId="44" fillId="0" borderId="0" xfId="1" applyNumberFormat="1" applyFont="1" applyAlignment="1">
      <alignment horizontal="left" vertical="center" indent="1"/>
    </xf>
    <xf numFmtId="186" fontId="63" fillId="0" borderId="0" xfId="1" applyNumberFormat="1" applyFont="1" applyAlignment="1">
      <alignment horizontal="center" vertical="center"/>
    </xf>
    <xf numFmtId="186" fontId="44" fillId="0" borderId="17" xfId="1" applyNumberFormat="1" applyFont="1" applyBorder="1" applyAlignment="1">
      <alignment vertical="center"/>
    </xf>
    <xf numFmtId="186" fontId="59" fillId="0" borderId="17" xfId="1" applyNumberFormat="1" applyFont="1" applyBorder="1" applyAlignment="1">
      <alignment horizontal="center" vertical="center"/>
    </xf>
    <xf numFmtId="186" fontId="44" fillId="0" borderId="10" xfId="1" applyNumberFormat="1" applyFont="1" applyBorder="1" applyAlignment="1">
      <alignment vertical="center"/>
    </xf>
    <xf numFmtId="186" fontId="64" fillId="0" borderId="0" xfId="1" applyNumberFormat="1" applyFont="1" applyAlignment="1">
      <alignment vertical="center"/>
    </xf>
    <xf numFmtId="186" fontId="0" fillId="14" borderId="0" xfId="0" applyNumberFormat="1" applyFill="1"/>
    <xf numFmtId="0" fontId="69" fillId="15" borderId="0" xfId="0" applyFont="1" applyFill="1"/>
    <xf numFmtId="0" fontId="70" fillId="15" borderId="0" xfId="0" applyFont="1" applyFill="1" applyAlignment="1">
      <alignment horizontal="right"/>
    </xf>
    <xf numFmtId="10" fontId="70" fillId="15" borderId="0" xfId="0" applyNumberFormat="1" applyFont="1" applyFill="1" applyAlignment="1">
      <alignment horizontal="right"/>
    </xf>
    <xf numFmtId="10" fontId="70" fillId="15" borderId="0" xfId="0" applyNumberFormat="1" applyFont="1" applyFill="1"/>
    <xf numFmtId="10" fontId="70" fillId="0" borderId="0" xfId="0" applyNumberFormat="1" applyFont="1"/>
    <xf numFmtId="0" fontId="69" fillId="0" borderId="0" xfId="0" applyFont="1"/>
    <xf numFmtId="10" fontId="69" fillId="0" borderId="0" xfId="0" applyNumberFormat="1" applyFont="1"/>
    <xf numFmtId="0" fontId="71" fillId="15" borderId="0" xfId="0" applyFont="1" applyFill="1"/>
    <xf numFmtId="10" fontId="72" fillId="15" borderId="0" xfId="0" applyNumberFormat="1" applyFont="1" applyFill="1"/>
    <xf numFmtId="0" fontId="69" fillId="15" borderId="0" xfId="0" applyFont="1" applyFill="1" applyAlignment="1">
      <alignment horizontal="left" vertical="top" indent="4"/>
    </xf>
    <xf numFmtId="0" fontId="73" fillId="15" borderId="0" xfId="0" applyFont="1" applyFill="1"/>
    <xf numFmtId="0" fontId="70" fillId="0" borderId="0" xfId="0" applyFont="1"/>
    <xf numFmtId="0" fontId="69" fillId="15" borderId="0" xfId="0" applyFont="1" applyFill="1" applyAlignment="1">
      <alignment horizontal="left" indent="4"/>
    </xf>
    <xf numFmtId="0" fontId="70" fillId="15" borderId="0" xfId="0" applyFont="1" applyFill="1" applyAlignment="1">
      <alignment horizontal="left" indent="4"/>
    </xf>
    <xf numFmtId="0" fontId="74" fillId="0" borderId="0" xfId="0" applyFont="1"/>
    <xf numFmtId="0" fontId="69" fillId="15" borderId="0" xfId="0" applyFont="1" applyFill="1" applyAlignment="1">
      <alignment horizontal="left" indent="2"/>
    </xf>
    <xf numFmtId="0" fontId="60" fillId="15" borderId="16" xfId="1" applyFont="1" applyFill="1" applyBorder="1" applyAlignment="1">
      <alignment vertical="center"/>
    </xf>
    <xf numFmtId="0" fontId="61" fillId="15" borderId="16" xfId="1" applyFont="1" applyFill="1" applyBorder="1" applyAlignment="1">
      <alignment vertical="center"/>
    </xf>
    <xf numFmtId="0" fontId="59" fillId="15" borderId="16" xfId="1" applyFont="1" applyFill="1" applyBorder="1" applyAlignment="1">
      <alignment horizontal="center" vertical="center"/>
    </xf>
    <xf numFmtId="0" fontId="43" fillId="15" borderId="17" xfId="1" applyFont="1" applyFill="1" applyBorder="1" applyAlignment="1">
      <alignment vertical="center"/>
    </xf>
    <xf numFmtId="0" fontId="62" fillId="15" borderId="17" xfId="1" applyFont="1" applyFill="1" applyBorder="1" applyAlignment="1">
      <alignment horizontal="center" vertical="center"/>
    </xf>
    <xf numFmtId="0" fontId="76" fillId="6" borderId="0" xfId="1" applyFont="1" applyFill="1" applyAlignment="1">
      <alignment vertical="center"/>
    </xf>
    <xf numFmtId="0" fontId="44" fillId="6" borderId="0" xfId="1" applyFont="1" applyFill="1" applyAlignment="1">
      <alignment vertical="center"/>
    </xf>
    <xf numFmtId="0" fontId="77" fillId="15" borderId="0" xfId="0" applyFont="1" applyFill="1"/>
    <xf numFmtId="0" fontId="44" fillId="15" borderId="0" xfId="0" applyFont="1" applyFill="1"/>
    <xf numFmtId="10" fontId="44" fillId="15" borderId="0" xfId="19" applyNumberFormat="1" applyFont="1" applyFill="1"/>
    <xf numFmtId="3" fontId="63" fillId="15" borderId="0" xfId="0" applyNumberFormat="1" applyFont="1" applyFill="1"/>
    <xf numFmtId="3" fontId="44" fillId="15" borderId="0" xfId="0" applyNumberFormat="1" applyFont="1" applyFill="1"/>
    <xf numFmtId="2" fontId="44" fillId="15" borderId="0" xfId="19" applyNumberFormat="1" applyFont="1" applyFill="1"/>
    <xf numFmtId="10" fontId="44" fillId="15" borderId="0" xfId="0" applyNumberFormat="1" applyFont="1" applyFill="1"/>
    <xf numFmtId="0" fontId="43" fillId="15" borderId="0" xfId="0" applyFont="1" applyFill="1"/>
    <xf numFmtId="10" fontId="43" fillId="15" borderId="0" xfId="19" applyNumberFormat="1" applyFont="1" applyFill="1"/>
    <xf numFmtId="0" fontId="78" fillId="15" borderId="0" xfId="0" applyFont="1" applyFill="1"/>
    <xf numFmtId="10" fontId="78" fillId="15" borderId="0" xfId="19" applyNumberFormat="1" applyFont="1" applyFill="1"/>
    <xf numFmtId="0" fontId="77" fillId="6" borderId="0" xfId="0" applyFont="1" applyFill="1"/>
    <xf numFmtId="0" fontId="60" fillId="0" borderId="0" xfId="1" applyFont="1" applyAlignment="1">
      <alignment vertical="center"/>
    </xf>
    <xf numFmtId="0" fontId="44" fillId="15" borderId="19" xfId="0" applyFont="1" applyFill="1" applyBorder="1"/>
    <xf numFmtId="0" fontId="44" fillId="15" borderId="20" xfId="0" applyFont="1" applyFill="1" applyBorder="1"/>
    <xf numFmtId="0" fontId="44" fillId="15" borderId="21" xfId="0" applyFont="1" applyFill="1" applyBorder="1"/>
    <xf numFmtId="0" fontId="44" fillId="15" borderId="0" xfId="0" applyFont="1" applyFill="1" applyAlignment="1">
      <alignment vertical="center"/>
    </xf>
    <xf numFmtId="0" fontId="44" fillId="15" borderId="0" xfId="0" applyFont="1" applyFill="1" applyAlignment="1">
      <alignment horizontal="left" vertical="center" indent="1"/>
    </xf>
    <xf numFmtId="0" fontId="43" fillId="15" borderId="0" xfId="0" applyFont="1" applyFill="1" applyAlignment="1">
      <alignment vertical="center"/>
    </xf>
    <xf numFmtId="173" fontId="69" fillId="0" borderId="0" xfId="0" applyNumberFormat="1" applyFont="1"/>
    <xf numFmtId="14" fontId="64" fillId="15" borderId="0" xfId="0" applyNumberFormat="1" applyFont="1" applyFill="1" applyAlignment="1">
      <alignment vertical="center"/>
    </xf>
    <xf numFmtId="14" fontId="44" fillId="15" borderId="22" xfId="0" applyNumberFormat="1" applyFont="1" applyFill="1" applyBorder="1" applyAlignment="1">
      <alignment horizontal="right"/>
    </xf>
    <xf numFmtId="0" fontId="0" fillId="15" borderId="0" xfId="0" applyFill="1"/>
    <xf numFmtId="187" fontId="4" fillId="0" borderId="0" xfId="1" applyNumberFormat="1" applyFont="1" applyAlignment="1">
      <alignment horizontal="right" vertical="center"/>
    </xf>
    <xf numFmtId="188" fontId="79" fillId="0" borderId="0" xfId="1" applyNumberFormat="1" applyFont="1" applyAlignment="1">
      <alignment horizontal="right" vertical="center"/>
    </xf>
    <xf numFmtId="188" fontId="79" fillId="16" borderId="0" xfId="1" applyNumberFormat="1" applyFont="1" applyFill="1" applyAlignment="1">
      <alignment horizontal="right" vertical="center"/>
    </xf>
    <xf numFmtId="0" fontId="68" fillId="16" borderId="0" xfId="1" applyFont="1" applyFill="1" applyAlignment="1">
      <alignment vertical="center"/>
    </xf>
    <xf numFmtId="0" fontId="14" fillId="17" borderId="0" xfId="0" applyFont="1" applyFill="1" applyAlignment="1">
      <alignment horizontal="left" vertical="center" indent="1"/>
    </xf>
    <xf numFmtId="188" fontId="79" fillId="18" borderId="0" xfId="1" applyNumberFormat="1" applyFont="1" applyFill="1" applyAlignment="1">
      <alignment horizontal="right" vertical="center"/>
    </xf>
    <xf numFmtId="0" fontId="15" fillId="18" borderId="0" xfId="1" applyFont="1" applyFill="1" applyAlignment="1">
      <alignment vertical="center"/>
    </xf>
    <xf numFmtId="188" fontId="4" fillId="0" borderId="0" xfId="1" applyNumberFormat="1" applyFont="1" applyAlignment="1">
      <alignment horizontal="right" vertical="center"/>
    </xf>
    <xf numFmtId="1" fontId="14" fillId="0" borderId="0" xfId="1" applyNumberFormat="1" applyFont="1" applyAlignment="1">
      <alignment vertical="center"/>
    </xf>
    <xf numFmtId="0" fontId="68" fillId="0" borderId="0" xfId="1" applyFont="1" applyAlignment="1">
      <alignment vertical="center"/>
    </xf>
    <xf numFmtId="14" fontId="69" fillId="0" borderId="0" xfId="0" applyNumberFormat="1" applyFont="1"/>
    <xf numFmtId="37" fontId="69" fillId="0" borderId="0" xfId="0" applyNumberFormat="1" applyFont="1"/>
    <xf numFmtId="186" fontId="69" fillId="0" borderId="0" xfId="0" applyNumberFormat="1" applyFont="1"/>
    <xf numFmtId="0" fontId="14" fillId="17" borderId="0" xfId="0" applyFont="1" applyFill="1"/>
    <xf numFmtId="37" fontId="14" fillId="17" borderId="0" xfId="0" applyNumberFormat="1" applyFont="1" applyFill="1"/>
    <xf numFmtId="37" fontId="74" fillId="0" borderId="0" xfId="0" applyNumberFormat="1" applyFont="1"/>
    <xf numFmtId="0" fontId="5" fillId="7" borderId="0" xfId="1" applyFont="1" applyFill="1" applyAlignment="1">
      <alignment horizontal="left" vertical="top"/>
    </xf>
    <xf numFmtId="173" fontId="5" fillId="7" borderId="0" xfId="1" applyNumberFormat="1" applyFont="1" applyFill="1" applyAlignment="1">
      <alignment horizontal="right" vertical="top"/>
    </xf>
    <xf numFmtId="173" fontId="5" fillId="7" borderId="0" xfId="1" applyNumberFormat="1" applyFont="1" applyFill="1" applyAlignment="1">
      <alignment horizontal="right" vertical="top" wrapText="1"/>
    </xf>
    <xf numFmtId="37" fontId="4" fillId="7" borderId="0" xfId="1" applyNumberFormat="1" applyFont="1" applyFill="1" applyAlignment="1">
      <alignment horizontal="right"/>
    </xf>
    <xf numFmtId="0" fontId="14" fillId="4" borderId="0" xfId="1" applyFont="1" applyFill="1" applyAlignment="1">
      <alignment horizontal="left" vertical="top" wrapText="1"/>
    </xf>
    <xf numFmtId="0" fontId="5" fillId="4" borderId="0" xfId="1" applyFont="1" applyFill="1" applyAlignment="1">
      <alignment horizontal="left" vertical="top" wrapText="1"/>
    </xf>
    <xf numFmtId="1" fontId="81" fillId="15" borderId="0" xfId="0" applyNumberFormat="1" applyFont="1" applyFill="1"/>
    <xf numFmtId="1" fontId="81" fillId="15" borderId="0" xfId="0" applyNumberFormat="1" applyFont="1" applyFill="1" applyAlignment="1">
      <alignment horizontal="right"/>
    </xf>
    <xf numFmtId="14" fontId="68" fillId="15" borderId="0" xfId="0" applyNumberFormat="1" applyFont="1" applyFill="1"/>
    <xf numFmtId="189" fontId="63" fillId="0" borderId="23" xfId="20" applyNumberFormat="1" applyFont="1" applyFill="1" applyBorder="1"/>
    <xf numFmtId="187" fontId="4" fillId="0" borderId="0" xfId="1" applyNumberFormat="1" applyFont="1" applyAlignment="1">
      <alignment vertical="center"/>
    </xf>
    <xf numFmtId="187" fontId="43" fillId="15" borderId="0" xfId="0" applyNumberFormat="1" applyFont="1" applyFill="1" applyAlignment="1">
      <alignment vertical="center"/>
    </xf>
    <xf numFmtId="0" fontId="82" fillId="15" borderId="0" xfId="0" applyFont="1" applyFill="1"/>
    <xf numFmtId="0" fontId="74" fillId="15" borderId="0" xfId="0" applyFont="1" applyFill="1" applyAlignment="1">
      <alignment horizontal="left"/>
    </xf>
    <xf numFmtId="0" fontId="69" fillId="0" borderId="15" xfId="0" applyFont="1" applyBorder="1"/>
    <xf numFmtId="10" fontId="0" fillId="0" borderId="0" xfId="0" applyNumberFormat="1"/>
    <xf numFmtId="10" fontId="71" fillId="15" borderId="0" xfId="0" applyNumberFormat="1" applyFont="1" applyFill="1"/>
    <xf numFmtId="0" fontId="69" fillId="15" borderId="0" xfId="0" applyFont="1" applyFill="1" applyAlignment="1">
      <alignment horizontal="left" indent="1"/>
    </xf>
    <xf numFmtId="0" fontId="70" fillId="15" borderId="0" xfId="0" applyFont="1" applyFill="1" applyAlignment="1">
      <alignment horizontal="left" indent="2"/>
    </xf>
    <xf numFmtId="2" fontId="69" fillId="0" borderId="0" xfId="0" applyNumberFormat="1" applyFont="1"/>
    <xf numFmtId="0" fontId="55" fillId="4" borderId="10" xfId="14" applyFill="1"/>
    <xf numFmtId="184" fontId="56" fillId="4" borderId="10" xfId="15" applyFill="1">
      <alignment horizontal="right"/>
    </xf>
    <xf numFmtId="185" fontId="56" fillId="4" borderId="7" xfId="16" applyFill="1">
      <alignment horizontal="right"/>
    </xf>
    <xf numFmtId="0" fontId="51" fillId="4" borderId="0" xfId="4" applyFill="1"/>
    <xf numFmtId="0" fontId="85" fillId="11" borderId="0" xfId="1" applyFont="1" applyFill="1" applyAlignment="1">
      <alignment horizontal="right"/>
    </xf>
    <xf numFmtId="0" fontId="86" fillId="11" borderId="0" xfId="1" applyFont="1" applyFill="1" applyAlignment="1">
      <alignment horizontal="right"/>
    </xf>
    <xf numFmtId="0" fontId="43" fillId="11" borderId="0" xfId="1" applyFont="1" applyFill="1" applyAlignment="1">
      <alignment vertical="center"/>
    </xf>
    <xf numFmtId="14" fontId="7" fillId="0" borderId="0" xfId="0" applyNumberFormat="1" applyFont="1"/>
    <xf numFmtId="0" fontId="64" fillId="11" borderId="0" xfId="1" applyFont="1" applyFill="1" applyAlignment="1">
      <alignment vertical="center"/>
    </xf>
    <xf numFmtId="43" fontId="67" fillId="11" borderId="0" xfId="18" applyFont="1" applyFill="1" applyAlignment="1">
      <alignment horizontal="center" wrapText="1"/>
    </xf>
    <xf numFmtId="10" fontId="9" fillId="11" borderId="0" xfId="1" applyNumberFormat="1" applyFont="1" applyFill="1" applyAlignment="1">
      <alignment horizontal="right" vertical="top"/>
    </xf>
    <xf numFmtId="10" fontId="70" fillId="11" borderId="0" xfId="0" applyNumberFormat="1" applyFont="1" applyFill="1"/>
    <xf numFmtId="10" fontId="69" fillId="11" borderId="0" xfId="0" applyNumberFormat="1" applyFont="1" applyFill="1"/>
    <xf numFmtId="0" fontId="69" fillId="11" borderId="0" xfId="0" applyFont="1" applyFill="1"/>
    <xf numFmtId="2" fontId="69" fillId="11" borderId="0" xfId="0" applyNumberFormat="1" applyFont="1" applyFill="1"/>
    <xf numFmtId="0" fontId="0" fillId="11" borderId="0" xfId="0" applyFill="1"/>
    <xf numFmtId="173" fontId="5" fillId="11" borderId="0" xfId="1" applyNumberFormat="1" applyFont="1" applyFill="1" applyAlignment="1">
      <alignment horizontal="right" vertical="top" wrapText="1"/>
    </xf>
    <xf numFmtId="9" fontId="69" fillId="0" borderId="0" xfId="0" applyNumberFormat="1" applyFont="1"/>
    <xf numFmtId="173" fontId="69" fillId="11" borderId="0" xfId="0" applyNumberFormat="1" applyFont="1" applyFill="1"/>
    <xf numFmtId="0" fontId="69" fillId="4" borderId="0" xfId="0" applyFont="1" applyFill="1"/>
    <xf numFmtId="0" fontId="69" fillId="19" borderId="0" xfId="0" applyFont="1" applyFill="1"/>
    <xf numFmtId="10" fontId="69" fillId="19" borderId="0" xfId="0" applyNumberFormat="1" applyFont="1" applyFill="1"/>
    <xf numFmtId="10" fontId="69" fillId="4" borderId="0" xfId="0" applyNumberFormat="1" applyFont="1" applyFill="1"/>
    <xf numFmtId="0" fontId="69" fillId="0" borderId="0" xfId="0" applyFont="1" applyAlignment="1">
      <alignment horizontal="left" vertical="center"/>
    </xf>
    <xf numFmtId="3" fontId="69" fillId="0" borderId="0" xfId="0" applyNumberFormat="1" applyFont="1" applyAlignment="1">
      <alignment horizontal="right" vertical="center"/>
    </xf>
    <xf numFmtId="3" fontId="69" fillId="0" borderId="0" xfId="0" applyNumberFormat="1" applyFont="1"/>
    <xf numFmtId="0" fontId="43" fillId="11" borderId="24" xfId="1" applyFont="1" applyFill="1" applyBorder="1" applyAlignment="1">
      <alignment vertical="center"/>
    </xf>
    <xf numFmtId="10" fontId="0" fillId="4" borderId="0" xfId="0" applyNumberFormat="1" applyFill="1"/>
    <xf numFmtId="10" fontId="70" fillId="4" borderId="0" xfId="0" applyNumberFormat="1" applyFont="1" applyFill="1"/>
    <xf numFmtId="10" fontId="88" fillId="0" borderId="0" xfId="0" applyNumberFormat="1" applyFont="1"/>
    <xf numFmtId="10" fontId="88" fillId="11" borderId="0" xfId="0" applyNumberFormat="1" applyFont="1" applyFill="1"/>
    <xf numFmtId="10" fontId="89" fillId="0" borderId="0" xfId="0" applyNumberFormat="1" applyFont="1"/>
    <xf numFmtId="0" fontId="83" fillId="0" borderId="0" xfId="0" applyFont="1" applyAlignment="1">
      <alignment wrapText="1"/>
    </xf>
    <xf numFmtId="10" fontId="9" fillId="11" borderId="0" xfId="1" applyNumberFormat="1" applyFont="1" applyFill="1" applyAlignment="1">
      <alignment horizontal="right" vertical="top" wrapText="1"/>
    </xf>
    <xf numFmtId="173" fontId="74" fillId="11" borderId="0" xfId="0" applyNumberFormat="1" applyFont="1" applyFill="1"/>
    <xf numFmtId="173" fontId="74" fillId="0" borderId="0" xfId="0" applyNumberFormat="1" applyFont="1"/>
    <xf numFmtId="43" fontId="69" fillId="0" borderId="0" xfId="20" applyFont="1"/>
    <xf numFmtId="0" fontId="24" fillId="0" borderId="0" xfId="1" applyFont="1"/>
    <xf numFmtId="0" fontId="9" fillId="0" borderId="0" xfId="1" applyFont="1" applyAlignment="1">
      <alignment horizontal="left" vertical="top" wrapText="1"/>
    </xf>
    <xf numFmtId="165" fontId="9" fillId="4" borderId="0" xfId="1" applyNumberFormat="1" applyFont="1" applyFill="1" applyAlignment="1">
      <alignment horizontal="right" vertical="top" wrapText="1"/>
    </xf>
    <xf numFmtId="2" fontId="2" fillId="4" borderId="0" xfId="1" applyNumberFormat="1" applyFont="1" applyFill="1"/>
    <xf numFmtId="0" fontId="9" fillId="4" borderId="0" xfId="1" applyFont="1" applyFill="1" applyAlignment="1">
      <alignment horizontal="left" vertical="top" wrapText="1"/>
    </xf>
    <xf numFmtId="0" fontId="5" fillId="0" borderId="0" xfId="1" applyFont="1" applyAlignment="1">
      <alignment horizontal="left" vertical="top" wrapText="1"/>
    </xf>
    <xf numFmtId="0" fontId="2" fillId="21" borderId="0" xfId="1" applyFont="1" applyFill="1"/>
    <xf numFmtId="0" fontId="2" fillId="21" borderId="0" xfId="1" applyFont="1" applyFill="1" applyAlignment="1">
      <alignment wrapText="1"/>
    </xf>
    <xf numFmtId="0" fontId="9" fillId="0" borderId="0" xfId="1" applyFont="1" applyAlignment="1">
      <alignment vertical="top" wrapText="1"/>
    </xf>
    <xf numFmtId="0" fontId="90" fillId="0" borderId="0" xfId="21" applyAlignment="1"/>
    <xf numFmtId="175" fontId="4" fillId="0" borderId="0" xfId="1" applyNumberFormat="1" applyFont="1" applyAlignment="1">
      <alignment horizontal="left"/>
    </xf>
    <xf numFmtId="0" fontId="9" fillId="4" borderId="0" xfId="1" applyFont="1" applyFill="1" applyAlignment="1">
      <alignment vertical="top" wrapText="1"/>
    </xf>
    <xf numFmtId="0" fontId="4" fillId="4" borderId="0" xfId="1" applyFont="1" applyFill="1" applyAlignment="1">
      <alignment vertical="top" wrapText="1"/>
    </xf>
    <xf numFmtId="0" fontId="9" fillId="5" borderId="0" xfId="1" applyFont="1" applyFill="1" applyAlignment="1">
      <alignment horizontal="right" vertical="top" wrapText="1"/>
    </xf>
    <xf numFmtId="2" fontId="2" fillId="0" borderId="0" xfId="1" applyNumberFormat="1" applyFont="1"/>
    <xf numFmtId="0" fontId="0" fillId="0" borderId="0" xfId="0" applyAlignment="1">
      <alignment horizontal="center"/>
    </xf>
    <xf numFmtId="10" fontId="0" fillId="0" borderId="0" xfId="19" applyNumberFormat="1" applyFont="1"/>
    <xf numFmtId="0" fontId="0" fillId="4" borderId="0" xfId="0" applyFill="1" applyAlignment="1">
      <alignment horizontal="center"/>
    </xf>
    <xf numFmtId="38" fontId="0" fillId="0" borderId="0" xfId="0" applyNumberFormat="1"/>
    <xf numFmtId="0" fontId="20" fillId="0" borderId="0" xfId="22" applyFont="1" applyAlignment="1">
      <alignment vertical="center"/>
    </xf>
    <xf numFmtId="0" fontId="8" fillId="0" borderId="0" xfId="22" applyAlignment="1">
      <alignment vertical="center"/>
    </xf>
    <xf numFmtId="0" fontId="91" fillId="0" borderId="0" xfId="22" applyFont="1" applyAlignment="1">
      <alignment horizontal="center" vertical="center"/>
    </xf>
    <xf numFmtId="0" fontId="1" fillId="0" borderId="0" xfId="23"/>
    <xf numFmtId="0" fontId="8" fillId="0" borderId="0" xfId="22" applyAlignment="1">
      <alignment horizontal="center" vertical="center"/>
    </xf>
    <xf numFmtId="38" fontId="8" fillId="0" borderId="0" xfId="22" applyNumberFormat="1" applyAlignment="1">
      <alignment horizontal="center" vertical="center"/>
    </xf>
    <xf numFmtId="38" fontId="1" fillId="0" borderId="0" xfId="23" applyNumberFormat="1"/>
    <xf numFmtId="10" fontId="8" fillId="0" borderId="0" xfId="24" applyNumberFormat="1" applyFont="1" applyAlignment="1">
      <alignment vertical="center"/>
    </xf>
    <xf numFmtId="0" fontId="0" fillId="0" borderId="0" xfId="0" applyAlignment="1">
      <alignment horizontal="left" indent="1"/>
    </xf>
    <xf numFmtId="191" fontId="0" fillId="0" borderId="0" xfId="20" applyNumberFormat="1" applyFont="1"/>
    <xf numFmtId="0" fontId="0" fillId="0" borderId="0" xfId="0" applyAlignment="1">
      <alignment horizontal="left" indent="2"/>
    </xf>
    <xf numFmtId="0" fontId="92" fillId="22" borderId="0" xfId="0" applyFont="1" applyFill="1"/>
    <xf numFmtId="0" fontId="7" fillId="0" borderId="0" xfId="0" applyFont="1" applyAlignment="1">
      <alignment horizontal="center"/>
    </xf>
    <xf numFmtId="193" fontId="0" fillId="0" borderId="0" xfId="0" applyNumberFormat="1"/>
    <xf numFmtId="10" fontId="7" fillId="0" borderId="0" xfId="0" applyNumberFormat="1" applyFont="1" applyAlignment="1">
      <alignment horizontal="center"/>
    </xf>
    <xf numFmtId="0" fontId="93" fillId="0" borderId="0" xfId="0" applyFont="1"/>
    <xf numFmtId="3" fontId="44" fillId="0" borderId="0" xfId="0" applyNumberFormat="1" applyFont="1"/>
    <xf numFmtId="0" fontId="94" fillId="15" borderId="0" xfId="1" applyFont="1" applyFill="1"/>
    <xf numFmtId="0" fontId="95" fillId="15" borderId="0" xfId="1" applyFont="1" applyFill="1"/>
    <xf numFmtId="0" fontId="95" fillId="15" borderId="0" xfId="25" applyFont="1" applyFill="1"/>
    <xf numFmtId="0" fontId="95" fillId="15" borderId="10" xfId="1" applyFont="1" applyFill="1" applyBorder="1"/>
    <xf numFmtId="194" fontId="95" fillId="15" borderId="7" xfId="1" applyNumberFormat="1" applyFont="1" applyFill="1" applyBorder="1"/>
    <xf numFmtId="0" fontId="94" fillId="15" borderId="10" xfId="1" applyFont="1" applyFill="1" applyBorder="1"/>
    <xf numFmtId="194" fontId="94" fillId="15" borderId="7" xfId="1" applyNumberFormat="1" applyFont="1" applyFill="1" applyBorder="1"/>
    <xf numFmtId="2" fontId="14" fillId="0" borderId="0" xfId="1" applyNumberFormat="1" applyFont="1" applyAlignment="1">
      <alignment vertical="center"/>
    </xf>
    <xf numFmtId="0" fontId="94" fillId="15" borderId="26" xfId="1" applyFont="1" applyFill="1" applyBorder="1"/>
    <xf numFmtId="0" fontId="94" fillId="15" borderId="25" xfId="1" applyFont="1" applyFill="1" applyBorder="1"/>
    <xf numFmtId="7" fontId="94" fillId="15" borderId="27" xfId="1" applyNumberFormat="1" applyFont="1" applyFill="1" applyBorder="1"/>
    <xf numFmtId="2" fontId="68" fillId="0" borderId="0" xfId="1" applyNumberFormat="1" applyFont="1" applyAlignment="1">
      <alignment vertical="center"/>
    </xf>
    <xf numFmtId="2" fontId="97" fillId="0" borderId="0" xfId="0" applyNumberFormat="1" applyFont="1"/>
    <xf numFmtId="0" fontId="101" fillId="15" borderId="0" xfId="0" applyFont="1" applyFill="1" applyAlignment="1">
      <alignment horizontal="left" indent="5"/>
    </xf>
    <xf numFmtId="0" fontId="99" fillId="15" borderId="0" xfId="0" applyFont="1" applyFill="1"/>
    <xf numFmtId="0" fontId="100" fillId="15" borderId="0" xfId="0" applyFont="1" applyFill="1"/>
    <xf numFmtId="10" fontId="102" fillId="0" borderId="0" xfId="0" applyNumberFormat="1" applyFont="1"/>
    <xf numFmtId="10" fontId="102" fillId="15" borderId="0" xfId="0" applyNumberFormat="1" applyFont="1" applyFill="1"/>
    <xf numFmtId="0" fontId="99" fillId="0" borderId="0" xfId="0" applyFont="1"/>
    <xf numFmtId="0" fontId="99" fillId="4" borderId="0" xfId="0" applyFont="1" applyFill="1"/>
    <xf numFmtId="0" fontId="99" fillId="15" borderId="0" xfId="0" applyFont="1" applyFill="1" applyAlignment="1">
      <alignment horizontal="left" vertical="top" indent="4"/>
    </xf>
    <xf numFmtId="2" fontId="102" fillId="0" borderId="0" xfId="0" applyNumberFormat="1" applyFont="1"/>
    <xf numFmtId="0" fontId="102" fillId="15" borderId="0" xfId="0" applyFont="1" applyFill="1"/>
    <xf numFmtId="2" fontId="102" fillId="15" borderId="0" xfId="0" applyNumberFormat="1" applyFont="1" applyFill="1"/>
    <xf numFmtId="0" fontId="99" fillId="15" borderId="0" xfId="0" applyFont="1" applyFill="1" applyAlignment="1">
      <alignment horizontal="left" indent="4"/>
    </xf>
    <xf numFmtId="0" fontId="99" fillId="0" borderId="25" xfId="0" applyFont="1" applyBorder="1"/>
    <xf numFmtId="10" fontId="103" fillId="0" borderId="0" xfId="1" applyNumberFormat="1" applyFont="1" applyAlignment="1">
      <alignment horizontal="right" vertical="top"/>
    </xf>
    <xf numFmtId="10" fontId="103" fillId="15" borderId="0" xfId="1" applyNumberFormat="1" applyFont="1" applyFill="1" applyAlignment="1">
      <alignment horizontal="right" vertical="top"/>
    </xf>
    <xf numFmtId="173" fontId="103" fillId="0" borderId="0" xfId="1" applyNumberFormat="1" applyFont="1" applyAlignment="1">
      <alignment horizontal="right" vertical="top"/>
    </xf>
    <xf numFmtId="173" fontId="103" fillId="15" borderId="0" xfId="1" applyNumberFormat="1" applyFont="1" applyFill="1" applyAlignment="1">
      <alignment horizontal="right" vertical="top"/>
    </xf>
    <xf numFmtId="173" fontId="103" fillId="15" borderId="0" xfId="1" applyNumberFormat="1" applyFont="1" applyFill="1" applyAlignment="1">
      <alignment horizontal="right" vertical="top" wrapText="1"/>
    </xf>
    <xf numFmtId="173" fontId="103" fillId="15" borderId="2" xfId="1" applyNumberFormat="1" applyFont="1" applyFill="1" applyBorder="1" applyAlignment="1">
      <alignment horizontal="right" vertical="top" wrapText="1"/>
    </xf>
    <xf numFmtId="188" fontId="102" fillId="18" borderId="0" xfId="1" applyNumberFormat="1" applyFont="1" applyFill="1" applyAlignment="1">
      <alignment horizontal="right" vertical="center"/>
    </xf>
    <xf numFmtId="188" fontId="102" fillId="23" borderId="0" xfId="1" applyNumberFormat="1" applyFont="1" applyFill="1" applyAlignment="1">
      <alignment horizontal="right" vertical="center"/>
    </xf>
    <xf numFmtId="0" fontId="104" fillId="15" borderId="0" xfId="0" applyFont="1" applyFill="1"/>
    <xf numFmtId="0" fontId="101" fillId="15" borderId="0" xfId="0" applyFont="1" applyFill="1" applyAlignment="1">
      <alignment horizontal="left" indent="4"/>
    </xf>
    <xf numFmtId="2" fontId="99" fillId="0" borderId="0" xfId="0" applyNumberFormat="1" applyFont="1"/>
    <xf numFmtId="2" fontId="99" fillId="15" borderId="0" xfId="0" applyNumberFormat="1" applyFont="1" applyFill="1"/>
    <xf numFmtId="10" fontId="101" fillId="0" borderId="0" xfId="0" applyNumberFormat="1" applyFont="1"/>
    <xf numFmtId="10" fontId="99" fillId="0" borderId="0" xfId="0" applyNumberFormat="1" applyFont="1"/>
    <xf numFmtId="10" fontId="100" fillId="15" borderId="0" xfId="0" applyNumberFormat="1" applyFont="1" applyFill="1"/>
    <xf numFmtId="10" fontId="106" fillId="0" borderId="0" xfId="1" applyNumberFormat="1" applyFont="1" applyAlignment="1">
      <alignment horizontal="right" vertical="top"/>
    </xf>
    <xf numFmtId="10" fontId="106" fillId="15" borderId="0" xfId="1" applyNumberFormat="1" applyFont="1" applyFill="1" applyAlignment="1">
      <alignment horizontal="right" vertical="top"/>
    </xf>
    <xf numFmtId="10" fontId="106" fillId="15" borderId="0" xfId="1" applyNumberFormat="1" applyFont="1" applyFill="1" applyAlignment="1">
      <alignment horizontal="right" vertical="top" wrapText="1"/>
    </xf>
    <xf numFmtId="10" fontId="99" fillId="15" borderId="0" xfId="0" applyNumberFormat="1" applyFont="1" applyFill="1"/>
    <xf numFmtId="10" fontId="99" fillId="4" borderId="0" xfId="0" applyNumberFormat="1" applyFont="1" applyFill="1"/>
    <xf numFmtId="10" fontId="101" fillId="15" borderId="0" xfId="0" applyNumberFormat="1" applyFont="1" applyFill="1" applyAlignment="1">
      <alignment horizontal="center"/>
    </xf>
    <xf numFmtId="10" fontId="101" fillId="15" borderId="0" xfId="0" applyNumberFormat="1" applyFont="1" applyFill="1"/>
    <xf numFmtId="10" fontId="107" fillId="15" borderId="0" xfId="0" applyNumberFormat="1" applyFont="1" applyFill="1"/>
    <xf numFmtId="10" fontId="108" fillId="15" borderId="0" xfId="0" applyNumberFormat="1" applyFont="1" applyFill="1"/>
    <xf numFmtId="10" fontId="101" fillId="4" borderId="0" xfId="0" applyNumberFormat="1" applyFont="1" applyFill="1"/>
    <xf numFmtId="0" fontId="101" fillId="15" borderId="0" xfId="0" applyFont="1" applyFill="1" applyAlignment="1">
      <alignment horizontal="right"/>
    </xf>
    <xf numFmtId="0" fontId="96" fillId="6" borderId="0" xfId="1" applyFont="1" applyFill="1" applyAlignment="1">
      <alignment vertical="center"/>
    </xf>
    <xf numFmtId="0" fontId="109" fillId="6" borderId="0" xfId="1" applyFont="1" applyFill="1" applyAlignment="1">
      <alignment horizontal="center" vertical="center"/>
    </xf>
    <xf numFmtId="0" fontId="110" fillId="12" borderId="0" xfId="1" applyFont="1" applyFill="1" applyAlignment="1">
      <alignment wrapText="1"/>
    </xf>
    <xf numFmtId="0" fontId="111" fillId="12" borderId="0" xfId="1" applyFont="1" applyFill="1" applyAlignment="1">
      <alignment horizontal="center" wrapText="1"/>
    </xf>
    <xf numFmtId="43" fontId="111" fillId="12" borderId="0" xfId="18" applyFont="1" applyFill="1" applyAlignment="1">
      <alignment horizontal="center" wrapText="1"/>
    </xf>
    <xf numFmtId="43" fontId="112" fillId="12" borderId="0" xfId="18" applyFont="1" applyFill="1" applyAlignment="1">
      <alignment horizontal="center" wrapText="1"/>
    </xf>
    <xf numFmtId="43" fontId="112" fillId="0" borderId="0" xfId="18" applyFont="1" applyFill="1" applyAlignment="1">
      <alignment horizontal="center" wrapText="1"/>
    </xf>
    <xf numFmtId="43" fontId="111" fillId="0" borderId="0" xfId="18" applyFont="1" applyFill="1" applyAlignment="1">
      <alignment horizontal="center" wrapText="1"/>
    </xf>
    <xf numFmtId="43" fontId="112" fillId="0" borderId="0" xfId="18" applyFont="1" applyAlignment="1">
      <alignment horizontal="center" wrapText="1"/>
    </xf>
    <xf numFmtId="173" fontId="106" fillId="0" borderId="0" xfId="1" applyNumberFormat="1" applyFont="1" applyAlignment="1">
      <alignment horizontal="right" vertical="top"/>
    </xf>
    <xf numFmtId="173" fontId="106" fillId="15" borderId="0" xfId="1" applyNumberFormat="1" applyFont="1" applyFill="1" applyAlignment="1">
      <alignment horizontal="right" vertical="top"/>
    </xf>
    <xf numFmtId="43" fontId="102" fillId="0" borderId="0" xfId="20" applyFont="1"/>
    <xf numFmtId="43" fontId="102" fillId="15" borderId="0" xfId="20" applyFont="1" applyFill="1"/>
    <xf numFmtId="0" fontId="99" fillId="15" borderId="32" xfId="0" applyFont="1" applyFill="1" applyBorder="1"/>
    <xf numFmtId="0" fontId="99" fillId="15" borderId="33" xfId="0" applyFont="1" applyFill="1" applyBorder="1"/>
    <xf numFmtId="0" fontId="100" fillId="15" borderId="33" xfId="0" applyFont="1" applyFill="1" applyBorder="1"/>
    <xf numFmtId="0" fontId="97" fillId="0" borderId="33" xfId="0" applyFont="1" applyBorder="1"/>
    <xf numFmtId="0" fontId="97" fillId="15" borderId="33" xfId="0" applyFont="1" applyFill="1" applyBorder="1"/>
    <xf numFmtId="173" fontId="97" fillId="15" borderId="33" xfId="0" applyNumberFormat="1" applyFont="1" applyFill="1" applyBorder="1"/>
    <xf numFmtId="0" fontId="99" fillId="0" borderId="33" xfId="0" applyFont="1" applyBorder="1"/>
    <xf numFmtId="0" fontId="99" fillId="0" borderId="31" xfId="0" applyFont="1" applyBorder="1"/>
    <xf numFmtId="0" fontId="99" fillId="0" borderId="10" xfId="0" applyFont="1" applyBorder="1"/>
    <xf numFmtId="0" fontId="99" fillId="0" borderId="0" xfId="0" applyFont="1" applyAlignment="1">
      <alignment horizontal="center"/>
    </xf>
    <xf numFmtId="0" fontId="99" fillId="0" borderId="7" xfId="0" applyFont="1" applyBorder="1"/>
    <xf numFmtId="0" fontId="99" fillId="0" borderId="0" xfId="0" applyFont="1" applyAlignment="1">
      <alignment horizontal="left"/>
    </xf>
    <xf numFmtId="173" fontId="113" fillId="15" borderId="0" xfId="1" applyNumberFormat="1" applyFont="1" applyFill="1" applyAlignment="1">
      <alignment horizontal="right" vertical="top" wrapText="1"/>
    </xf>
    <xf numFmtId="10" fontId="99" fillId="0" borderId="0" xfId="19" applyNumberFormat="1" applyFont="1" applyBorder="1"/>
    <xf numFmtId="0" fontId="99" fillId="0" borderId="27" xfId="0" applyFont="1" applyBorder="1"/>
    <xf numFmtId="0" fontId="99" fillId="0" borderId="0" xfId="0" applyFont="1" applyAlignment="1">
      <alignment horizontal="left" indent="2"/>
    </xf>
    <xf numFmtId="10" fontId="99" fillId="0" borderId="7" xfId="19" applyNumberFormat="1" applyFont="1" applyBorder="1"/>
    <xf numFmtId="0" fontId="99" fillId="0" borderId="26" xfId="0" applyFont="1" applyBorder="1"/>
    <xf numFmtId="10" fontId="99" fillId="0" borderId="25" xfId="0" applyNumberFormat="1" applyFont="1" applyBorder="1"/>
    <xf numFmtId="10" fontId="99" fillId="0" borderId="7" xfId="0" applyNumberFormat="1" applyFont="1" applyBorder="1"/>
    <xf numFmtId="0" fontId="99" fillId="0" borderId="0" xfId="0" applyFont="1" applyAlignment="1">
      <alignment horizontal="left" indent="1"/>
    </xf>
    <xf numFmtId="0" fontId="97" fillId="0" borderId="10" xfId="0" applyFont="1" applyBorder="1"/>
    <xf numFmtId="10" fontId="99" fillId="0" borderId="27" xfId="0" applyNumberFormat="1" applyFont="1" applyBorder="1"/>
    <xf numFmtId="0" fontId="99" fillId="4" borderId="0" xfId="0" applyFont="1" applyFill="1" applyAlignment="1">
      <alignment horizontal="center"/>
    </xf>
    <xf numFmtId="0" fontId="99" fillId="4" borderId="7" xfId="0" applyFont="1" applyFill="1" applyBorder="1" applyAlignment="1">
      <alignment horizontal="center"/>
    </xf>
    <xf numFmtId="0" fontId="97" fillId="0" borderId="31" xfId="0" applyFont="1" applyBorder="1"/>
    <xf numFmtId="173" fontId="105" fillId="15" borderId="31" xfId="1" applyNumberFormat="1" applyFont="1" applyFill="1" applyBorder="1" applyAlignment="1">
      <alignment horizontal="right" vertical="top" wrapText="1"/>
    </xf>
    <xf numFmtId="38" fontId="99" fillId="0" borderId="0" xfId="0" applyNumberFormat="1" applyFont="1"/>
    <xf numFmtId="38" fontId="99" fillId="0" borderId="7" xfId="0" applyNumberFormat="1" applyFont="1" applyBorder="1"/>
    <xf numFmtId="0" fontId="114" fillId="15" borderId="16" xfId="1" applyFont="1" applyFill="1" applyBorder="1" applyAlignment="1">
      <alignment vertical="center"/>
    </xf>
    <xf numFmtId="0" fontId="99" fillId="15" borderId="0" xfId="0" applyFont="1" applyFill="1" applyAlignment="1">
      <alignment horizontal="left" indent="1"/>
    </xf>
    <xf numFmtId="0" fontId="101" fillId="15" borderId="0" xfId="0" applyFont="1" applyFill="1" applyAlignment="1">
      <alignment horizontal="left" indent="2"/>
    </xf>
    <xf numFmtId="0" fontId="99" fillId="15" borderId="0" xfId="0" applyFont="1" applyFill="1" applyAlignment="1">
      <alignment horizontal="left" indent="2"/>
    </xf>
    <xf numFmtId="0" fontId="97" fillId="15" borderId="0" xfId="0" applyFont="1" applyFill="1" applyAlignment="1">
      <alignment horizontal="left"/>
    </xf>
    <xf numFmtId="0" fontId="102" fillId="0" borderId="0" xfId="0" applyFont="1"/>
    <xf numFmtId="0" fontId="115" fillId="15" borderId="16" xfId="1" applyFont="1" applyFill="1" applyBorder="1" applyAlignment="1">
      <alignment vertical="center"/>
    </xf>
    <xf numFmtId="0" fontId="116" fillId="15" borderId="16" xfId="1" applyFont="1" applyFill="1" applyBorder="1" applyAlignment="1">
      <alignment horizontal="center" vertical="center"/>
    </xf>
    <xf numFmtId="0" fontId="117" fillId="15" borderId="17" xfId="1" applyFont="1" applyFill="1" applyBorder="1" applyAlignment="1">
      <alignment vertical="center"/>
    </xf>
    <xf numFmtId="0" fontId="109" fillId="15" borderId="17" xfId="1" applyFont="1" applyFill="1" applyBorder="1" applyAlignment="1">
      <alignment horizontal="center" vertical="center"/>
    </xf>
    <xf numFmtId="186" fontId="99" fillId="0" borderId="10" xfId="0" applyNumberFormat="1" applyFont="1" applyBorder="1"/>
    <xf numFmtId="186" fontId="99" fillId="0" borderId="0" xfId="0" applyNumberFormat="1" applyFont="1"/>
    <xf numFmtId="186" fontId="110" fillId="0" borderId="0" xfId="1" applyNumberFormat="1" applyFont="1" applyAlignment="1">
      <alignment vertical="center"/>
    </xf>
    <xf numFmtId="188" fontId="118" fillId="18" borderId="0" xfId="1" applyNumberFormat="1" applyFont="1" applyFill="1" applyAlignment="1">
      <alignment horizontal="right" vertical="center"/>
    </xf>
    <xf numFmtId="188" fontId="118" fillId="23" borderId="0" xfId="1" applyNumberFormat="1" applyFont="1" applyFill="1" applyAlignment="1">
      <alignment horizontal="right" vertical="center"/>
    </xf>
    <xf numFmtId="188" fontId="118" fillId="0" borderId="0" xfId="1" applyNumberFormat="1" applyFont="1" applyAlignment="1">
      <alignment horizontal="right" vertical="center"/>
    </xf>
    <xf numFmtId="186" fontId="117" fillId="0" borderId="0" xfId="1" applyNumberFormat="1" applyFont="1" applyAlignment="1">
      <alignment vertical="center"/>
    </xf>
    <xf numFmtId="186" fontId="109" fillId="0" borderId="0" xfId="1" applyNumberFormat="1" applyFont="1" applyAlignment="1">
      <alignment horizontal="center" vertical="center"/>
    </xf>
    <xf numFmtId="186" fontId="110" fillId="0" borderId="0" xfId="1" applyNumberFormat="1" applyFont="1" applyAlignment="1">
      <alignment horizontal="left" vertical="center" indent="1"/>
    </xf>
    <xf numFmtId="186" fontId="116" fillId="0" borderId="0" xfId="1" applyNumberFormat="1" applyFont="1" applyAlignment="1">
      <alignment horizontal="center" vertical="center"/>
    </xf>
    <xf numFmtId="186" fontId="119" fillId="0" borderId="0" xfId="1" applyNumberFormat="1" applyFont="1" applyAlignment="1">
      <alignment horizontal="center" vertical="center"/>
    </xf>
    <xf numFmtId="186" fontId="110" fillId="0" borderId="17" xfId="1" applyNumberFormat="1" applyFont="1" applyBorder="1" applyAlignment="1">
      <alignment vertical="center"/>
    </xf>
    <xf numFmtId="0" fontId="97" fillId="0" borderId="0" xfId="0" applyFont="1"/>
    <xf numFmtId="173" fontId="99" fillId="0" borderId="0" xfId="0" applyNumberFormat="1" applyFont="1"/>
    <xf numFmtId="2" fontId="120" fillId="0" borderId="0" xfId="0" applyNumberFormat="1" applyFont="1"/>
    <xf numFmtId="173" fontId="113" fillId="0" borderId="0" xfId="1" applyNumberFormat="1" applyFont="1" applyAlignment="1">
      <alignment horizontal="right" vertical="top"/>
    </xf>
    <xf numFmtId="10" fontId="113" fillId="0" borderId="0" xfId="1" applyNumberFormat="1" applyFont="1" applyAlignment="1">
      <alignment horizontal="right" vertical="top"/>
    </xf>
    <xf numFmtId="188" fontId="99" fillId="0" borderId="0" xfId="0" applyNumberFormat="1" applyFont="1"/>
    <xf numFmtId="0" fontId="99" fillId="0" borderId="32" xfId="0" applyFont="1" applyBorder="1"/>
    <xf numFmtId="173" fontId="99" fillId="0" borderId="33" xfId="0" applyNumberFormat="1" applyFont="1" applyBorder="1"/>
    <xf numFmtId="0" fontId="99" fillId="11" borderId="0" xfId="0" applyFont="1" applyFill="1"/>
    <xf numFmtId="179" fontId="5" fillId="0" borderId="31" xfId="1" applyNumberFormat="1" applyFont="1" applyBorder="1" applyAlignment="1">
      <alignment horizontal="left" vertical="top"/>
    </xf>
    <xf numFmtId="179" fontId="5" fillId="0" borderId="31" xfId="1" applyNumberFormat="1" applyFont="1" applyBorder="1" applyAlignment="1">
      <alignment horizontal="right" vertical="top"/>
    </xf>
    <xf numFmtId="183" fontId="5" fillId="0" borderId="31" xfId="1" applyNumberFormat="1" applyFont="1" applyBorder="1" applyAlignment="1">
      <alignment horizontal="right" vertical="top"/>
    </xf>
    <xf numFmtId="183" fontId="5" fillId="0" borderId="35" xfId="1" applyNumberFormat="1" applyFont="1" applyBorder="1" applyAlignment="1">
      <alignment horizontal="right" vertical="top"/>
    </xf>
    <xf numFmtId="173" fontId="9" fillId="0" borderId="31" xfId="1" applyNumberFormat="1" applyFont="1" applyBorder="1" applyAlignment="1">
      <alignment horizontal="right" vertical="top"/>
    </xf>
    <xf numFmtId="173" fontId="9" fillId="0" borderId="31" xfId="1" applyNumberFormat="1" applyFont="1" applyBorder="1" applyAlignment="1">
      <alignment horizontal="right" vertical="top" wrapText="1"/>
    </xf>
    <xf numFmtId="173" fontId="9" fillId="0" borderId="35" xfId="1" applyNumberFormat="1" applyFont="1" applyBorder="1" applyAlignment="1">
      <alignment horizontal="right" vertical="top" wrapText="1"/>
    </xf>
    <xf numFmtId="173" fontId="2" fillId="0" borderId="31" xfId="1" applyNumberFormat="1" applyFont="1" applyBorder="1" applyAlignment="1">
      <alignment horizontal="right"/>
    </xf>
    <xf numFmtId="173" fontId="2" fillId="0" borderId="35" xfId="1" applyNumberFormat="1" applyFont="1" applyBorder="1"/>
    <xf numFmtId="173" fontId="9" fillId="0" borderId="36" xfId="1" applyNumberFormat="1" applyFont="1" applyBorder="1" applyAlignment="1">
      <alignment horizontal="right" vertical="top" wrapText="1"/>
    </xf>
    <xf numFmtId="173" fontId="9" fillId="0" borderId="35" xfId="1" applyNumberFormat="1" applyFont="1" applyBorder="1" applyAlignment="1">
      <alignment horizontal="right" vertical="top"/>
    </xf>
    <xf numFmtId="173" fontId="2" fillId="0" borderId="31" xfId="1" applyNumberFormat="1" applyFont="1" applyBorder="1"/>
    <xf numFmtId="173" fontId="9" fillId="0" borderId="37" xfId="1" applyNumberFormat="1" applyFont="1" applyBorder="1" applyAlignment="1">
      <alignment horizontal="right" vertical="top" wrapText="1"/>
    </xf>
    <xf numFmtId="173" fontId="9" fillId="0" borderId="38" xfId="1" applyNumberFormat="1" applyFont="1" applyBorder="1" applyAlignment="1">
      <alignment horizontal="right" vertical="top" wrapText="1"/>
    </xf>
    <xf numFmtId="173" fontId="9" fillId="0" borderId="39" xfId="1" applyNumberFormat="1" applyFont="1" applyBorder="1" applyAlignment="1">
      <alignment horizontal="right" vertical="top" wrapText="1"/>
    </xf>
    <xf numFmtId="173" fontId="9" fillId="0" borderId="40" xfId="1" applyNumberFormat="1" applyFont="1" applyBorder="1" applyAlignment="1">
      <alignment horizontal="right" vertical="top" wrapText="1"/>
    </xf>
    <xf numFmtId="173" fontId="9" fillId="0" borderId="40" xfId="1" applyNumberFormat="1" applyFont="1" applyBorder="1" applyAlignment="1">
      <alignment horizontal="right" vertical="top"/>
    </xf>
    <xf numFmtId="173" fontId="2" fillId="0" borderId="39" xfId="1" applyNumberFormat="1" applyFont="1" applyBorder="1"/>
    <xf numFmtId="173" fontId="9" fillId="0" borderId="29" xfId="1" applyNumberFormat="1" applyFont="1" applyBorder="1" applyAlignment="1">
      <alignment horizontal="right" vertical="top" wrapText="1"/>
    </xf>
    <xf numFmtId="173" fontId="9" fillId="0" borderId="30" xfId="1" applyNumberFormat="1" applyFont="1" applyBorder="1" applyAlignment="1">
      <alignment horizontal="right" vertical="top" wrapText="1"/>
    </xf>
    <xf numFmtId="173" fontId="9" fillId="0" borderId="41" xfId="1" applyNumberFormat="1" applyFont="1" applyBorder="1" applyAlignment="1">
      <alignment horizontal="right" vertical="top" wrapText="1"/>
    </xf>
    <xf numFmtId="173" fontId="9" fillId="0" borderId="42" xfId="1" applyNumberFormat="1" applyFont="1" applyBorder="1" applyAlignment="1">
      <alignment horizontal="right" vertical="top" wrapText="1"/>
    </xf>
    <xf numFmtId="173" fontId="9" fillId="0" borderId="43" xfId="1" applyNumberFormat="1" applyFont="1" applyBorder="1" applyAlignment="1">
      <alignment horizontal="right" vertical="top" wrapText="1"/>
    </xf>
    <xf numFmtId="173" fontId="9" fillId="0" borderId="44" xfId="1" applyNumberFormat="1" applyFont="1" applyBorder="1" applyAlignment="1">
      <alignment horizontal="right" vertical="top" wrapText="1"/>
    </xf>
    <xf numFmtId="173" fontId="9" fillId="0" borderId="43" xfId="1" applyNumberFormat="1" applyFont="1" applyBorder="1" applyAlignment="1">
      <alignment horizontal="right" vertical="top"/>
    </xf>
    <xf numFmtId="173" fontId="9" fillId="0" borderId="44" xfId="1" applyNumberFormat="1" applyFont="1" applyBorder="1" applyAlignment="1">
      <alignment horizontal="right" vertical="top"/>
    </xf>
    <xf numFmtId="173" fontId="9" fillId="0" borderId="45" xfId="1" applyNumberFormat="1" applyFont="1" applyBorder="1" applyAlignment="1">
      <alignment horizontal="right" vertical="top"/>
    </xf>
    <xf numFmtId="173" fontId="9" fillId="0" borderId="46" xfId="1" applyNumberFormat="1" applyFont="1" applyBorder="1" applyAlignment="1">
      <alignment horizontal="right" vertical="top"/>
    </xf>
    <xf numFmtId="173" fontId="23" fillId="0" borderId="45" xfId="1" applyNumberFormat="1" applyFont="1" applyBorder="1" applyAlignment="1">
      <alignment horizontal="right" vertical="top"/>
    </xf>
    <xf numFmtId="173" fontId="23" fillId="0" borderId="46" xfId="1" applyNumberFormat="1" applyFont="1" applyBorder="1" applyAlignment="1">
      <alignment horizontal="right" vertical="top"/>
    </xf>
    <xf numFmtId="173" fontId="20" fillId="0" borderId="43" xfId="1" applyNumberFormat="1" applyFont="1" applyBorder="1"/>
    <xf numFmtId="173" fontId="20" fillId="0" borderId="44" xfId="1" applyNumberFormat="1" applyFont="1" applyBorder="1"/>
    <xf numFmtId="173" fontId="2" fillId="0" borderId="43" xfId="1" applyNumberFormat="1" applyFont="1" applyBorder="1" applyAlignment="1">
      <alignment horizontal="right"/>
    </xf>
    <xf numFmtId="173" fontId="20" fillId="0" borderId="43" xfId="1" applyNumberFormat="1" applyFont="1" applyBorder="1" applyAlignment="1">
      <alignment horizontal="right"/>
    </xf>
    <xf numFmtId="173" fontId="20" fillId="0" borderId="44" xfId="1" applyNumberFormat="1" applyFont="1" applyBorder="1" applyAlignment="1">
      <alignment horizontal="right"/>
    </xf>
    <xf numFmtId="173" fontId="20" fillId="0" borderId="45" xfId="1" applyNumberFormat="1" applyFont="1" applyBorder="1" applyAlignment="1">
      <alignment horizontal="right"/>
    </xf>
    <xf numFmtId="173" fontId="20" fillId="0" borderId="46" xfId="1" applyNumberFormat="1" applyFont="1" applyBorder="1" applyAlignment="1">
      <alignment horizontal="right"/>
    </xf>
    <xf numFmtId="173" fontId="2" fillId="0" borderId="44" xfId="1" applyNumberFormat="1" applyFont="1" applyBorder="1"/>
    <xf numFmtId="173" fontId="2" fillId="0" borderId="43" xfId="1" applyNumberFormat="1" applyFont="1" applyBorder="1"/>
    <xf numFmtId="173" fontId="9" fillId="0" borderId="45" xfId="1" applyNumberFormat="1" applyFont="1" applyBorder="1" applyAlignment="1">
      <alignment horizontal="right" vertical="top" wrapText="1"/>
    </xf>
    <xf numFmtId="173" fontId="9" fillId="0" borderId="46" xfId="1" applyNumberFormat="1" applyFont="1" applyBorder="1" applyAlignment="1">
      <alignment horizontal="right" vertical="top" wrapText="1"/>
    </xf>
    <xf numFmtId="186" fontId="0" fillId="0" borderId="47" xfId="0" applyNumberFormat="1" applyBorder="1"/>
    <xf numFmtId="186" fontId="43" fillId="0" borderId="48" xfId="1" applyNumberFormat="1" applyFont="1" applyBorder="1" applyAlignment="1">
      <alignment vertical="center"/>
    </xf>
    <xf numFmtId="186" fontId="62" fillId="0" borderId="48" xfId="1" applyNumberFormat="1" applyFont="1" applyBorder="1" applyAlignment="1">
      <alignment horizontal="center" vertical="center"/>
    </xf>
    <xf numFmtId="186" fontId="0" fillId="0" borderId="48" xfId="0" applyNumberFormat="1" applyBorder="1"/>
    <xf numFmtId="186" fontId="0" fillId="11" borderId="48" xfId="0" applyNumberFormat="1" applyFill="1" applyBorder="1"/>
    <xf numFmtId="0" fontId="8" fillId="0" borderId="43" xfId="22" applyBorder="1" applyAlignment="1">
      <alignment horizontal="center" vertical="center"/>
    </xf>
    <xf numFmtId="0" fontId="8" fillId="0" borderId="45" xfId="22" applyBorder="1" applyAlignment="1">
      <alignment horizontal="center" vertical="center"/>
    </xf>
    <xf numFmtId="38" fontId="8" fillId="0" borderId="45" xfId="22" applyNumberFormat="1" applyBorder="1" applyAlignment="1">
      <alignment horizontal="center" vertical="center"/>
    </xf>
    <xf numFmtId="173" fontId="9" fillId="11" borderId="49" xfId="1" applyNumberFormat="1" applyFont="1" applyFill="1" applyBorder="1" applyAlignment="1">
      <alignment horizontal="right" vertical="top" wrapText="1"/>
    </xf>
    <xf numFmtId="173" fontId="9" fillId="0" borderId="49" xfId="1" applyNumberFormat="1" applyFont="1" applyBorder="1" applyAlignment="1">
      <alignment horizontal="right" vertical="top" wrapText="1"/>
    </xf>
    <xf numFmtId="0" fontId="69" fillId="15" borderId="45" xfId="0" applyFont="1" applyFill="1" applyBorder="1"/>
    <xf numFmtId="0" fontId="71" fillId="15" borderId="45" xfId="0" applyFont="1" applyFill="1" applyBorder="1"/>
    <xf numFmtId="0" fontId="74" fillId="0" borderId="45" xfId="0" applyFont="1" applyBorder="1"/>
    <xf numFmtId="173" fontId="74" fillId="11" borderId="45" xfId="0" applyNumberFormat="1" applyFont="1" applyFill="1" applyBorder="1"/>
    <xf numFmtId="0" fontId="69" fillId="0" borderId="45" xfId="0" applyFont="1" applyBorder="1"/>
    <xf numFmtId="0" fontId="69" fillId="11" borderId="45" xfId="0" applyFont="1" applyFill="1" applyBorder="1"/>
    <xf numFmtId="0" fontId="74" fillId="0" borderId="51" xfId="0" applyFont="1" applyBorder="1"/>
    <xf numFmtId="0" fontId="74" fillId="11" borderId="51" xfId="0" applyFont="1" applyFill="1" applyBorder="1"/>
    <xf numFmtId="2" fontId="87" fillId="20" borderId="51" xfId="0" applyNumberFormat="1" applyFont="1" applyFill="1" applyBorder="1"/>
    <xf numFmtId="2" fontId="74" fillId="11" borderId="51" xfId="0" applyNumberFormat="1" applyFont="1" applyFill="1" applyBorder="1"/>
    <xf numFmtId="2" fontId="69" fillId="0" borderId="51" xfId="0" applyNumberFormat="1" applyFont="1" applyBorder="1"/>
    <xf numFmtId="2" fontId="69" fillId="11" borderId="51" xfId="0" applyNumberFormat="1" applyFont="1" applyFill="1" applyBorder="1"/>
    <xf numFmtId="2" fontId="74" fillId="0" borderId="51" xfId="0" applyNumberFormat="1" applyFont="1" applyBorder="1"/>
    <xf numFmtId="173" fontId="5" fillId="0" borderId="43" xfId="1" applyNumberFormat="1" applyFont="1" applyBorder="1" applyAlignment="1">
      <alignment horizontal="right" vertical="top" wrapText="1"/>
    </xf>
    <xf numFmtId="173" fontId="9" fillId="0" borderId="50" xfId="1" applyNumberFormat="1" applyFont="1" applyBorder="1" applyAlignment="1">
      <alignment horizontal="right" vertical="top" wrapText="1"/>
    </xf>
    <xf numFmtId="0" fontId="9" fillId="0" borderId="52" xfId="1" applyFont="1" applyBorder="1" applyAlignment="1">
      <alignment horizontal="left" vertical="top"/>
    </xf>
    <xf numFmtId="0" fontId="5" fillId="0" borderId="52" xfId="1" applyFont="1" applyBorder="1" applyAlignment="1">
      <alignment horizontal="left" vertical="top"/>
    </xf>
    <xf numFmtId="173" fontId="9" fillId="0" borderId="53" xfId="1" applyNumberFormat="1" applyFont="1" applyBorder="1" applyAlignment="1">
      <alignment horizontal="right" vertical="top"/>
    </xf>
    <xf numFmtId="0" fontId="4" fillId="0" borderId="52" xfId="1" applyFont="1" applyBorder="1" applyAlignment="1">
      <alignment horizontal="right"/>
    </xf>
    <xf numFmtId="173" fontId="9" fillId="4" borderId="49" xfId="1" applyNumberFormat="1" applyFont="1" applyFill="1" applyBorder="1" applyAlignment="1">
      <alignment horizontal="right" vertical="top" wrapText="1"/>
    </xf>
    <xf numFmtId="0" fontId="25" fillId="0" borderId="45" xfId="1" applyFont="1" applyBorder="1" applyAlignment="1">
      <alignment horizontal="left" vertical="top"/>
    </xf>
    <xf numFmtId="0" fontId="23" fillId="0" borderId="45" xfId="1" applyFont="1" applyBorder="1" applyAlignment="1">
      <alignment horizontal="left" vertical="top"/>
    </xf>
    <xf numFmtId="0" fontId="24" fillId="0" borderId="45" xfId="1" applyFont="1" applyBorder="1" applyAlignment="1">
      <alignment horizontal="right"/>
    </xf>
    <xf numFmtId="0" fontId="0" fillId="0" borderId="43" xfId="0" applyBorder="1"/>
    <xf numFmtId="10" fontId="0" fillId="0" borderId="43" xfId="0" applyNumberFormat="1" applyBorder="1"/>
    <xf numFmtId="0" fontId="7" fillId="0" borderId="43" xfId="0" applyFont="1" applyBorder="1"/>
    <xf numFmtId="192" fontId="7" fillId="0" borderId="43" xfId="0" applyNumberFormat="1" applyFont="1" applyBorder="1"/>
    <xf numFmtId="0" fontId="43" fillId="15" borderId="43" xfId="0" applyFont="1" applyFill="1" applyBorder="1" applyAlignment="1">
      <alignment vertical="center"/>
    </xf>
    <xf numFmtId="0" fontId="96" fillId="6" borderId="54" xfId="1" applyFont="1" applyFill="1" applyBorder="1"/>
    <xf numFmtId="0" fontId="96" fillId="6" borderId="48" xfId="1" applyFont="1" applyFill="1" applyBorder="1"/>
    <xf numFmtId="0" fontId="96" fillId="6" borderId="55" xfId="1" applyFont="1" applyFill="1" applyBorder="1" applyAlignment="1">
      <alignment horizontal="right"/>
    </xf>
    <xf numFmtId="0" fontId="14" fillId="17" borderId="43" xfId="0" applyFont="1" applyFill="1" applyBorder="1" applyAlignment="1">
      <alignment vertical="center"/>
    </xf>
    <xf numFmtId="37" fontId="43" fillId="0" borderId="43" xfId="0" applyNumberFormat="1" applyFont="1" applyBorder="1" applyAlignment="1">
      <alignment vertical="center"/>
    </xf>
    <xf numFmtId="37" fontId="44" fillId="0" borderId="43" xfId="0" applyNumberFormat="1" applyFont="1" applyBorder="1" applyAlignment="1">
      <alignment vertical="center"/>
    </xf>
    <xf numFmtId="2" fontId="43" fillId="15" borderId="43" xfId="0" applyNumberFormat="1" applyFont="1" applyFill="1" applyBorder="1" applyAlignment="1">
      <alignment vertical="center"/>
    </xf>
    <xf numFmtId="187" fontId="43" fillId="15" borderId="43" xfId="0" applyNumberFormat="1" applyFont="1" applyFill="1" applyBorder="1" applyAlignment="1">
      <alignment vertical="center"/>
    </xf>
    <xf numFmtId="0" fontId="44" fillId="15" borderId="43" xfId="0" applyFont="1" applyFill="1" applyBorder="1" applyAlignment="1">
      <alignment vertical="center"/>
    </xf>
    <xf numFmtId="2" fontId="80" fillId="15" borderId="43" xfId="0" applyNumberFormat="1" applyFont="1" applyFill="1" applyBorder="1" applyAlignment="1">
      <alignment vertical="center"/>
    </xf>
    <xf numFmtId="190" fontId="43" fillId="15" borderId="43" xfId="20" applyNumberFormat="1" applyFont="1" applyFill="1" applyBorder="1" applyAlignment="1">
      <alignment vertical="center"/>
    </xf>
    <xf numFmtId="190" fontId="43" fillId="15" borderId="43" xfId="20" applyNumberFormat="1" applyFont="1" applyFill="1" applyBorder="1" applyAlignment="1">
      <alignment horizontal="left" vertical="center" indent="1"/>
    </xf>
    <xf numFmtId="173" fontId="9" fillId="4" borderId="31" xfId="1" applyNumberFormat="1" applyFont="1" applyFill="1" applyBorder="1" applyAlignment="1">
      <alignment horizontal="right" vertical="top"/>
    </xf>
    <xf numFmtId="173" fontId="2" fillId="4" borderId="31" xfId="1" applyNumberFormat="1" applyFont="1" applyFill="1" applyBorder="1"/>
    <xf numFmtId="0" fontId="9" fillId="0" borderId="34" xfId="1" applyFont="1" applyBorder="1" applyAlignment="1">
      <alignment horizontal="left" vertical="top"/>
    </xf>
    <xf numFmtId="173" fontId="9" fillId="0" borderId="34" xfId="1" applyNumberFormat="1" applyFont="1" applyBorder="1" applyAlignment="1">
      <alignment horizontal="right" vertical="top" wrapText="1"/>
    </xf>
    <xf numFmtId="0" fontId="9" fillId="0" borderId="54" xfId="1" applyFont="1" applyBorder="1" applyAlignment="1">
      <alignment horizontal="left" vertical="top"/>
    </xf>
    <xf numFmtId="173" fontId="9" fillId="0" borderId="34" xfId="1" applyNumberFormat="1" applyFont="1" applyBorder="1" applyAlignment="1">
      <alignment horizontal="right" vertical="top"/>
    </xf>
    <xf numFmtId="0" fontId="2" fillId="0" borderId="34" xfId="1" applyFont="1" applyBorder="1"/>
    <xf numFmtId="173" fontId="106" fillId="15" borderId="56" xfId="1" applyNumberFormat="1" applyFont="1" applyFill="1" applyBorder="1" applyAlignment="1">
      <alignment horizontal="right" vertical="top" wrapText="1"/>
    </xf>
    <xf numFmtId="173" fontId="106" fillId="15" borderId="28" xfId="1" applyNumberFormat="1" applyFont="1" applyFill="1" applyBorder="1" applyAlignment="1">
      <alignment horizontal="right" vertical="top" wrapText="1"/>
    </xf>
    <xf numFmtId="173" fontId="106" fillId="15" borderId="57" xfId="1" applyNumberFormat="1" applyFont="1" applyFill="1" applyBorder="1" applyAlignment="1">
      <alignment horizontal="right" vertical="top" wrapText="1"/>
    </xf>
    <xf numFmtId="0" fontId="99" fillId="0" borderId="58" xfId="0" applyFont="1" applyBorder="1"/>
    <xf numFmtId="0" fontId="99" fillId="0" borderId="59" xfId="0" applyFont="1" applyBorder="1"/>
    <xf numFmtId="10" fontId="99" fillId="0" borderId="59" xfId="0" applyNumberFormat="1" applyFont="1" applyBorder="1"/>
    <xf numFmtId="0" fontId="99" fillId="0" borderId="48" xfId="0" applyFont="1" applyBorder="1"/>
    <xf numFmtId="10" fontId="99" fillId="0" borderId="48" xfId="0" applyNumberFormat="1" applyFont="1" applyBorder="1"/>
    <xf numFmtId="0" fontId="97" fillId="0" borderId="48" xfId="0" applyFont="1" applyBorder="1"/>
    <xf numFmtId="10" fontId="97" fillId="0" borderId="55" xfId="0" applyNumberFormat="1" applyFont="1" applyBorder="1"/>
    <xf numFmtId="0" fontId="97" fillId="0" borderId="58" xfId="0" applyFont="1" applyBorder="1"/>
    <xf numFmtId="0" fontId="97" fillId="0" borderId="59" xfId="0" applyFont="1" applyBorder="1"/>
    <xf numFmtId="0" fontId="99" fillId="0" borderId="55" xfId="0" applyFont="1" applyBorder="1"/>
    <xf numFmtId="2" fontId="99" fillId="0" borderId="60" xfId="0" applyNumberFormat="1" applyFont="1" applyBorder="1"/>
    <xf numFmtId="2" fontId="99" fillId="15" borderId="60" xfId="0" applyNumberFormat="1" applyFont="1" applyFill="1" applyBorder="1"/>
    <xf numFmtId="0" fontId="99" fillId="15" borderId="60" xfId="0" applyFont="1" applyFill="1" applyBorder="1"/>
    <xf numFmtId="2" fontId="97" fillId="0" borderId="60" xfId="0" applyNumberFormat="1" applyFont="1" applyBorder="1"/>
    <xf numFmtId="2" fontId="97" fillId="15" borderId="60" xfId="0" applyNumberFormat="1" applyFont="1" applyFill="1" applyBorder="1"/>
    <xf numFmtId="0" fontId="97" fillId="15" borderId="60" xfId="0" applyFont="1" applyFill="1" applyBorder="1"/>
    <xf numFmtId="186" fontId="117" fillId="0" borderId="48" xfId="1" applyNumberFormat="1" applyFont="1" applyBorder="1" applyAlignment="1">
      <alignment vertical="center"/>
    </xf>
    <xf numFmtId="186" fontId="109" fillId="0" borderId="48" xfId="1" applyNumberFormat="1" applyFont="1" applyBorder="1" applyAlignment="1">
      <alignment horizontal="center" vertical="center"/>
    </xf>
    <xf numFmtId="186" fontId="99" fillId="0" borderId="48" xfId="0" applyNumberFormat="1" applyFont="1" applyBorder="1"/>
    <xf numFmtId="0" fontId="64" fillId="0" borderId="0" xfId="1" applyFont="1" applyAlignment="1">
      <alignment vertical="center"/>
    </xf>
    <xf numFmtId="43" fontId="67" fillId="0" borderId="0" xfId="18" applyFont="1" applyFill="1" applyAlignment="1">
      <alignment horizontal="center" wrapText="1"/>
    </xf>
    <xf numFmtId="173" fontId="74" fillId="0" borderId="45" xfId="0" applyNumberFormat="1" applyFont="1" applyBorder="1"/>
    <xf numFmtId="0" fontId="121" fillId="2" borderId="0" xfId="1" applyFont="1" applyFill="1"/>
    <xf numFmtId="0" fontId="10" fillId="0" borderId="0" xfId="26"/>
    <xf numFmtId="0" fontId="64" fillId="24" borderId="0" xfId="1" applyFont="1" applyFill="1" applyAlignment="1">
      <alignment vertical="top" wrapText="1"/>
    </xf>
    <xf numFmtId="0" fontId="9" fillId="24" borderId="0" xfId="1" applyFont="1" applyFill="1" applyAlignment="1">
      <alignment horizontal="right" vertical="top" wrapText="1"/>
    </xf>
    <xf numFmtId="0" fontId="64" fillId="24" borderId="0" xfId="1" applyFont="1" applyFill="1" applyAlignment="1">
      <alignment horizontal="left" vertical="top" wrapText="1"/>
    </xf>
    <xf numFmtId="195" fontId="5" fillId="0" borderId="0" xfId="1" applyNumberFormat="1" applyFont="1" applyAlignment="1">
      <alignment horizontal="right" vertical="top" wrapText="1"/>
    </xf>
    <xf numFmtId="196" fontId="5" fillId="0" borderId="0" xfId="1" applyNumberFormat="1" applyFont="1" applyAlignment="1">
      <alignment horizontal="right" vertical="top" wrapText="1"/>
    </xf>
    <xf numFmtId="0" fontId="64" fillId="0" borderId="0" xfId="1" applyFont="1" applyAlignment="1">
      <alignment vertical="top" wrapText="1"/>
    </xf>
    <xf numFmtId="0" fontId="9" fillId="24" borderId="0" xfId="1" applyFont="1" applyFill="1" applyAlignment="1">
      <alignment vertical="top" wrapText="1"/>
    </xf>
    <xf numFmtId="0" fontId="64" fillId="25" borderId="0" xfId="1" applyFont="1" applyFill="1" applyAlignment="1">
      <alignment vertical="top" wrapText="1"/>
    </xf>
    <xf numFmtId="0" fontId="9" fillId="25" borderId="0" xfId="1" applyFont="1" applyFill="1" applyAlignment="1">
      <alignment horizontal="right" vertical="top" wrapText="1"/>
    </xf>
    <xf numFmtId="0" fontId="4" fillId="25" borderId="0" xfId="1" applyFont="1" applyFill="1"/>
    <xf numFmtId="0" fontId="5" fillId="0" borderId="0" xfId="1" applyFont="1" applyAlignment="1">
      <alignment horizontal="right" vertical="top" wrapText="1"/>
    </xf>
    <xf numFmtId="196" fontId="5" fillId="0" borderId="0" xfId="1" applyNumberFormat="1" applyFont="1" applyAlignment="1">
      <alignment vertical="top" wrapText="1"/>
    </xf>
    <xf numFmtId="0" fontId="80" fillId="0" borderId="0" xfId="1" applyFont="1" applyAlignment="1">
      <alignment vertical="top" wrapText="1"/>
    </xf>
    <xf numFmtId="0" fontId="80" fillId="0" borderId="0" xfId="1" applyFont="1" applyAlignment="1">
      <alignment horizontal="left" vertical="top"/>
    </xf>
    <xf numFmtId="0" fontId="80" fillId="0" borderId="0" xfId="1" applyFont="1"/>
    <xf numFmtId="0" fontId="9" fillId="22" borderId="0" xfId="1" applyFont="1" applyFill="1" applyAlignment="1">
      <alignment horizontal="left" vertical="top" wrapText="1"/>
    </xf>
    <xf numFmtId="0" fontId="9" fillId="22" borderId="0" xfId="1" applyFont="1" applyFill="1" applyAlignment="1">
      <alignment horizontal="right" vertical="top" wrapText="1"/>
    </xf>
    <xf numFmtId="0" fontId="64" fillId="13" borderId="0" xfId="1" applyFont="1" applyFill="1" applyAlignment="1">
      <alignment horizontal="left" vertical="top" wrapText="1"/>
    </xf>
    <xf numFmtId="164" fontId="80" fillId="13" borderId="0" xfId="1" applyNumberFormat="1" applyFont="1" applyFill="1" applyAlignment="1">
      <alignment horizontal="right" vertical="top" wrapText="1"/>
    </xf>
    <xf numFmtId="165" fontId="80" fillId="13" borderId="0" xfId="1" applyNumberFormat="1" applyFont="1" applyFill="1" applyAlignment="1">
      <alignment horizontal="right" vertical="top" wrapText="1"/>
    </xf>
    <xf numFmtId="164" fontId="44" fillId="13" borderId="0" xfId="1" applyNumberFormat="1" applyFont="1" applyFill="1" applyAlignment="1">
      <alignment horizontal="right" vertical="top" wrapText="1"/>
    </xf>
    <xf numFmtId="197" fontId="44" fillId="0" borderId="0" xfId="1" applyNumberFormat="1" applyFont="1"/>
    <xf numFmtId="0" fontId="9" fillId="0" borderId="0" xfId="1" applyFont="1" applyAlignment="1">
      <alignment horizontal="right" vertical="top" wrapText="1"/>
    </xf>
    <xf numFmtId="0" fontId="95" fillId="15" borderId="10" xfId="1" applyFont="1" applyFill="1" applyBorder="1" applyAlignment="1">
      <alignment wrapText="1"/>
    </xf>
    <xf numFmtId="198" fontId="4" fillId="0" borderId="0" xfId="1" applyNumberFormat="1" applyFont="1"/>
    <xf numFmtId="43" fontId="4" fillId="0" borderId="0" xfId="1" applyNumberFormat="1" applyFont="1"/>
    <xf numFmtId="0" fontId="4" fillId="0" borderId="0" xfId="1" applyFont="1" applyAlignment="1">
      <alignment horizontal="right" wrapText="1"/>
    </xf>
    <xf numFmtId="0" fontId="4" fillId="0" borderId="0" xfId="1" applyFont="1"/>
    <xf numFmtId="0" fontId="36" fillId="0" borderId="0" xfId="0" applyFont="1"/>
    <xf numFmtId="0" fontId="36" fillId="7" borderId="0" xfId="0" applyFont="1" applyFill="1"/>
    <xf numFmtId="0" fontId="37" fillId="0" borderId="0" xfId="0" applyFont="1" applyAlignment="1">
      <alignment horizontal="center"/>
    </xf>
    <xf numFmtId="0" fontId="39" fillId="4" borderId="0" xfId="0" applyFont="1" applyFill="1"/>
    <xf numFmtId="0" fontId="37" fillId="0" borderId="0" xfId="0" applyFont="1"/>
    <xf numFmtId="0" fontId="36" fillId="0" borderId="0" xfId="0" applyFont="1" applyAlignment="1">
      <alignment horizontal="left" indent="1"/>
    </xf>
    <xf numFmtId="186" fontId="7" fillId="11" borderId="10" xfId="0" applyNumberFormat="1" applyFont="1" applyFill="1" applyBorder="1" applyAlignment="1">
      <alignment horizontal="center"/>
    </xf>
    <xf numFmtId="186" fontId="7" fillId="11" borderId="0" xfId="0" applyNumberFormat="1" applyFont="1" applyFill="1" applyAlignment="1">
      <alignment horizontal="center"/>
    </xf>
    <xf numFmtId="186" fontId="7" fillId="14" borderId="0" xfId="0" applyNumberFormat="1" applyFont="1" applyFill="1" applyAlignment="1">
      <alignment horizontal="center"/>
    </xf>
    <xf numFmtId="0" fontId="84" fillId="0" borderId="0" xfId="0" applyFont="1" applyAlignment="1">
      <alignment horizontal="center" wrapText="1"/>
    </xf>
    <xf numFmtId="0" fontId="0" fillId="0" borderId="0" xfId="0" applyAlignment="1">
      <alignment horizontal="center" wrapText="1"/>
    </xf>
    <xf numFmtId="0" fontId="0" fillId="0" borderId="25" xfId="0" applyBorder="1" applyAlignment="1">
      <alignment horizontal="center"/>
    </xf>
    <xf numFmtId="0" fontId="98" fillId="6" borderId="0" xfId="0" applyFont="1" applyFill="1" applyAlignment="1">
      <alignment horizontal="center"/>
    </xf>
    <xf numFmtId="0" fontId="19" fillId="11" borderId="0" xfId="1" applyFont="1" applyFill="1" applyAlignment="1">
      <alignment horizontal="center"/>
    </xf>
    <xf numFmtId="0" fontId="2" fillId="5" borderId="0" xfId="1" applyFont="1" applyFill="1" applyAlignment="1">
      <alignment horizontal="center" wrapText="1"/>
    </xf>
    <xf numFmtId="0" fontId="4" fillId="5" borderId="0" xfId="1" applyFont="1" applyFill="1"/>
    <xf numFmtId="0" fontId="9" fillId="5" borderId="0" xfId="1" applyFont="1" applyFill="1" applyAlignment="1">
      <alignment horizontal="center" wrapText="1"/>
    </xf>
    <xf numFmtId="0" fontId="5" fillId="5" borderId="0" xfId="1" applyFont="1" applyFill="1" applyAlignment="1">
      <alignment vertical="top" wrapText="1"/>
    </xf>
    <xf numFmtId="0" fontId="99" fillId="0" borderId="48" xfId="0" applyFont="1" applyBorder="1" applyAlignment="1">
      <alignment horizontal="center"/>
    </xf>
    <xf numFmtId="0" fontId="99" fillId="0" borderId="55" xfId="0" applyFont="1" applyBorder="1" applyAlignment="1">
      <alignment horizontal="center"/>
    </xf>
  </cellXfs>
  <cellStyles count="27">
    <cellStyle name="blp_column_header" xfId="3" xr:uid="{ECD5F1B9-3AB3-43B1-8EB0-EDB1BC022B2D}"/>
    <cellStyle name="blp_title_header_row_left" xfId="5" xr:uid="{36C2782A-E13D-4B8D-95CF-E792AAD51526}"/>
    <cellStyle name="Comma" xfId="20" builtinId="3"/>
    <cellStyle name="Comma 2" xfId="18" xr:uid="{B8BC2E23-B76E-4104-91EE-F653A21858A2}"/>
    <cellStyle name="fa_column_header_bottom_centered" xfId="10" xr:uid="{0719E6A1-D168-49AD-930A-74009E204FF4}"/>
    <cellStyle name="fa_column_header_bottom_left" xfId="9" xr:uid="{8F624305-4B1B-4E51-942A-47FD3A6EC163}"/>
    <cellStyle name="fa_column_header_empty" xfId="6" xr:uid="{5827D7CC-3AF9-4F4E-A9B8-2D8CCA9D99C7}"/>
    <cellStyle name="fa_column_header_top_centered" xfId="8" xr:uid="{044EFFF5-D080-4086-BDA9-C08ED0529823}"/>
    <cellStyle name="fa_column_header_top_left" xfId="7" xr:uid="{40DC5C93-2CFA-4079-96D3-5ECFAB9A04B1}"/>
    <cellStyle name="fa_data_bold_3_grouped_single_border" xfId="12" xr:uid="{47E1CEDB-5CA4-4CF2-AA80-9120F3D08551}"/>
    <cellStyle name="fa_data_bold_3_percent_single_border" xfId="13" xr:uid="{81E19FFB-EFA1-4648-AD5D-1527021BE4B3}"/>
    <cellStyle name="fa_data_standard_3_grouped_single_border" xfId="15" xr:uid="{BD075586-E620-4D94-A270-12B824D8742D}"/>
    <cellStyle name="fa_data_standard_3_percent_single_border" xfId="16" xr:uid="{46EF1219-5895-4156-9594-ED3D7CE52B8D}"/>
    <cellStyle name="fa_footer_italic" xfId="17" xr:uid="{3EDE1174-DB76-4A8F-B44B-62672325844D}"/>
    <cellStyle name="fa_row_header_bold" xfId="11" xr:uid="{86A65BFC-F450-4823-AB7C-6EE5ED31985A}"/>
    <cellStyle name="fa_row_header_standard" xfId="14" xr:uid="{7D94E2A2-0BE6-41F9-B415-569AFE2742F5}"/>
    <cellStyle name="Invisible" xfId="2" xr:uid="{170CA69F-381E-0D41-9076-E0FFB73C87CD}"/>
    <cellStyle name="Invisible 2" xfId="21" xr:uid="{E973A1D0-2A37-AC46-9D42-E557606439C4}"/>
    <cellStyle name="Invisible 2 2" xfId="26" xr:uid="{B14D5F56-E026-DD4D-B026-1D79F7981A22}"/>
    <cellStyle name="Normal" xfId="0" builtinId="0"/>
    <cellStyle name="Normal 2" xfId="1" xr:uid="{B60001D4-2173-8A4E-8CD3-CB3D50EE5763}"/>
    <cellStyle name="Normal 3" xfId="4" xr:uid="{FDA78421-B3A5-40AD-BC3E-52E6F5509B0B}"/>
    <cellStyle name="Normal 3 2" xfId="22" xr:uid="{E5A839F7-994D-8048-BD0F-7DCE1AC7A27A}"/>
    <cellStyle name="Normal 4" xfId="23" xr:uid="{8639054F-6A35-4A2F-949A-28DA7289B8A7}"/>
    <cellStyle name="Normal_DCF analysis" xfId="25" xr:uid="{902920E2-50A6-4200-A077-789CA5404BC1}"/>
    <cellStyle name="Percent" xfId="19" builtinId="5"/>
    <cellStyle name="Percent 2" xfId="24" xr:uid="{1162C5BE-9441-4A61-B0D2-064175B55602}"/>
  </cellStyles>
  <dxfs count="0"/>
  <tableStyles count="0" defaultTableStyle="TableStyleMedium2" defaultPivotStyle="PivotStyleLight16"/>
  <colors>
    <mruColors>
      <color rgb="FF0000FF"/>
      <color rgb="FFFF2600"/>
      <color rgb="FFF0F0DC"/>
      <color rgb="FFF1B5A4"/>
      <color rgb="FFE951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Types" Target="richData/rdRichValueTyp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06/relationships/rdRichValue" Target="richData/rdrichvalue.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 Segments Breakdown (2019</a:t>
            </a:r>
            <a:r>
              <a:rPr lang="en-GB" b="1" baseline="0"/>
              <a:t> - 2024)</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'FA Graphs'!$A$87</c:f>
              <c:strCache>
                <c:ptCount val="1"/>
                <c:pt idx="0">
                  <c:v>      Women’s Accessories, Intimate Apparel, Shoes and Cosmetics</c:v>
                </c:pt>
              </c:strCache>
            </c:strRef>
          </c:tx>
          <c:spPr>
            <a:solidFill>
              <a:schemeClr val="accent1"/>
            </a:solidFill>
            <a:ln>
              <a:noFill/>
            </a:ln>
            <a:effectLst/>
          </c:spPr>
          <c:invertIfNegative val="0"/>
          <c:cat>
            <c:numRef>
              <c:f>'FA Graphs'!$C$83:$H$83</c:f>
              <c:numCache>
                <c:formatCode>General</c:formatCode>
                <c:ptCount val="6"/>
                <c:pt idx="0">
                  <c:v>2019</c:v>
                </c:pt>
                <c:pt idx="1">
                  <c:v>2020</c:v>
                </c:pt>
                <c:pt idx="2">
                  <c:v>2021</c:v>
                </c:pt>
                <c:pt idx="3">
                  <c:v>2022</c:v>
                </c:pt>
                <c:pt idx="4">
                  <c:v>2023</c:v>
                </c:pt>
                <c:pt idx="5">
                  <c:v>2024</c:v>
                </c:pt>
              </c:numCache>
            </c:numRef>
          </c:cat>
          <c:val>
            <c:numRef>
              <c:f>'FA Graphs'!$C$87:$H$87</c:f>
              <c:numCache>
                <c:formatCode>#,##0.0</c:formatCode>
                <c:ptCount val="6"/>
                <c:pt idx="0">
                  <c:v>9457</c:v>
                </c:pt>
                <c:pt idx="1">
                  <c:v>9454</c:v>
                </c:pt>
                <c:pt idx="2">
                  <c:v>7206</c:v>
                </c:pt>
                <c:pt idx="3">
                  <c:v>10119</c:v>
                </c:pt>
                <c:pt idx="4">
                  <c:v>9597</c:v>
                </c:pt>
                <c:pt idx="5">
                  <c:v>9520</c:v>
                </c:pt>
              </c:numCache>
            </c:numRef>
          </c:val>
          <c:extLst>
            <c:ext xmlns:c16="http://schemas.microsoft.com/office/drawing/2014/chart" uri="{C3380CC4-5D6E-409C-BE32-E72D297353CC}">
              <c16:uniqueId val="{00000000-4CE0-CE4C-A6D7-FBA15C456D37}"/>
            </c:ext>
          </c:extLst>
        </c:ser>
        <c:ser>
          <c:idx val="1"/>
          <c:order val="1"/>
          <c:tx>
            <c:strRef>
              <c:f>'FA Graphs'!$A$88</c:f>
              <c:strCache>
                <c:ptCount val="1"/>
                <c:pt idx="0">
                  <c:v>      Men’s and Kids</c:v>
                </c:pt>
              </c:strCache>
            </c:strRef>
          </c:tx>
          <c:spPr>
            <a:solidFill>
              <a:schemeClr val="accent2"/>
            </a:solidFill>
            <a:ln>
              <a:noFill/>
            </a:ln>
            <a:effectLst/>
          </c:spPr>
          <c:invertIfNegative val="0"/>
          <c:cat>
            <c:numRef>
              <c:f>'FA Graphs'!$C$83:$H$83</c:f>
              <c:numCache>
                <c:formatCode>General</c:formatCode>
                <c:ptCount val="6"/>
                <c:pt idx="0">
                  <c:v>2019</c:v>
                </c:pt>
                <c:pt idx="1">
                  <c:v>2020</c:v>
                </c:pt>
                <c:pt idx="2">
                  <c:v>2021</c:v>
                </c:pt>
                <c:pt idx="3">
                  <c:v>2022</c:v>
                </c:pt>
                <c:pt idx="4">
                  <c:v>2023</c:v>
                </c:pt>
                <c:pt idx="5">
                  <c:v>2024</c:v>
                </c:pt>
              </c:numCache>
            </c:numRef>
          </c:cat>
          <c:val>
            <c:numRef>
              <c:f>'FA Graphs'!$C$88:$H$88</c:f>
              <c:numCache>
                <c:formatCode>#,##0.0</c:formatCode>
                <c:ptCount val="6"/>
                <c:pt idx="0">
                  <c:v>5699</c:v>
                </c:pt>
                <c:pt idx="1">
                  <c:v>5628</c:v>
                </c:pt>
                <c:pt idx="2">
                  <c:v>3486</c:v>
                </c:pt>
                <c:pt idx="3">
                  <c:v>5252</c:v>
                </c:pt>
                <c:pt idx="4">
                  <c:v>5297</c:v>
                </c:pt>
                <c:pt idx="5">
                  <c:v>4918</c:v>
                </c:pt>
              </c:numCache>
            </c:numRef>
          </c:val>
          <c:extLst>
            <c:ext xmlns:c16="http://schemas.microsoft.com/office/drawing/2014/chart" uri="{C3380CC4-5D6E-409C-BE32-E72D297353CC}">
              <c16:uniqueId val="{00000001-4CE0-CE4C-A6D7-FBA15C456D37}"/>
            </c:ext>
          </c:extLst>
        </c:ser>
        <c:ser>
          <c:idx val="2"/>
          <c:order val="2"/>
          <c:tx>
            <c:strRef>
              <c:f>'FA Graphs'!$A$89</c:f>
              <c:strCache>
                <c:ptCount val="1"/>
                <c:pt idx="0">
                  <c:v>      Women’s Apparel</c:v>
                </c:pt>
              </c:strCache>
            </c:strRef>
          </c:tx>
          <c:spPr>
            <a:solidFill>
              <a:schemeClr val="accent3"/>
            </a:solidFill>
            <a:ln>
              <a:noFill/>
            </a:ln>
            <a:effectLst/>
          </c:spPr>
          <c:invertIfNegative val="0"/>
          <c:cat>
            <c:numRef>
              <c:f>'FA Graphs'!$C$83:$H$83</c:f>
              <c:numCache>
                <c:formatCode>General</c:formatCode>
                <c:ptCount val="6"/>
                <c:pt idx="0">
                  <c:v>2019</c:v>
                </c:pt>
                <c:pt idx="1">
                  <c:v>2020</c:v>
                </c:pt>
                <c:pt idx="2">
                  <c:v>2021</c:v>
                </c:pt>
                <c:pt idx="3">
                  <c:v>2022</c:v>
                </c:pt>
                <c:pt idx="4">
                  <c:v>2023</c:v>
                </c:pt>
                <c:pt idx="5">
                  <c:v>2024</c:v>
                </c:pt>
              </c:numCache>
            </c:numRef>
          </c:cat>
          <c:val>
            <c:numRef>
              <c:f>'FA Graphs'!$C$89:$H$89</c:f>
              <c:numCache>
                <c:formatCode>#,##0.0</c:formatCode>
                <c:ptCount val="6"/>
                <c:pt idx="0">
                  <c:v>5642</c:v>
                </c:pt>
                <c:pt idx="1">
                  <c:v>5411</c:v>
                </c:pt>
                <c:pt idx="2">
                  <c:v>2909</c:v>
                </c:pt>
                <c:pt idx="3">
                  <c:v>4433</c:v>
                </c:pt>
                <c:pt idx="4">
                  <c:v>5349</c:v>
                </c:pt>
                <c:pt idx="5">
                  <c:v>4861</c:v>
                </c:pt>
              </c:numCache>
            </c:numRef>
          </c:val>
          <c:extLst>
            <c:ext xmlns:c16="http://schemas.microsoft.com/office/drawing/2014/chart" uri="{C3380CC4-5D6E-409C-BE32-E72D297353CC}">
              <c16:uniqueId val="{00000002-4CE0-CE4C-A6D7-FBA15C456D37}"/>
            </c:ext>
          </c:extLst>
        </c:ser>
        <c:ser>
          <c:idx val="3"/>
          <c:order val="3"/>
          <c:tx>
            <c:strRef>
              <c:f>'FA Graphs'!$A$90</c:f>
              <c:strCache>
                <c:ptCount val="1"/>
                <c:pt idx="0">
                  <c:v>      Home/Other</c:v>
                </c:pt>
              </c:strCache>
            </c:strRef>
          </c:tx>
          <c:spPr>
            <a:solidFill>
              <a:schemeClr val="accent4"/>
            </a:solidFill>
            <a:ln>
              <a:noFill/>
            </a:ln>
            <a:effectLst/>
          </c:spPr>
          <c:invertIfNegative val="0"/>
          <c:cat>
            <c:numRef>
              <c:f>'FA Graphs'!$C$83:$H$83</c:f>
              <c:numCache>
                <c:formatCode>General</c:formatCode>
                <c:ptCount val="6"/>
                <c:pt idx="0">
                  <c:v>2019</c:v>
                </c:pt>
                <c:pt idx="1">
                  <c:v>2020</c:v>
                </c:pt>
                <c:pt idx="2">
                  <c:v>2021</c:v>
                </c:pt>
                <c:pt idx="3">
                  <c:v>2022</c:v>
                </c:pt>
                <c:pt idx="4">
                  <c:v>2023</c:v>
                </c:pt>
                <c:pt idx="5">
                  <c:v>2024</c:v>
                </c:pt>
              </c:numCache>
            </c:numRef>
          </c:cat>
          <c:val>
            <c:numRef>
              <c:f>'FA Graphs'!$C$90:$H$90</c:f>
              <c:numCache>
                <c:formatCode>#,##0.0</c:formatCode>
                <c:ptCount val="6"/>
                <c:pt idx="0">
                  <c:v>4173</c:v>
                </c:pt>
                <c:pt idx="1">
                  <c:v>4067</c:v>
                </c:pt>
                <c:pt idx="2">
                  <c:v>3745</c:v>
                </c:pt>
                <c:pt idx="3">
                  <c:v>4656</c:v>
                </c:pt>
                <c:pt idx="4">
                  <c:v>4199</c:v>
                </c:pt>
                <c:pt idx="5">
                  <c:v>3793</c:v>
                </c:pt>
              </c:numCache>
            </c:numRef>
          </c:val>
          <c:extLst>
            <c:ext xmlns:c16="http://schemas.microsoft.com/office/drawing/2014/chart" uri="{C3380CC4-5D6E-409C-BE32-E72D297353CC}">
              <c16:uniqueId val="{00000003-4CE0-CE4C-A6D7-FBA15C456D37}"/>
            </c:ext>
          </c:extLst>
        </c:ser>
        <c:ser>
          <c:idx val="4"/>
          <c:order val="4"/>
          <c:tx>
            <c:strRef>
              <c:f>'FA Graphs'!$A$91</c:f>
              <c:strCache>
                <c:ptCount val="1"/>
                <c:pt idx="0">
                  <c:v>    Credit Card</c:v>
                </c:pt>
              </c:strCache>
            </c:strRef>
          </c:tx>
          <c:spPr>
            <a:solidFill>
              <a:schemeClr val="accent5"/>
            </a:solidFill>
            <a:ln>
              <a:noFill/>
            </a:ln>
            <a:effectLst/>
          </c:spPr>
          <c:invertIfNegative val="0"/>
          <c:cat>
            <c:numRef>
              <c:f>'FA Graphs'!$C$83:$H$83</c:f>
              <c:numCache>
                <c:formatCode>General</c:formatCode>
                <c:ptCount val="6"/>
                <c:pt idx="0">
                  <c:v>2019</c:v>
                </c:pt>
                <c:pt idx="1">
                  <c:v>2020</c:v>
                </c:pt>
                <c:pt idx="2">
                  <c:v>2021</c:v>
                </c:pt>
                <c:pt idx="3">
                  <c:v>2022</c:v>
                </c:pt>
                <c:pt idx="4">
                  <c:v>2023</c:v>
                </c:pt>
                <c:pt idx="5">
                  <c:v>2024</c:v>
                </c:pt>
              </c:numCache>
            </c:numRef>
          </c:cat>
          <c:val>
            <c:numRef>
              <c:f>'FA Graphs'!$C$91:$H$91</c:f>
              <c:numCache>
                <c:formatCode>#,##0.0</c:formatCode>
                <c:ptCount val="6"/>
                <c:pt idx="0">
                  <c:v>768</c:v>
                </c:pt>
                <c:pt idx="1">
                  <c:v>771</c:v>
                </c:pt>
                <c:pt idx="2">
                  <c:v>751</c:v>
                </c:pt>
                <c:pt idx="3">
                  <c:v>832</c:v>
                </c:pt>
                <c:pt idx="4">
                  <c:v>863</c:v>
                </c:pt>
                <c:pt idx="5">
                  <c:v>619</c:v>
                </c:pt>
              </c:numCache>
            </c:numRef>
          </c:val>
          <c:extLst>
            <c:ext xmlns:c16="http://schemas.microsoft.com/office/drawing/2014/chart" uri="{C3380CC4-5D6E-409C-BE32-E72D297353CC}">
              <c16:uniqueId val="{00000004-4CE0-CE4C-A6D7-FBA15C456D37}"/>
            </c:ext>
          </c:extLst>
        </c:ser>
        <c:ser>
          <c:idx val="5"/>
          <c:order val="5"/>
          <c:tx>
            <c:strRef>
              <c:f>'FA Graphs'!$A$92</c:f>
              <c:strCache>
                <c:ptCount val="1"/>
                <c:pt idx="0">
                  <c:v>    Macy's Media Network</c:v>
                </c:pt>
              </c:strCache>
            </c:strRef>
          </c:tx>
          <c:spPr>
            <a:solidFill>
              <a:schemeClr val="accent6"/>
            </a:solidFill>
            <a:ln>
              <a:noFill/>
            </a:ln>
            <a:effectLst/>
          </c:spPr>
          <c:invertIfNegative val="0"/>
          <c:cat>
            <c:numRef>
              <c:f>'FA Graphs'!$C$83:$H$83</c:f>
              <c:numCache>
                <c:formatCode>General</c:formatCode>
                <c:ptCount val="6"/>
                <c:pt idx="0">
                  <c:v>2019</c:v>
                </c:pt>
                <c:pt idx="1">
                  <c:v>2020</c:v>
                </c:pt>
                <c:pt idx="2">
                  <c:v>2021</c:v>
                </c:pt>
                <c:pt idx="3">
                  <c:v>2022</c:v>
                </c:pt>
                <c:pt idx="4">
                  <c:v>2023</c:v>
                </c:pt>
                <c:pt idx="5">
                  <c:v>2024</c:v>
                </c:pt>
              </c:numCache>
            </c:numRef>
          </c:cat>
          <c:val>
            <c:numRef>
              <c:f>'FA Graphs'!$C$92:$H$92</c:f>
              <c:numCache>
                <c:formatCode>#,##0.0</c:formatCode>
                <c:ptCount val="6"/>
                <c:pt idx="0">
                  <c:v>0</c:v>
                </c:pt>
                <c:pt idx="1">
                  <c:v>0</c:v>
                </c:pt>
                <c:pt idx="2">
                  <c:v>0</c:v>
                </c:pt>
                <c:pt idx="3">
                  <c:v>0</c:v>
                </c:pt>
                <c:pt idx="4">
                  <c:v>144</c:v>
                </c:pt>
                <c:pt idx="5">
                  <c:v>155</c:v>
                </c:pt>
              </c:numCache>
            </c:numRef>
          </c:val>
          <c:extLst>
            <c:ext xmlns:c16="http://schemas.microsoft.com/office/drawing/2014/chart" uri="{C3380CC4-5D6E-409C-BE32-E72D297353CC}">
              <c16:uniqueId val="{00000005-4CE0-CE4C-A6D7-FBA15C456D37}"/>
            </c:ext>
          </c:extLst>
        </c:ser>
        <c:dLbls>
          <c:showLegendKey val="0"/>
          <c:showVal val="0"/>
          <c:showCatName val="0"/>
          <c:showSerName val="0"/>
          <c:showPercent val="0"/>
          <c:showBubbleSize val="0"/>
        </c:dLbls>
        <c:gapWidth val="219"/>
        <c:overlap val="-27"/>
        <c:axId val="1837704255"/>
        <c:axId val="1838116431"/>
      </c:barChart>
      <c:catAx>
        <c:axId val="183770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16431"/>
        <c:crosses val="autoZero"/>
        <c:auto val="1"/>
        <c:lblAlgn val="ctr"/>
        <c:lblOffset val="100"/>
        <c:noMultiLvlLbl val="0"/>
      </c:catAx>
      <c:valAx>
        <c:axId val="1838116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US$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704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 Segments Proportion (FY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3-9F38-9E47-A305-70486E595B5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4-9F38-9E47-A305-70486E595B5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F38-9E47-A305-70486E595B5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6-9F38-9E47-A305-70486E595B5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1-9F38-9E47-A305-70486E595B51}"/>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2-9F38-9E47-A305-70486E595B51}"/>
              </c:ext>
            </c:extLst>
          </c:dPt>
          <c:dLbls>
            <c:dLbl>
              <c:idx val="0"/>
              <c:tx>
                <c:rich>
                  <a:bodyPr/>
                  <a:lstStyle/>
                  <a:p>
                    <a:fld id="{BCDABB16-C183-CB4F-AD35-63FF6191EBE6}" type="VALUE">
                      <a:rPr lang="en-US">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F38-9E47-A305-70486E595B51}"/>
                </c:ext>
              </c:extLst>
            </c:dLbl>
            <c:dLbl>
              <c:idx val="1"/>
              <c:tx>
                <c:rich>
                  <a:bodyPr/>
                  <a:lstStyle/>
                  <a:p>
                    <a:fld id="{4DE7BC42-89C7-3A43-85D7-705FC1D12D17}" type="VALUE">
                      <a:rPr lang="en-US">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F38-9E47-A305-70486E595B51}"/>
                </c:ext>
              </c:extLst>
            </c:dLbl>
            <c:dLbl>
              <c:idx val="2"/>
              <c:tx>
                <c:rich>
                  <a:bodyPr/>
                  <a:lstStyle/>
                  <a:p>
                    <a:fld id="{FC553B7D-4CC4-B74F-9BC7-76F15624CAA9}" type="VALUE">
                      <a:rPr lang="en-US">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F38-9E47-A305-70486E595B51}"/>
                </c:ext>
              </c:extLst>
            </c:dLbl>
            <c:dLbl>
              <c:idx val="3"/>
              <c:tx>
                <c:rich>
                  <a:bodyPr/>
                  <a:lstStyle/>
                  <a:p>
                    <a:fld id="{14FF8651-FF8C-7345-BDDE-0FB6C32C719B}" type="VALUE">
                      <a:rPr lang="en-US">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9F38-9E47-A305-70486E595B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 Graphs'!$A$97:$A$102</c:f>
              <c:strCache>
                <c:ptCount val="6"/>
                <c:pt idx="0">
                  <c:v>      Women’s Accessories, Intimate Apparel, Shoes and Cosmetics</c:v>
                </c:pt>
                <c:pt idx="1">
                  <c:v>      Men’s and Kids</c:v>
                </c:pt>
                <c:pt idx="2">
                  <c:v>      Women’s Apparel</c:v>
                </c:pt>
                <c:pt idx="3">
                  <c:v>      Home/Other</c:v>
                </c:pt>
                <c:pt idx="4">
                  <c:v>    Credit Card</c:v>
                </c:pt>
                <c:pt idx="5">
                  <c:v>    Macy's Media Network</c:v>
                </c:pt>
              </c:strCache>
            </c:strRef>
          </c:cat>
          <c:val>
            <c:numRef>
              <c:f>'FA Graphs'!$H$97:$H$102</c:f>
              <c:numCache>
                <c:formatCode>0.0%</c:formatCode>
                <c:ptCount val="6"/>
                <c:pt idx="0">
                  <c:v>0.39889382384982819</c:v>
                </c:pt>
                <c:pt idx="1">
                  <c:v>0.20606720858124528</c:v>
                </c:pt>
                <c:pt idx="2">
                  <c:v>0.20367887371155619</c:v>
                </c:pt>
                <c:pt idx="3">
                  <c:v>0.1589290203636973</c:v>
                </c:pt>
                <c:pt idx="4">
                  <c:v>2.5936478672588619E-2</c:v>
                </c:pt>
                <c:pt idx="5">
                  <c:v>6.4945948210843882E-3</c:v>
                </c:pt>
              </c:numCache>
            </c:numRef>
          </c:val>
          <c:extLst>
            <c:ext xmlns:c16="http://schemas.microsoft.com/office/drawing/2014/chart" uri="{C3380CC4-5D6E-409C-BE32-E72D297353CC}">
              <c16:uniqueId val="{00000000-9F38-9E47-A305-70486E595B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 &amp; EBITDA</a:t>
            </a:r>
            <a:r>
              <a:rPr lang="en-GB" b="1" baseline="0"/>
              <a:t> Figures (2019 - 2024)</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'FA Graphs'!$A$20</c:f>
              <c:strCache>
                <c:ptCount val="1"/>
                <c:pt idx="0">
                  <c:v>Revenue (US$m)</c:v>
                </c:pt>
              </c:strCache>
            </c:strRef>
          </c:tx>
          <c:spPr>
            <a:solidFill>
              <a:schemeClr val="accent2">
                <a:shade val="65000"/>
              </a:schemeClr>
            </a:solidFill>
            <a:ln>
              <a:noFill/>
            </a:ln>
            <a:effectLst/>
          </c:spPr>
          <c:invertIfNegative val="0"/>
          <c:cat>
            <c:numRef>
              <c:f>'FA Graphs'!$C$17:$H$17</c:f>
              <c:numCache>
                <c:formatCode>General</c:formatCode>
                <c:ptCount val="6"/>
                <c:pt idx="0">
                  <c:v>2019</c:v>
                </c:pt>
                <c:pt idx="1">
                  <c:v>2020</c:v>
                </c:pt>
                <c:pt idx="2">
                  <c:v>2021</c:v>
                </c:pt>
                <c:pt idx="3">
                  <c:v>2022</c:v>
                </c:pt>
                <c:pt idx="4">
                  <c:v>2023</c:v>
                </c:pt>
                <c:pt idx="5">
                  <c:v>2024</c:v>
                </c:pt>
              </c:numCache>
            </c:numRef>
          </c:cat>
          <c:val>
            <c:numRef>
              <c:f>'FA Graphs'!$C$20:$H$20</c:f>
              <c:numCache>
                <c:formatCode>#,##0</c:formatCode>
                <c:ptCount val="6"/>
                <c:pt idx="0">
                  <c:v>25739</c:v>
                </c:pt>
                <c:pt idx="1">
                  <c:v>25331</c:v>
                </c:pt>
                <c:pt idx="2">
                  <c:v>18097</c:v>
                </c:pt>
                <c:pt idx="3">
                  <c:v>25399</c:v>
                </c:pt>
                <c:pt idx="4">
                  <c:v>25449</c:v>
                </c:pt>
                <c:pt idx="5">
                  <c:v>23866</c:v>
                </c:pt>
              </c:numCache>
            </c:numRef>
          </c:val>
          <c:extLst>
            <c:ext xmlns:c16="http://schemas.microsoft.com/office/drawing/2014/chart" uri="{C3380CC4-5D6E-409C-BE32-E72D297353CC}">
              <c16:uniqueId val="{00000000-3ECF-5B41-A794-65732F056636}"/>
            </c:ext>
          </c:extLst>
        </c:ser>
        <c:ser>
          <c:idx val="1"/>
          <c:order val="1"/>
          <c:tx>
            <c:strRef>
              <c:f>'FA Graphs'!$A$21</c:f>
              <c:strCache>
                <c:ptCount val="1"/>
                <c:pt idx="0">
                  <c:v>Operating Income (US$m)</c:v>
                </c:pt>
              </c:strCache>
            </c:strRef>
          </c:tx>
          <c:spPr>
            <a:solidFill>
              <a:schemeClr val="accent2"/>
            </a:solidFill>
            <a:ln>
              <a:noFill/>
            </a:ln>
            <a:effectLst/>
          </c:spPr>
          <c:invertIfNegative val="0"/>
          <c:cat>
            <c:numRef>
              <c:f>'FA Graphs'!$C$17:$H$17</c:f>
              <c:numCache>
                <c:formatCode>General</c:formatCode>
                <c:ptCount val="6"/>
                <c:pt idx="0">
                  <c:v>2019</c:v>
                </c:pt>
                <c:pt idx="1">
                  <c:v>2020</c:v>
                </c:pt>
                <c:pt idx="2">
                  <c:v>2021</c:v>
                </c:pt>
                <c:pt idx="3">
                  <c:v>2022</c:v>
                </c:pt>
                <c:pt idx="4">
                  <c:v>2023</c:v>
                </c:pt>
                <c:pt idx="5">
                  <c:v>2024</c:v>
                </c:pt>
              </c:numCache>
            </c:numRef>
          </c:cat>
          <c:val>
            <c:numRef>
              <c:f>'FA Graphs'!$C$21:$H$21</c:f>
              <c:numCache>
                <c:formatCode>#,##0</c:formatCode>
                <c:ptCount val="6"/>
                <c:pt idx="0">
                  <c:v>1532</c:v>
                </c:pt>
                <c:pt idx="1">
                  <c:v>1159</c:v>
                </c:pt>
                <c:pt idx="2">
                  <c:v>-902</c:v>
                </c:pt>
                <c:pt idx="3">
                  <c:v>2334</c:v>
                </c:pt>
                <c:pt idx="4">
                  <c:v>1640</c:v>
                </c:pt>
                <c:pt idx="5">
                  <c:v>1263</c:v>
                </c:pt>
              </c:numCache>
            </c:numRef>
          </c:val>
          <c:extLst>
            <c:ext xmlns:c16="http://schemas.microsoft.com/office/drawing/2014/chart" uri="{C3380CC4-5D6E-409C-BE32-E72D297353CC}">
              <c16:uniqueId val="{00000001-3ECF-5B41-A794-65732F056636}"/>
            </c:ext>
          </c:extLst>
        </c:ser>
        <c:dLbls>
          <c:showLegendKey val="0"/>
          <c:showVal val="0"/>
          <c:showCatName val="0"/>
          <c:showSerName val="0"/>
          <c:showPercent val="0"/>
          <c:showBubbleSize val="0"/>
        </c:dLbls>
        <c:gapWidth val="150"/>
        <c:axId val="538012384"/>
        <c:axId val="538014096"/>
      </c:barChart>
      <c:lineChart>
        <c:grouping val="standard"/>
        <c:varyColors val="0"/>
        <c:ser>
          <c:idx val="2"/>
          <c:order val="2"/>
          <c:tx>
            <c:strRef>
              <c:f>'FA Graphs'!$A$24</c:f>
              <c:strCache>
                <c:ptCount val="1"/>
                <c:pt idx="0">
                  <c:v>Gross Margin (%)</c:v>
                </c:pt>
              </c:strCache>
            </c:strRef>
          </c:tx>
          <c:spPr>
            <a:ln w="28575" cap="rnd">
              <a:solidFill>
                <a:srgbClr val="00B0F0"/>
              </a:solidFill>
              <a:round/>
            </a:ln>
            <a:effectLst/>
          </c:spPr>
          <c:marker>
            <c:symbol val="none"/>
          </c:marker>
          <c:val>
            <c:numRef>
              <c:f>'FA Graphs'!$C$24:$H$24</c:f>
              <c:numCache>
                <c:formatCode>0.0%</c:formatCode>
                <c:ptCount val="6"/>
                <c:pt idx="0">
                  <c:v>0.40887369361669063</c:v>
                </c:pt>
                <c:pt idx="1">
                  <c:v>0.40108957403971418</c:v>
                </c:pt>
                <c:pt idx="2">
                  <c:v>0.32110294523954247</c:v>
                </c:pt>
                <c:pt idx="3">
                  <c:v>0.41115791960313397</c:v>
                </c:pt>
                <c:pt idx="4">
                  <c:v>0.39695076427364534</c:v>
                </c:pt>
                <c:pt idx="5">
                  <c:v>0.40400569848319784</c:v>
                </c:pt>
              </c:numCache>
            </c:numRef>
          </c:val>
          <c:smooth val="0"/>
          <c:extLst>
            <c:ext xmlns:c16="http://schemas.microsoft.com/office/drawing/2014/chart" uri="{C3380CC4-5D6E-409C-BE32-E72D297353CC}">
              <c16:uniqueId val="{00000002-3ECF-5B41-A794-65732F056636}"/>
            </c:ext>
          </c:extLst>
        </c:ser>
        <c:dLbls>
          <c:showLegendKey val="0"/>
          <c:showVal val="0"/>
          <c:showCatName val="0"/>
          <c:showSerName val="0"/>
          <c:showPercent val="0"/>
          <c:showBubbleSize val="0"/>
        </c:dLbls>
        <c:marker val="1"/>
        <c:smooth val="0"/>
        <c:axId val="539921728"/>
        <c:axId val="2042152863"/>
      </c:lineChart>
      <c:catAx>
        <c:axId val="53801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014096"/>
        <c:crosses val="autoZero"/>
        <c:auto val="1"/>
        <c:lblAlgn val="ctr"/>
        <c:lblOffset val="100"/>
        <c:noMultiLvlLbl val="0"/>
      </c:catAx>
      <c:valAx>
        <c:axId val="538014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012384"/>
        <c:crosses val="autoZero"/>
        <c:crossBetween val="between"/>
      </c:valAx>
      <c:valAx>
        <c:axId val="204215286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21728"/>
        <c:crosses val="max"/>
        <c:crossBetween val="between"/>
      </c:valAx>
      <c:catAx>
        <c:axId val="539921728"/>
        <c:scaling>
          <c:orientation val="minMax"/>
        </c:scaling>
        <c:delete val="1"/>
        <c:axPos val="b"/>
        <c:majorTickMark val="out"/>
        <c:minorTickMark val="none"/>
        <c:tickLblPos val="nextTo"/>
        <c:crossAx val="20421528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Profitability Margins (2019 - 2024)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 Graphs'!$A$24</c:f>
              <c:strCache>
                <c:ptCount val="1"/>
                <c:pt idx="0">
                  <c:v>Gross Margin (%)</c:v>
                </c:pt>
              </c:strCache>
            </c:strRef>
          </c:tx>
          <c:spPr>
            <a:ln w="28575" cap="rnd">
              <a:solidFill>
                <a:schemeClr val="accent2">
                  <a:shade val="65000"/>
                </a:schemeClr>
              </a:solidFill>
              <a:round/>
            </a:ln>
            <a:effectLst/>
          </c:spPr>
          <c:marker>
            <c:symbol val="none"/>
          </c:marker>
          <c:cat>
            <c:numRef>
              <c:f>'FA Graphs'!$C$17:$H$17</c:f>
              <c:numCache>
                <c:formatCode>General</c:formatCode>
                <c:ptCount val="6"/>
                <c:pt idx="0">
                  <c:v>2019</c:v>
                </c:pt>
                <c:pt idx="1">
                  <c:v>2020</c:v>
                </c:pt>
                <c:pt idx="2">
                  <c:v>2021</c:v>
                </c:pt>
                <c:pt idx="3">
                  <c:v>2022</c:v>
                </c:pt>
                <c:pt idx="4">
                  <c:v>2023</c:v>
                </c:pt>
                <c:pt idx="5">
                  <c:v>2024</c:v>
                </c:pt>
              </c:numCache>
            </c:numRef>
          </c:cat>
          <c:val>
            <c:numRef>
              <c:f>'FA Graphs'!$C$24:$H$24</c:f>
              <c:numCache>
                <c:formatCode>0.0%</c:formatCode>
                <c:ptCount val="6"/>
                <c:pt idx="0">
                  <c:v>0.40887369361669063</c:v>
                </c:pt>
                <c:pt idx="1">
                  <c:v>0.40108957403971418</c:v>
                </c:pt>
                <c:pt idx="2">
                  <c:v>0.32110294523954247</c:v>
                </c:pt>
                <c:pt idx="3">
                  <c:v>0.41115791960313397</c:v>
                </c:pt>
                <c:pt idx="4">
                  <c:v>0.39695076427364534</c:v>
                </c:pt>
                <c:pt idx="5">
                  <c:v>0.40400569848319784</c:v>
                </c:pt>
              </c:numCache>
            </c:numRef>
          </c:val>
          <c:smooth val="0"/>
          <c:extLst>
            <c:ext xmlns:c16="http://schemas.microsoft.com/office/drawing/2014/chart" uri="{C3380CC4-5D6E-409C-BE32-E72D297353CC}">
              <c16:uniqueId val="{00000000-2AE6-0642-83DE-CC4FD2C5ED6F}"/>
            </c:ext>
          </c:extLst>
        </c:ser>
        <c:ser>
          <c:idx val="1"/>
          <c:order val="1"/>
          <c:tx>
            <c:strRef>
              <c:f>'FA Graphs'!$A$26</c:f>
              <c:strCache>
                <c:ptCount val="1"/>
                <c:pt idx="0">
                  <c:v>Operating Margin (%)</c:v>
                </c:pt>
              </c:strCache>
            </c:strRef>
          </c:tx>
          <c:spPr>
            <a:ln w="28575" cap="rnd">
              <a:solidFill>
                <a:schemeClr val="accent2"/>
              </a:solidFill>
              <a:round/>
            </a:ln>
            <a:effectLst/>
          </c:spPr>
          <c:marker>
            <c:symbol val="none"/>
          </c:marker>
          <c:cat>
            <c:numRef>
              <c:f>'FA Graphs'!$C$17:$H$17</c:f>
              <c:numCache>
                <c:formatCode>General</c:formatCode>
                <c:ptCount val="6"/>
                <c:pt idx="0">
                  <c:v>2019</c:v>
                </c:pt>
                <c:pt idx="1">
                  <c:v>2020</c:v>
                </c:pt>
                <c:pt idx="2">
                  <c:v>2021</c:v>
                </c:pt>
                <c:pt idx="3">
                  <c:v>2022</c:v>
                </c:pt>
                <c:pt idx="4">
                  <c:v>2023</c:v>
                </c:pt>
                <c:pt idx="5">
                  <c:v>2024</c:v>
                </c:pt>
              </c:numCache>
            </c:numRef>
          </c:cat>
          <c:val>
            <c:numRef>
              <c:f>'FA Graphs'!$C$26:$H$26</c:f>
              <c:numCache>
                <c:formatCode>0.0%</c:formatCode>
                <c:ptCount val="6"/>
                <c:pt idx="0">
                  <c:v>5.9520571894790007E-2</c:v>
                </c:pt>
                <c:pt idx="1">
                  <c:v>4.5754214203939839E-2</c:v>
                </c:pt>
                <c:pt idx="2">
                  <c:v>-4.9842515334033263E-2</c:v>
                </c:pt>
                <c:pt idx="3">
                  <c:v>9.1893381629197995E-2</c:v>
                </c:pt>
                <c:pt idx="4">
                  <c:v>6.4442610711619316E-2</c:v>
                </c:pt>
                <c:pt idx="5">
                  <c:v>5.2920472638900526E-2</c:v>
                </c:pt>
              </c:numCache>
            </c:numRef>
          </c:val>
          <c:smooth val="0"/>
          <c:extLst>
            <c:ext xmlns:c16="http://schemas.microsoft.com/office/drawing/2014/chart" uri="{C3380CC4-5D6E-409C-BE32-E72D297353CC}">
              <c16:uniqueId val="{00000001-2AE6-0642-83DE-CC4FD2C5ED6F}"/>
            </c:ext>
          </c:extLst>
        </c:ser>
        <c:ser>
          <c:idx val="2"/>
          <c:order val="2"/>
          <c:tx>
            <c:strRef>
              <c:f>'FA Graphs'!$A$28</c:f>
              <c:strCache>
                <c:ptCount val="1"/>
                <c:pt idx="0">
                  <c:v>Net Profit Margin (%)</c:v>
                </c:pt>
              </c:strCache>
            </c:strRef>
          </c:tx>
          <c:spPr>
            <a:ln w="28575" cap="rnd">
              <a:solidFill>
                <a:schemeClr val="accent2">
                  <a:tint val="65000"/>
                </a:schemeClr>
              </a:solidFill>
              <a:round/>
            </a:ln>
            <a:effectLst/>
          </c:spPr>
          <c:marker>
            <c:symbol val="none"/>
          </c:marker>
          <c:cat>
            <c:numRef>
              <c:f>'FA Graphs'!$C$17:$H$17</c:f>
              <c:numCache>
                <c:formatCode>General</c:formatCode>
                <c:ptCount val="6"/>
                <c:pt idx="0">
                  <c:v>2019</c:v>
                </c:pt>
                <c:pt idx="1">
                  <c:v>2020</c:v>
                </c:pt>
                <c:pt idx="2">
                  <c:v>2021</c:v>
                </c:pt>
                <c:pt idx="3">
                  <c:v>2022</c:v>
                </c:pt>
                <c:pt idx="4">
                  <c:v>2023</c:v>
                </c:pt>
                <c:pt idx="5">
                  <c:v>2024</c:v>
                </c:pt>
              </c:numCache>
            </c:numRef>
          </c:cat>
          <c:val>
            <c:numRef>
              <c:f>'FA Graphs'!$C$28:$H$28</c:f>
              <c:numCache>
                <c:formatCode>0.0%</c:formatCode>
                <c:ptCount val="6"/>
                <c:pt idx="0">
                  <c:v>4.3047515443490426E-2</c:v>
                </c:pt>
                <c:pt idx="1">
                  <c:v>2.2265208637637677E-2</c:v>
                </c:pt>
                <c:pt idx="2">
                  <c:v>-0.21793667458694813</c:v>
                </c:pt>
                <c:pt idx="3">
                  <c:v>5.6301429190125596E-2</c:v>
                </c:pt>
                <c:pt idx="4">
                  <c:v>4.5031238948485208E-2</c:v>
                </c:pt>
                <c:pt idx="5">
                  <c:v>1.885527528701919E-3</c:v>
                </c:pt>
              </c:numCache>
            </c:numRef>
          </c:val>
          <c:smooth val="0"/>
          <c:extLst>
            <c:ext xmlns:c16="http://schemas.microsoft.com/office/drawing/2014/chart" uri="{C3380CC4-5D6E-409C-BE32-E72D297353CC}">
              <c16:uniqueId val="{00000002-2AE6-0642-83DE-CC4FD2C5ED6F}"/>
            </c:ext>
          </c:extLst>
        </c:ser>
        <c:dLbls>
          <c:showLegendKey val="0"/>
          <c:showVal val="0"/>
          <c:showCatName val="0"/>
          <c:showSerName val="0"/>
          <c:showPercent val="0"/>
          <c:showBubbleSize val="0"/>
        </c:dLbls>
        <c:smooth val="0"/>
        <c:axId val="2053536479"/>
        <c:axId val="2053853711"/>
      </c:lineChart>
      <c:catAx>
        <c:axId val="205353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53711"/>
        <c:crosses val="autoZero"/>
        <c:auto val="1"/>
        <c:lblAlgn val="ctr"/>
        <c:lblOffset val="100"/>
        <c:noMultiLvlLbl val="0"/>
      </c:catAx>
      <c:valAx>
        <c:axId val="20538537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36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Liquidity</a:t>
            </a:r>
            <a:r>
              <a:rPr lang="en-GB" b="1" baseline="0"/>
              <a:t> Analysis (2019 - 2024)</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'FA Graphs'!$A$37</c:f>
              <c:strCache>
                <c:ptCount val="1"/>
                <c:pt idx="0">
                  <c:v>Current Ratio</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'FA Graphs'!$C$34:$I$34</c:f>
              <c:numCache>
                <c:formatCode>General</c:formatCode>
                <c:ptCount val="7"/>
                <c:pt idx="0">
                  <c:v>2019</c:v>
                </c:pt>
                <c:pt idx="1">
                  <c:v>2020</c:v>
                </c:pt>
                <c:pt idx="2">
                  <c:v>2021</c:v>
                </c:pt>
                <c:pt idx="3">
                  <c:v>2022</c:v>
                </c:pt>
                <c:pt idx="4">
                  <c:v>2023</c:v>
                </c:pt>
                <c:pt idx="5">
                  <c:v>2024</c:v>
                </c:pt>
              </c:numCache>
            </c:numRef>
          </c:cat>
          <c:val>
            <c:numRef>
              <c:f>'FA Graphs'!$C$37:$H$37</c:f>
              <c:numCache>
                <c:formatCode>0.00</c:formatCode>
                <c:ptCount val="6"/>
                <c:pt idx="0">
                  <c:v>1.4229740061162079</c:v>
                </c:pt>
                <c:pt idx="1">
                  <c:v>1.1843478260869564</c:v>
                </c:pt>
                <c:pt idx="2">
                  <c:v>1.154377450065335</c:v>
                </c:pt>
                <c:pt idx="3">
                  <c:v>1.2477843426883308</c:v>
                </c:pt>
                <c:pt idx="4">
                  <c:v>1.2040732359596791</c:v>
                </c:pt>
                <c:pt idx="5">
                  <c:v>1.3435569285083848</c:v>
                </c:pt>
              </c:numCache>
            </c:numRef>
          </c:val>
          <c:extLst>
            <c:ext xmlns:c16="http://schemas.microsoft.com/office/drawing/2014/chart" uri="{C3380CC4-5D6E-409C-BE32-E72D297353CC}">
              <c16:uniqueId val="{00000000-B753-8F47-A753-16768D02C026}"/>
            </c:ext>
          </c:extLst>
        </c:ser>
        <c:ser>
          <c:idx val="1"/>
          <c:order val="1"/>
          <c:tx>
            <c:strRef>
              <c:f>'FA Graphs'!$A$38</c:f>
              <c:strCache>
                <c:ptCount val="1"/>
                <c:pt idx="0">
                  <c:v>Quick Ratio</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'FA Graphs'!$C$34:$I$34</c:f>
              <c:numCache>
                <c:formatCode>General</c:formatCode>
                <c:ptCount val="7"/>
                <c:pt idx="0">
                  <c:v>2019</c:v>
                </c:pt>
                <c:pt idx="1">
                  <c:v>2020</c:v>
                </c:pt>
                <c:pt idx="2">
                  <c:v>2021</c:v>
                </c:pt>
                <c:pt idx="3">
                  <c:v>2022</c:v>
                </c:pt>
                <c:pt idx="4">
                  <c:v>2023</c:v>
                </c:pt>
                <c:pt idx="5">
                  <c:v>2024</c:v>
                </c:pt>
              </c:numCache>
            </c:numRef>
          </c:cat>
          <c:val>
            <c:numRef>
              <c:f>'FA Graphs'!$C$38:$H$38</c:f>
              <c:numCache>
                <c:formatCode>0.00</c:formatCode>
                <c:ptCount val="6"/>
                <c:pt idx="0">
                  <c:v>0.41704892966360857</c:v>
                </c:pt>
                <c:pt idx="1">
                  <c:v>0.28208695652173915</c:v>
                </c:pt>
                <c:pt idx="2">
                  <c:v>0.44987866343102484</c:v>
                </c:pt>
                <c:pt idx="3">
                  <c:v>0.43851550960118169</c:v>
                </c:pt>
                <c:pt idx="4">
                  <c:v>0.32627031475005142</c:v>
                </c:pt>
                <c:pt idx="5">
                  <c:v>0.38128861429832306</c:v>
                </c:pt>
              </c:numCache>
            </c:numRef>
          </c:val>
          <c:extLst>
            <c:ext xmlns:c16="http://schemas.microsoft.com/office/drawing/2014/chart" uri="{C3380CC4-5D6E-409C-BE32-E72D297353CC}">
              <c16:uniqueId val="{00000001-B753-8F47-A753-16768D02C026}"/>
            </c:ext>
          </c:extLst>
        </c:ser>
        <c:dLbls>
          <c:dLblPos val="outEnd"/>
          <c:showLegendKey val="0"/>
          <c:showVal val="1"/>
          <c:showCatName val="0"/>
          <c:showSerName val="0"/>
          <c:showPercent val="0"/>
          <c:showBubbleSize val="0"/>
        </c:dLbls>
        <c:gapWidth val="219"/>
        <c:overlap val="-27"/>
        <c:axId val="690058432"/>
        <c:axId val="690447328"/>
      </c:barChart>
      <c:catAx>
        <c:axId val="69005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47328"/>
        <c:crosses val="autoZero"/>
        <c:auto val="1"/>
        <c:lblAlgn val="ctr"/>
        <c:lblOffset val="100"/>
        <c:noMultiLvlLbl val="0"/>
      </c:catAx>
      <c:valAx>
        <c:axId val="690447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58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Debt-to-Equity Ratio (2019</a:t>
            </a:r>
            <a:r>
              <a:rPr lang="en-US" b="1" baseline="0"/>
              <a:t> - 2024)</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'FA Graphs'!$A$44</c:f>
              <c:strCache>
                <c:ptCount val="1"/>
                <c:pt idx="0">
                  <c:v>Debt-to-Equity Ratio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'FA Graphs'!$C$41:$H$41</c:f>
              <c:numCache>
                <c:formatCode>General</c:formatCode>
                <c:ptCount val="6"/>
                <c:pt idx="0">
                  <c:v>2019</c:v>
                </c:pt>
                <c:pt idx="1">
                  <c:v>2020</c:v>
                </c:pt>
                <c:pt idx="2">
                  <c:v>2021</c:v>
                </c:pt>
                <c:pt idx="3">
                  <c:v>2022</c:v>
                </c:pt>
                <c:pt idx="4">
                  <c:v>2023</c:v>
                </c:pt>
                <c:pt idx="5">
                  <c:v>2024</c:v>
                </c:pt>
              </c:numCache>
            </c:numRef>
          </c:cat>
          <c:val>
            <c:numRef>
              <c:f>'FA Graphs'!$C$44:$H$44</c:f>
              <c:numCache>
                <c:formatCode>0.00</c:formatCode>
                <c:ptCount val="6"/>
                <c:pt idx="0">
                  <c:v>1.9822871348663766</c:v>
                </c:pt>
                <c:pt idx="1">
                  <c:v>2.3200564528775285</c:v>
                </c:pt>
                <c:pt idx="2">
                  <c:v>5.9353701527614575</c:v>
                </c:pt>
                <c:pt idx="3">
                  <c:v>3.8577740955537143</c:v>
                </c:pt>
                <c:pt idx="4">
                  <c:v>3.1317981381675648</c:v>
                </c:pt>
                <c:pt idx="5">
                  <c:v>3.026270136307311</c:v>
                </c:pt>
              </c:numCache>
            </c:numRef>
          </c:val>
          <c:extLst>
            <c:ext xmlns:c16="http://schemas.microsoft.com/office/drawing/2014/chart" uri="{C3380CC4-5D6E-409C-BE32-E72D297353CC}">
              <c16:uniqueId val="{00000000-408C-EE43-B282-B2A6917EB1BD}"/>
            </c:ext>
          </c:extLst>
        </c:ser>
        <c:dLbls>
          <c:dLblPos val="outEnd"/>
          <c:showLegendKey val="0"/>
          <c:showVal val="1"/>
          <c:showCatName val="0"/>
          <c:showSerName val="0"/>
          <c:showPercent val="0"/>
          <c:showBubbleSize val="0"/>
        </c:dLbls>
        <c:gapWidth val="219"/>
        <c:overlap val="-27"/>
        <c:axId val="1842112064"/>
        <c:axId val="1910559328"/>
      </c:barChart>
      <c:catAx>
        <c:axId val="18421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59328"/>
        <c:crosses val="autoZero"/>
        <c:auto val="1"/>
        <c:lblAlgn val="ctr"/>
        <c:lblOffset val="100"/>
        <c:noMultiLvlLbl val="0"/>
      </c:catAx>
      <c:valAx>
        <c:axId val="1910559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11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Debt</a:t>
            </a:r>
            <a:r>
              <a:rPr lang="en-GB" b="1" baseline="0"/>
              <a:t>-to-Assets Analysis (2019 - 2024)</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'FA Graphs'!$A$46</c:f>
              <c:strCache>
                <c:ptCount val="1"/>
                <c:pt idx="0">
                  <c:v>Assets</c:v>
                </c:pt>
              </c:strCache>
            </c:strRef>
          </c:tx>
          <c:spPr>
            <a:solidFill>
              <a:schemeClr val="accent2">
                <a:shade val="65000"/>
              </a:schemeClr>
            </a:solidFill>
            <a:ln>
              <a:noFill/>
            </a:ln>
            <a:effectLst/>
          </c:spPr>
          <c:invertIfNegative val="0"/>
          <c:cat>
            <c:numRef>
              <c:f>'FA Graphs'!$C$41:$H$41</c:f>
              <c:numCache>
                <c:formatCode>General</c:formatCode>
                <c:ptCount val="6"/>
                <c:pt idx="0">
                  <c:v>2019</c:v>
                </c:pt>
                <c:pt idx="1">
                  <c:v>2020</c:v>
                </c:pt>
                <c:pt idx="2">
                  <c:v>2021</c:v>
                </c:pt>
                <c:pt idx="3">
                  <c:v>2022</c:v>
                </c:pt>
                <c:pt idx="4">
                  <c:v>2023</c:v>
                </c:pt>
                <c:pt idx="5">
                  <c:v>2024</c:v>
                </c:pt>
              </c:numCache>
            </c:numRef>
          </c:cat>
          <c:val>
            <c:numRef>
              <c:f>'FA Graphs'!$C$46:$H$46</c:f>
              <c:numCache>
                <c:formatCode>#,##0.0</c:formatCode>
                <c:ptCount val="6"/>
                <c:pt idx="0">
                  <c:v>19194</c:v>
                </c:pt>
                <c:pt idx="1">
                  <c:v>21172</c:v>
                </c:pt>
                <c:pt idx="2">
                  <c:v>17706</c:v>
                </c:pt>
                <c:pt idx="3">
                  <c:v>17590</c:v>
                </c:pt>
                <c:pt idx="4">
                  <c:v>16866</c:v>
                </c:pt>
                <c:pt idx="5">
                  <c:v>16246</c:v>
                </c:pt>
              </c:numCache>
            </c:numRef>
          </c:val>
          <c:extLst>
            <c:ext xmlns:c16="http://schemas.microsoft.com/office/drawing/2014/chart" uri="{C3380CC4-5D6E-409C-BE32-E72D297353CC}">
              <c16:uniqueId val="{00000000-46D4-CF40-BF1F-5A0DE048FEB2}"/>
            </c:ext>
          </c:extLst>
        </c:ser>
        <c:ser>
          <c:idx val="1"/>
          <c:order val="1"/>
          <c:tx>
            <c:strRef>
              <c:f>'FA Graphs'!$A$47</c:f>
              <c:strCache>
                <c:ptCount val="1"/>
                <c:pt idx="0">
                  <c:v>Liabilities</c:v>
                </c:pt>
              </c:strCache>
            </c:strRef>
          </c:tx>
          <c:spPr>
            <a:solidFill>
              <a:schemeClr val="accent2"/>
            </a:solidFill>
            <a:ln>
              <a:noFill/>
            </a:ln>
            <a:effectLst/>
          </c:spPr>
          <c:invertIfNegative val="0"/>
          <c:cat>
            <c:numRef>
              <c:f>'FA Graphs'!$C$41:$H$41</c:f>
              <c:numCache>
                <c:formatCode>General</c:formatCode>
                <c:ptCount val="6"/>
                <c:pt idx="0">
                  <c:v>2019</c:v>
                </c:pt>
                <c:pt idx="1">
                  <c:v>2020</c:v>
                </c:pt>
                <c:pt idx="2">
                  <c:v>2021</c:v>
                </c:pt>
                <c:pt idx="3">
                  <c:v>2022</c:v>
                </c:pt>
                <c:pt idx="4">
                  <c:v>2023</c:v>
                </c:pt>
                <c:pt idx="5">
                  <c:v>2024</c:v>
                </c:pt>
              </c:numCache>
            </c:numRef>
          </c:cat>
          <c:val>
            <c:numRef>
              <c:f>'FA Graphs'!$C$47:$H$47</c:f>
              <c:numCache>
                <c:formatCode>#,##0.0</c:formatCode>
                <c:ptCount val="6"/>
                <c:pt idx="0">
                  <c:v>12758</c:v>
                </c:pt>
                <c:pt idx="1">
                  <c:v>14795</c:v>
                </c:pt>
                <c:pt idx="2">
                  <c:v>15153</c:v>
                </c:pt>
                <c:pt idx="3">
                  <c:v>13969</c:v>
                </c:pt>
                <c:pt idx="4">
                  <c:v>12784</c:v>
                </c:pt>
                <c:pt idx="5">
                  <c:v>12211</c:v>
                </c:pt>
              </c:numCache>
            </c:numRef>
          </c:val>
          <c:extLst>
            <c:ext xmlns:c16="http://schemas.microsoft.com/office/drawing/2014/chart" uri="{C3380CC4-5D6E-409C-BE32-E72D297353CC}">
              <c16:uniqueId val="{00000001-46D4-CF40-BF1F-5A0DE048FEB2}"/>
            </c:ext>
          </c:extLst>
        </c:ser>
        <c:dLbls>
          <c:showLegendKey val="0"/>
          <c:showVal val="0"/>
          <c:showCatName val="0"/>
          <c:showSerName val="0"/>
          <c:showPercent val="0"/>
          <c:showBubbleSize val="0"/>
        </c:dLbls>
        <c:gapWidth val="150"/>
        <c:axId val="1914768464"/>
        <c:axId val="15195311"/>
      </c:barChart>
      <c:lineChart>
        <c:grouping val="standard"/>
        <c:varyColors val="0"/>
        <c:ser>
          <c:idx val="2"/>
          <c:order val="2"/>
          <c:tx>
            <c:strRef>
              <c:f>'FA Graphs'!$A$49</c:f>
              <c:strCache>
                <c:ptCount val="1"/>
                <c:pt idx="0">
                  <c:v>Debt-to-Assets (%)</c:v>
                </c:pt>
              </c:strCache>
            </c:strRef>
          </c:tx>
          <c:spPr>
            <a:ln w="28575" cap="rnd">
              <a:solidFill>
                <a:srgbClr val="00B0F0"/>
              </a:solidFill>
              <a:round/>
            </a:ln>
            <a:effectLst/>
          </c:spPr>
          <c:marker>
            <c:symbol val="none"/>
          </c:marker>
          <c:val>
            <c:numRef>
              <c:f>'FA Graphs'!$C$49:$H$49</c:f>
              <c:numCache>
                <c:formatCode>0.0%</c:formatCode>
                <c:ptCount val="6"/>
                <c:pt idx="0">
                  <c:v>0.6646868813170782</c:v>
                </c:pt>
                <c:pt idx="1">
                  <c:v>0.69880030228603818</c:v>
                </c:pt>
                <c:pt idx="2">
                  <c:v>0.85581158929176548</c:v>
                </c:pt>
                <c:pt idx="3">
                  <c:v>0.79414440022740196</c:v>
                </c:pt>
                <c:pt idx="4">
                  <c:v>0.75797462350290523</c:v>
                </c:pt>
                <c:pt idx="5">
                  <c:v>0.75163117074972297</c:v>
                </c:pt>
              </c:numCache>
            </c:numRef>
          </c:val>
          <c:smooth val="0"/>
          <c:extLst>
            <c:ext xmlns:c16="http://schemas.microsoft.com/office/drawing/2014/chart" uri="{C3380CC4-5D6E-409C-BE32-E72D297353CC}">
              <c16:uniqueId val="{00000002-46D4-CF40-BF1F-5A0DE048FEB2}"/>
            </c:ext>
          </c:extLst>
        </c:ser>
        <c:dLbls>
          <c:showLegendKey val="0"/>
          <c:showVal val="0"/>
          <c:showCatName val="0"/>
          <c:showSerName val="0"/>
          <c:showPercent val="0"/>
          <c:showBubbleSize val="0"/>
        </c:dLbls>
        <c:marker val="1"/>
        <c:smooth val="0"/>
        <c:axId val="692343360"/>
        <c:axId val="616261440"/>
      </c:lineChart>
      <c:catAx>
        <c:axId val="19147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5311"/>
        <c:crosses val="autoZero"/>
        <c:auto val="1"/>
        <c:lblAlgn val="ctr"/>
        <c:lblOffset val="100"/>
        <c:noMultiLvlLbl val="0"/>
      </c:catAx>
      <c:valAx>
        <c:axId val="1519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US$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768464"/>
        <c:crosses val="autoZero"/>
        <c:crossBetween val="between"/>
      </c:valAx>
      <c:valAx>
        <c:axId val="61626144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43360"/>
        <c:crosses val="max"/>
        <c:crossBetween val="between"/>
      </c:valAx>
      <c:catAx>
        <c:axId val="692343360"/>
        <c:scaling>
          <c:orientation val="minMax"/>
        </c:scaling>
        <c:delete val="1"/>
        <c:axPos val="b"/>
        <c:majorTickMark val="out"/>
        <c:minorTickMark val="none"/>
        <c:tickLblPos val="nextTo"/>
        <c:crossAx val="6162614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Coverage</a:t>
            </a:r>
            <a:r>
              <a:rPr lang="en-GB" b="1" baseline="0"/>
              <a:t> Ratios (2019 - 2024)</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'FA Graphs'!$A$50</c:f>
              <c:strCache>
                <c:ptCount val="1"/>
                <c:pt idx="0">
                  <c:v>Interest Coverage Ratio</c:v>
                </c:pt>
              </c:strCache>
            </c:strRef>
          </c:tx>
          <c:spPr>
            <a:ln w="28575" cap="rnd">
              <a:solidFill>
                <a:schemeClr val="accent2">
                  <a:shade val="76000"/>
                </a:schemeClr>
              </a:solidFill>
              <a:round/>
            </a:ln>
            <a:effectLst/>
          </c:spPr>
          <c:marker>
            <c:symbol val="none"/>
          </c:marker>
          <c:cat>
            <c:numRef>
              <c:f>'FA Graphs'!$C$41:$H$41</c:f>
              <c:numCache>
                <c:formatCode>General</c:formatCode>
                <c:ptCount val="6"/>
                <c:pt idx="0">
                  <c:v>2019</c:v>
                </c:pt>
                <c:pt idx="1">
                  <c:v>2020</c:v>
                </c:pt>
                <c:pt idx="2">
                  <c:v>2021</c:v>
                </c:pt>
                <c:pt idx="3">
                  <c:v>2022</c:v>
                </c:pt>
                <c:pt idx="4">
                  <c:v>2023</c:v>
                </c:pt>
                <c:pt idx="5">
                  <c:v>2024</c:v>
                </c:pt>
              </c:numCache>
            </c:numRef>
          </c:cat>
          <c:val>
            <c:numRef>
              <c:f>'FA Graphs'!$C$50:$H$50</c:f>
              <c:numCache>
                <c:formatCode>0.00</c:formatCode>
                <c:ptCount val="6"/>
                <c:pt idx="0">
                  <c:v>-6.4915254237288131</c:v>
                </c:pt>
                <c:pt idx="1">
                  <c:v>-6.2648648648648653</c:v>
                </c:pt>
                <c:pt idx="2">
                  <c:v>3.2214285714285715</c:v>
                </c:pt>
                <c:pt idx="3">
                  <c:v>-9.1529411764705877</c:v>
                </c:pt>
                <c:pt idx="4">
                  <c:v>-10.123456790123457</c:v>
                </c:pt>
                <c:pt idx="5">
                  <c:v>-9.3555555555555561</c:v>
                </c:pt>
              </c:numCache>
            </c:numRef>
          </c:val>
          <c:smooth val="0"/>
          <c:extLst>
            <c:ext xmlns:c16="http://schemas.microsoft.com/office/drawing/2014/chart" uri="{C3380CC4-5D6E-409C-BE32-E72D297353CC}">
              <c16:uniqueId val="{00000000-D73F-344E-9428-716D75254029}"/>
            </c:ext>
          </c:extLst>
        </c:ser>
        <c:ser>
          <c:idx val="1"/>
          <c:order val="1"/>
          <c:tx>
            <c:strRef>
              <c:f>'FA Graphs'!$A$51</c:f>
              <c:strCache>
                <c:ptCount val="1"/>
                <c:pt idx="0">
                  <c:v>Debt Service Coverage Ratio</c:v>
                </c:pt>
              </c:strCache>
            </c:strRef>
          </c:tx>
          <c:spPr>
            <a:ln w="28575" cap="rnd">
              <a:solidFill>
                <a:schemeClr val="accent2">
                  <a:tint val="77000"/>
                </a:schemeClr>
              </a:solidFill>
              <a:round/>
            </a:ln>
            <a:effectLst/>
          </c:spPr>
          <c:marker>
            <c:symbol val="none"/>
          </c:marker>
          <c:cat>
            <c:numRef>
              <c:f>'FA Graphs'!$C$41:$H$41</c:f>
              <c:numCache>
                <c:formatCode>General</c:formatCode>
                <c:ptCount val="6"/>
                <c:pt idx="0">
                  <c:v>2019</c:v>
                </c:pt>
                <c:pt idx="1">
                  <c:v>2020</c:v>
                </c:pt>
                <c:pt idx="2">
                  <c:v>2021</c:v>
                </c:pt>
                <c:pt idx="3">
                  <c:v>2022</c:v>
                </c:pt>
                <c:pt idx="4">
                  <c:v>2023</c:v>
                </c:pt>
                <c:pt idx="5">
                  <c:v>2024</c:v>
                </c:pt>
              </c:numCache>
            </c:numRef>
          </c:cat>
          <c:val>
            <c:numRef>
              <c:f>'FA Graphs'!$C$51:$H$51</c:f>
              <c:numCache>
                <c:formatCode>0.00</c:formatCode>
                <c:ptCount val="6"/>
                <c:pt idx="0">
                  <c:v>-1.1061371841155234</c:v>
                </c:pt>
                <c:pt idx="1">
                  <c:v>-1.3732227488151658</c:v>
                </c:pt>
                <c:pt idx="2">
                  <c:v>0.38845822566752797</c:v>
                </c:pt>
                <c:pt idx="3">
                  <c:v>-0.78401074907625123</c:v>
                </c:pt>
                <c:pt idx="4">
                  <c:v>-0.47632878303804821</c:v>
                </c:pt>
                <c:pt idx="5">
                  <c:v>-1.1502732240437159</c:v>
                </c:pt>
              </c:numCache>
            </c:numRef>
          </c:val>
          <c:smooth val="0"/>
          <c:extLst>
            <c:ext xmlns:c16="http://schemas.microsoft.com/office/drawing/2014/chart" uri="{C3380CC4-5D6E-409C-BE32-E72D297353CC}">
              <c16:uniqueId val="{00000001-D73F-344E-9428-716D75254029}"/>
            </c:ext>
          </c:extLst>
        </c:ser>
        <c:dLbls>
          <c:showLegendKey val="0"/>
          <c:showVal val="0"/>
          <c:showCatName val="0"/>
          <c:showSerName val="0"/>
          <c:showPercent val="0"/>
          <c:showBubbleSize val="0"/>
        </c:dLbls>
        <c:smooth val="0"/>
        <c:axId val="119451151"/>
        <c:axId val="991547664"/>
      </c:lineChart>
      <c:catAx>
        <c:axId val="11945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47664"/>
        <c:crosses val="autoZero"/>
        <c:auto val="1"/>
        <c:lblAlgn val="ctr"/>
        <c:lblOffset val="100"/>
        <c:noMultiLvlLbl val="0"/>
      </c:catAx>
      <c:valAx>
        <c:axId val="991547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511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Cash</a:t>
            </a:r>
            <a:r>
              <a:rPr lang="en-GB" b="1" baseline="0"/>
              <a:t> Conversion Cycle (2019 - 2024)</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1"/>
          <c:order val="0"/>
          <c:tx>
            <c:strRef>
              <c:f>'FA Graphs'!$A$64</c:f>
              <c:strCache>
                <c:ptCount val="1"/>
                <c:pt idx="0">
                  <c:v>Days Inventory Outstanding (DIO)</c:v>
                </c:pt>
              </c:strCache>
            </c:strRef>
          </c:tx>
          <c:spPr>
            <a:solidFill>
              <a:schemeClr val="accent2">
                <a:shade val="86000"/>
              </a:schemeClr>
            </a:solidFill>
            <a:ln>
              <a:noFill/>
            </a:ln>
            <a:effectLst/>
          </c:spPr>
          <c:invertIfNegative val="0"/>
          <c:cat>
            <c:numRef>
              <c:f>'FA Graphs'!$C$54:$H$54</c:f>
              <c:numCache>
                <c:formatCode>General</c:formatCode>
                <c:ptCount val="6"/>
                <c:pt idx="0">
                  <c:v>2019</c:v>
                </c:pt>
                <c:pt idx="1">
                  <c:v>2020</c:v>
                </c:pt>
                <c:pt idx="2">
                  <c:v>2021</c:v>
                </c:pt>
                <c:pt idx="3">
                  <c:v>2022</c:v>
                </c:pt>
                <c:pt idx="4">
                  <c:v>2023</c:v>
                </c:pt>
                <c:pt idx="5">
                  <c:v>2024</c:v>
                </c:pt>
              </c:numCache>
            </c:numRef>
          </c:cat>
          <c:val>
            <c:numRef>
              <c:f>'FA Graphs'!$C$64:$H$64</c:f>
              <c:numCache>
                <c:formatCode>0.00</c:formatCode>
                <c:ptCount val="6"/>
                <c:pt idx="0">
                  <c:v>126.24835699263933</c:v>
                </c:pt>
                <c:pt idx="1">
                  <c:v>125.72890573500329</c:v>
                </c:pt>
                <c:pt idx="2">
                  <c:v>133.12428780726029</c:v>
                </c:pt>
                <c:pt idx="3">
                  <c:v>99.535470714094686</c:v>
                </c:pt>
                <c:pt idx="4">
                  <c:v>103.13092049389169</c:v>
                </c:pt>
                <c:pt idx="5">
                  <c:v>110.70871124235393</c:v>
                </c:pt>
              </c:numCache>
            </c:numRef>
          </c:val>
          <c:extLst>
            <c:ext xmlns:c16="http://schemas.microsoft.com/office/drawing/2014/chart" uri="{C3380CC4-5D6E-409C-BE32-E72D297353CC}">
              <c16:uniqueId val="{00000001-0F5D-5F49-8DDE-F91C1FA021AF}"/>
            </c:ext>
          </c:extLst>
        </c:ser>
        <c:ser>
          <c:idx val="0"/>
          <c:order val="1"/>
          <c:tx>
            <c:strRef>
              <c:f>'FA Graphs'!$A$63</c:f>
              <c:strCache>
                <c:ptCount val="1"/>
                <c:pt idx="0">
                  <c:v>Days Sales Outstanding (DSO)</c:v>
                </c:pt>
              </c:strCache>
            </c:strRef>
          </c:tx>
          <c:spPr>
            <a:solidFill>
              <a:schemeClr val="accent2">
                <a:shade val="58000"/>
              </a:schemeClr>
            </a:solidFill>
            <a:ln>
              <a:noFill/>
            </a:ln>
            <a:effectLst/>
          </c:spPr>
          <c:invertIfNegative val="0"/>
          <c:cat>
            <c:numRef>
              <c:f>'FA Graphs'!$C$54:$H$54</c:f>
              <c:numCache>
                <c:formatCode>General</c:formatCode>
                <c:ptCount val="6"/>
                <c:pt idx="0">
                  <c:v>2019</c:v>
                </c:pt>
                <c:pt idx="1">
                  <c:v>2020</c:v>
                </c:pt>
                <c:pt idx="2">
                  <c:v>2021</c:v>
                </c:pt>
                <c:pt idx="3">
                  <c:v>2022</c:v>
                </c:pt>
                <c:pt idx="4">
                  <c:v>2023</c:v>
                </c:pt>
                <c:pt idx="5">
                  <c:v>2024</c:v>
                </c:pt>
              </c:numCache>
            </c:numRef>
          </c:cat>
          <c:val>
            <c:numRef>
              <c:f>'FA Graphs'!$C$63:$H$63</c:f>
              <c:numCache>
                <c:formatCode>#,##0.00</c:formatCode>
                <c:ptCount val="6"/>
                <c:pt idx="0">
                  <c:v>5.6723260421927817</c:v>
                </c:pt>
                <c:pt idx="1">
                  <c:v>5.8683771215072138</c:v>
                </c:pt>
                <c:pt idx="2">
                  <c:v>6.9079129137426101</c:v>
                </c:pt>
                <c:pt idx="3">
                  <c:v>4.1171896531359495</c:v>
                </c:pt>
                <c:pt idx="4">
                  <c:v>4.2812094777790879</c:v>
                </c:pt>
                <c:pt idx="5">
                  <c:v>4.5345889549987435</c:v>
                </c:pt>
              </c:numCache>
            </c:numRef>
          </c:val>
          <c:extLst>
            <c:ext xmlns:c16="http://schemas.microsoft.com/office/drawing/2014/chart" uri="{C3380CC4-5D6E-409C-BE32-E72D297353CC}">
              <c16:uniqueId val="{00000000-0F5D-5F49-8DDE-F91C1FA021AF}"/>
            </c:ext>
          </c:extLst>
        </c:ser>
        <c:ser>
          <c:idx val="2"/>
          <c:order val="2"/>
          <c:tx>
            <c:strRef>
              <c:f>'FA Graphs'!$A$65</c:f>
              <c:strCache>
                <c:ptCount val="1"/>
                <c:pt idx="0">
                  <c:v>Days Payables Outstanding (DPO)</c:v>
                </c:pt>
              </c:strCache>
            </c:strRef>
          </c:tx>
          <c:spPr>
            <a:solidFill>
              <a:schemeClr val="accent2">
                <a:tint val="86000"/>
              </a:schemeClr>
            </a:solidFill>
            <a:ln>
              <a:noFill/>
            </a:ln>
            <a:effectLst/>
          </c:spPr>
          <c:invertIfNegative val="0"/>
          <c:cat>
            <c:numRef>
              <c:f>'FA Graphs'!$C$54:$H$54</c:f>
              <c:numCache>
                <c:formatCode>General</c:formatCode>
                <c:ptCount val="6"/>
                <c:pt idx="0">
                  <c:v>2019</c:v>
                </c:pt>
                <c:pt idx="1">
                  <c:v>2020</c:v>
                </c:pt>
                <c:pt idx="2">
                  <c:v>2021</c:v>
                </c:pt>
                <c:pt idx="3">
                  <c:v>2022</c:v>
                </c:pt>
                <c:pt idx="4">
                  <c:v>2023</c:v>
                </c:pt>
                <c:pt idx="5">
                  <c:v>2024</c:v>
                </c:pt>
              </c:numCache>
            </c:numRef>
          </c:cat>
          <c:val>
            <c:numRef>
              <c:f>'FA Graphs'!$C$65:$H$65</c:f>
              <c:numCache>
                <c:formatCode>#,##0.00</c:formatCode>
                <c:ptCount val="6"/>
                <c:pt idx="0">
                  <c:v>63.280099894847524</c:v>
                </c:pt>
                <c:pt idx="1">
                  <c:v>63.724620962425846</c:v>
                </c:pt>
                <c:pt idx="2">
                  <c:v>81.921496011720663</c:v>
                </c:pt>
                <c:pt idx="3">
                  <c:v>74.874297940625823</c:v>
                </c:pt>
                <c:pt idx="4">
                  <c:v>73.371986672764095</c:v>
                </c:pt>
                <c:pt idx="5">
                  <c:v>71.008577655909448</c:v>
                </c:pt>
              </c:numCache>
            </c:numRef>
          </c:val>
          <c:extLst>
            <c:ext xmlns:c16="http://schemas.microsoft.com/office/drawing/2014/chart" uri="{C3380CC4-5D6E-409C-BE32-E72D297353CC}">
              <c16:uniqueId val="{00000002-0F5D-5F49-8DDE-F91C1FA021AF}"/>
            </c:ext>
          </c:extLst>
        </c:ser>
        <c:dLbls>
          <c:showLegendKey val="0"/>
          <c:showVal val="0"/>
          <c:showCatName val="0"/>
          <c:showSerName val="0"/>
          <c:showPercent val="0"/>
          <c:showBubbleSize val="0"/>
        </c:dLbls>
        <c:gapWidth val="150"/>
        <c:axId val="784905568"/>
        <c:axId val="784907280"/>
      </c:barChart>
      <c:lineChart>
        <c:grouping val="standard"/>
        <c:varyColors val="0"/>
        <c:ser>
          <c:idx val="3"/>
          <c:order val="3"/>
          <c:tx>
            <c:strRef>
              <c:f>'FA Graphs'!$A$67</c:f>
              <c:strCache>
                <c:ptCount val="1"/>
                <c:pt idx="0">
                  <c:v>Cash Conversion Cycle (CCC)</c:v>
                </c:pt>
              </c:strCache>
            </c:strRef>
          </c:tx>
          <c:spPr>
            <a:ln w="28575" cap="rnd">
              <a:solidFill>
                <a:srgbClr val="00B0F0"/>
              </a:solidFill>
              <a:round/>
            </a:ln>
            <a:effectLst/>
          </c:spPr>
          <c:marker>
            <c:symbol val="none"/>
          </c:marker>
          <c:val>
            <c:numRef>
              <c:f>'FA Graphs'!$C$67:$H$67</c:f>
              <c:numCache>
                <c:formatCode>#,##0.00</c:formatCode>
                <c:ptCount val="6"/>
                <c:pt idx="0">
                  <c:v>68.640583139984585</c:v>
                </c:pt>
                <c:pt idx="1">
                  <c:v>67.872661894084658</c:v>
                </c:pt>
                <c:pt idx="2">
                  <c:v>58.110704709282246</c:v>
                </c:pt>
                <c:pt idx="3">
                  <c:v>28.778362426604815</c:v>
                </c:pt>
                <c:pt idx="4">
                  <c:v>34.040143298906685</c:v>
                </c:pt>
                <c:pt idx="5">
                  <c:v>44.234722541443219</c:v>
                </c:pt>
              </c:numCache>
            </c:numRef>
          </c:val>
          <c:smooth val="0"/>
          <c:extLst>
            <c:ext xmlns:c16="http://schemas.microsoft.com/office/drawing/2014/chart" uri="{C3380CC4-5D6E-409C-BE32-E72D297353CC}">
              <c16:uniqueId val="{00000003-0F5D-5F49-8DDE-F91C1FA021AF}"/>
            </c:ext>
          </c:extLst>
        </c:ser>
        <c:dLbls>
          <c:showLegendKey val="0"/>
          <c:showVal val="0"/>
          <c:showCatName val="0"/>
          <c:showSerName val="0"/>
          <c:showPercent val="0"/>
          <c:showBubbleSize val="0"/>
        </c:dLbls>
        <c:marker val="1"/>
        <c:smooth val="0"/>
        <c:axId val="784905568"/>
        <c:axId val="784907280"/>
      </c:lineChart>
      <c:catAx>
        <c:axId val="7849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07280"/>
        <c:crosses val="autoZero"/>
        <c:auto val="1"/>
        <c:lblAlgn val="ctr"/>
        <c:lblOffset val="100"/>
        <c:noMultiLvlLbl val="0"/>
      </c:catAx>
      <c:valAx>
        <c:axId val="784907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05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Cash Flow Analysis</a:t>
            </a:r>
            <a:r>
              <a:rPr lang="en-GB" b="1" baseline="0"/>
              <a:t> (2019 -2024)</a:t>
            </a:r>
            <a:endParaRPr lang="en-GB" b="1"/>
          </a:p>
        </c:rich>
      </c:tx>
      <c:layout>
        <c:manualLayout>
          <c:xMode val="edge"/>
          <c:yMode val="edge"/>
          <c:x val="0.27078740157480313"/>
          <c:y val="2.13054777725430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'FA Graphs'!$A$73</c:f>
              <c:strCache>
                <c:ptCount val="1"/>
                <c:pt idx="0">
                  <c:v>Operating</c:v>
                </c:pt>
              </c:strCache>
            </c:strRef>
          </c:tx>
          <c:spPr>
            <a:solidFill>
              <a:schemeClr val="accent2">
                <a:shade val="58000"/>
              </a:schemeClr>
            </a:solidFill>
            <a:ln>
              <a:noFill/>
            </a:ln>
            <a:effectLst/>
          </c:spPr>
          <c:invertIfNegative val="0"/>
          <c:cat>
            <c:numRef>
              <c:f>'FA Graphs'!$C$70:$H$70</c:f>
              <c:numCache>
                <c:formatCode>General</c:formatCode>
                <c:ptCount val="6"/>
                <c:pt idx="0">
                  <c:v>2019</c:v>
                </c:pt>
                <c:pt idx="1">
                  <c:v>2020</c:v>
                </c:pt>
                <c:pt idx="2">
                  <c:v>2021</c:v>
                </c:pt>
                <c:pt idx="3">
                  <c:v>2022</c:v>
                </c:pt>
                <c:pt idx="4">
                  <c:v>2023</c:v>
                </c:pt>
                <c:pt idx="5">
                  <c:v>2024</c:v>
                </c:pt>
              </c:numCache>
            </c:numRef>
          </c:cat>
          <c:val>
            <c:numRef>
              <c:f>'FA Graphs'!$C$73:$H$73</c:f>
              <c:numCache>
                <c:formatCode>#,##0.0</c:formatCode>
                <c:ptCount val="6"/>
                <c:pt idx="0">
                  <c:v>1735</c:v>
                </c:pt>
                <c:pt idx="1">
                  <c:v>1608</c:v>
                </c:pt>
                <c:pt idx="2">
                  <c:v>649</c:v>
                </c:pt>
                <c:pt idx="3">
                  <c:v>2712</c:v>
                </c:pt>
                <c:pt idx="4">
                  <c:v>1615</c:v>
                </c:pt>
                <c:pt idx="5">
                  <c:v>1305</c:v>
                </c:pt>
              </c:numCache>
            </c:numRef>
          </c:val>
          <c:extLst>
            <c:ext xmlns:c16="http://schemas.microsoft.com/office/drawing/2014/chart" uri="{C3380CC4-5D6E-409C-BE32-E72D297353CC}">
              <c16:uniqueId val="{00000000-D50E-194C-9417-284CEEB9FD17}"/>
            </c:ext>
          </c:extLst>
        </c:ser>
        <c:ser>
          <c:idx val="1"/>
          <c:order val="1"/>
          <c:tx>
            <c:strRef>
              <c:f>'FA Graphs'!$A$74</c:f>
              <c:strCache>
                <c:ptCount val="1"/>
                <c:pt idx="0">
                  <c:v>Investing</c:v>
                </c:pt>
              </c:strCache>
            </c:strRef>
          </c:tx>
          <c:spPr>
            <a:solidFill>
              <a:schemeClr val="accent2">
                <a:shade val="86000"/>
              </a:schemeClr>
            </a:solidFill>
            <a:ln>
              <a:noFill/>
            </a:ln>
            <a:effectLst/>
          </c:spPr>
          <c:invertIfNegative val="0"/>
          <c:cat>
            <c:numRef>
              <c:f>'FA Graphs'!$C$70:$H$70</c:f>
              <c:numCache>
                <c:formatCode>General</c:formatCode>
                <c:ptCount val="6"/>
                <c:pt idx="0">
                  <c:v>2019</c:v>
                </c:pt>
                <c:pt idx="1">
                  <c:v>2020</c:v>
                </c:pt>
                <c:pt idx="2">
                  <c:v>2021</c:v>
                </c:pt>
                <c:pt idx="3">
                  <c:v>2022</c:v>
                </c:pt>
                <c:pt idx="4">
                  <c:v>2023</c:v>
                </c:pt>
                <c:pt idx="5">
                  <c:v>2024</c:v>
                </c:pt>
              </c:numCache>
            </c:numRef>
          </c:cat>
          <c:val>
            <c:numRef>
              <c:f>'FA Graphs'!$C$74:$H$74</c:f>
              <c:numCache>
                <c:formatCode>#,##0.0</c:formatCode>
                <c:ptCount val="6"/>
                <c:pt idx="0">
                  <c:v>-456</c:v>
                </c:pt>
                <c:pt idx="1">
                  <c:v>-1002</c:v>
                </c:pt>
                <c:pt idx="2">
                  <c:v>-325</c:v>
                </c:pt>
                <c:pt idx="3">
                  <c:v>-370</c:v>
                </c:pt>
                <c:pt idx="4">
                  <c:v>-1169</c:v>
                </c:pt>
                <c:pt idx="5">
                  <c:v>-913</c:v>
                </c:pt>
              </c:numCache>
            </c:numRef>
          </c:val>
          <c:extLst>
            <c:ext xmlns:c16="http://schemas.microsoft.com/office/drawing/2014/chart" uri="{C3380CC4-5D6E-409C-BE32-E72D297353CC}">
              <c16:uniqueId val="{00000001-D50E-194C-9417-284CEEB9FD17}"/>
            </c:ext>
          </c:extLst>
        </c:ser>
        <c:ser>
          <c:idx val="2"/>
          <c:order val="2"/>
          <c:tx>
            <c:strRef>
              <c:f>'FA Graphs'!$A$75</c:f>
              <c:strCache>
                <c:ptCount val="1"/>
                <c:pt idx="0">
                  <c:v>Financing
</c:v>
                </c:pt>
              </c:strCache>
            </c:strRef>
          </c:tx>
          <c:spPr>
            <a:solidFill>
              <a:schemeClr val="accent2">
                <a:tint val="86000"/>
              </a:schemeClr>
            </a:solidFill>
            <a:ln>
              <a:noFill/>
            </a:ln>
            <a:effectLst/>
          </c:spPr>
          <c:invertIfNegative val="0"/>
          <c:cat>
            <c:numRef>
              <c:f>'FA Graphs'!$C$70:$H$70</c:f>
              <c:numCache>
                <c:formatCode>General</c:formatCode>
                <c:ptCount val="6"/>
                <c:pt idx="0">
                  <c:v>2019</c:v>
                </c:pt>
                <c:pt idx="1">
                  <c:v>2020</c:v>
                </c:pt>
                <c:pt idx="2">
                  <c:v>2021</c:v>
                </c:pt>
                <c:pt idx="3">
                  <c:v>2022</c:v>
                </c:pt>
                <c:pt idx="4">
                  <c:v>2023</c:v>
                </c:pt>
                <c:pt idx="5">
                  <c:v>2024</c:v>
                </c:pt>
              </c:numCache>
            </c:numRef>
          </c:cat>
          <c:val>
            <c:numRef>
              <c:f>'FA Graphs'!$C$75:$H$75</c:f>
              <c:numCache>
                <c:formatCode>#,##0.0</c:formatCode>
                <c:ptCount val="6"/>
                <c:pt idx="0">
                  <c:v>-1544</c:v>
                </c:pt>
                <c:pt idx="1">
                  <c:v>-1123</c:v>
                </c:pt>
                <c:pt idx="2">
                  <c:v>699</c:v>
                </c:pt>
                <c:pt idx="3">
                  <c:v>-2381</c:v>
                </c:pt>
                <c:pt idx="4">
                  <c:v>-1296</c:v>
                </c:pt>
                <c:pt idx="5">
                  <c:v>-220</c:v>
                </c:pt>
              </c:numCache>
            </c:numRef>
          </c:val>
          <c:extLst>
            <c:ext xmlns:c16="http://schemas.microsoft.com/office/drawing/2014/chart" uri="{C3380CC4-5D6E-409C-BE32-E72D297353CC}">
              <c16:uniqueId val="{00000002-D50E-194C-9417-284CEEB9FD17}"/>
            </c:ext>
          </c:extLst>
        </c:ser>
        <c:dLbls>
          <c:showLegendKey val="0"/>
          <c:showVal val="0"/>
          <c:showCatName val="0"/>
          <c:showSerName val="0"/>
          <c:showPercent val="0"/>
          <c:showBubbleSize val="0"/>
        </c:dLbls>
        <c:gapWidth val="150"/>
        <c:axId val="54818607"/>
        <c:axId val="16141647"/>
      </c:barChart>
      <c:lineChart>
        <c:grouping val="standard"/>
        <c:varyColors val="0"/>
        <c:ser>
          <c:idx val="3"/>
          <c:order val="3"/>
          <c:tx>
            <c:strRef>
              <c:f>'FA Graphs'!$A$77</c:f>
              <c:strCache>
                <c:ptCount val="1"/>
                <c:pt idx="0">
                  <c:v>Free Cash Flow (FCF)</c:v>
                </c:pt>
              </c:strCache>
            </c:strRef>
          </c:tx>
          <c:spPr>
            <a:ln w="28575" cap="rnd">
              <a:solidFill>
                <a:srgbClr val="00B0F0"/>
              </a:solidFill>
              <a:round/>
            </a:ln>
            <a:effectLst/>
          </c:spPr>
          <c:marker>
            <c:symbol val="none"/>
          </c:marker>
          <c:val>
            <c:numRef>
              <c:f>'FA Graphs'!$C$77:$H$77</c:f>
              <c:numCache>
                <c:formatCode>#,##0.0</c:formatCode>
                <c:ptCount val="6"/>
                <c:pt idx="0">
                  <c:v>1078</c:v>
                </c:pt>
                <c:pt idx="1">
                  <c:v>706</c:v>
                </c:pt>
                <c:pt idx="2">
                  <c:v>311</c:v>
                </c:pt>
                <c:pt idx="3">
                  <c:v>2358</c:v>
                </c:pt>
                <c:pt idx="4">
                  <c:v>727</c:v>
                </c:pt>
                <c:pt idx="5">
                  <c:v>674</c:v>
                </c:pt>
              </c:numCache>
            </c:numRef>
          </c:val>
          <c:smooth val="0"/>
          <c:extLst>
            <c:ext xmlns:c16="http://schemas.microsoft.com/office/drawing/2014/chart" uri="{C3380CC4-5D6E-409C-BE32-E72D297353CC}">
              <c16:uniqueId val="{00000003-D50E-194C-9417-284CEEB9FD17}"/>
            </c:ext>
          </c:extLst>
        </c:ser>
        <c:dLbls>
          <c:showLegendKey val="0"/>
          <c:showVal val="0"/>
          <c:showCatName val="0"/>
          <c:showSerName val="0"/>
          <c:showPercent val="0"/>
          <c:showBubbleSize val="0"/>
        </c:dLbls>
        <c:marker val="1"/>
        <c:smooth val="0"/>
        <c:axId val="54818607"/>
        <c:axId val="16141647"/>
      </c:lineChart>
      <c:catAx>
        <c:axId val="5481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1647"/>
        <c:crosses val="autoZero"/>
        <c:auto val="1"/>
        <c:lblAlgn val="ctr"/>
        <c:lblOffset val="100"/>
        <c:noMultiLvlLbl val="0"/>
      </c:catAx>
      <c:valAx>
        <c:axId val="16141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US$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8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Number</a:t>
            </a:r>
            <a:r>
              <a:rPr lang="en-GB" b="1" baseline="0"/>
              <a:t> of Stores Projected Growth (2025 - 2029)</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v>Macy's</c:v>
          </c:tx>
          <c:spPr>
            <a:solidFill>
              <a:schemeClr val="accent2">
                <a:shade val="65000"/>
              </a:schemeClr>
            </a:solidFill>
            <a:ln>
              <a:noFill/>
            </a:ln>
            <a:effectLst/>
          </c:spPr>
          <c:invertIfNegative val="0"/>
          <c:cat>
            <c:numRef>
              <c:f>'Revenue per store'!$C$9:$H$9</c:f>
              <c:numCache>
                <c:formatCode>General</c:formatCode>
                <c:ptCount val="6"/>
                <c:pt idx="0">
                  <c:v>2024</c:v>
                </c:pt>
                <c:pt idx="1">
                  <c:v>2025</c:v>
                </c:pt>
                <c:pt idx="2">
                  <c:v>2026</c:v>
                </c:pt>
                <c:pt idx="3">
                  <c:v>2027</c:v>
                </c:pt>
                <c:pt idx="4">
                  <c:v>2028</c:v>
                </c:pt>
                <c:pt idx="5">
                  <c:v>2029</c:v>
                </c:pt>
              </c:numCache>
            </c:numRef>
          </c:cat>
          <c:val>
            <c:numRef>
              <c:f>'Revenue per store'!$C$10:$H$10</c:f>
              <c:numCache>
                <c:formatCode>General</c:formatCode>
                <c:ptCount val="6"/>
                <c:pt idx="0">
                  <c:v>450</c:v>
                </c:pt>
                <c:pt idx="1">
                  <c:v>400</c:v>
                </c:pt>
                <c:pt idx="2">
                  <c:v>350</c:v>
                </c:pt>
                <c:pt idx="3">
                  <c:v>350</c:v>
                </c:pt>
                <c:pt idx="4">
                  <c:v>350</c:v>
                </c:pt>
                <c:pt idx="5">
                  <c:v>350</c:v>
                </c:pt>
              </c:numCache>
            </c:numRef>
          </c:val>
          <c:extLst>
            <c:ext xmlns:c16="http://schemas.microsoft.com/office/drawing/2014/chart" uri="{C3380CC4-5D6E-409C-BE32-E72D297353CC}">
              <c16:uniqueId val="{00000000-84C9-FF43-8814-028573171235}"/>
            </c:ext>
          </c:extLst>
        </c:ser>
        <c:ser>
          <c:idx val="1"/>
          <c:order val="1"/>
          <c:tx>
            <c:v>Bloomingdale's</c:v>
          </c:tx>
          <c:spPr>
            <a:solidFill>
              <a:schemeClr val="accent2"/>
            </a:solidFill>
            <a:ln>
              <a:noFill/>
            </a:ln>
            <a:effectLst/>
          </c:spPr>
          <c:invertIfNegative val="0"/>
          <c:cat>
            <c:numRef>
              <c:f>'Revenue per store'!$C$9:$H$9</c:f>
              <c:numCache>
                <c:formatCode>General</c:formatCode>
                <c:ptCount val="6"/>
                <c:pt idx="0">
                  <c:v>2024</c:v>
                </c:pt>
                <c:pt idx="1">
                  <c:v>2025</c:v>
                </c:pt>
                <c:pt idx="2">
                  <c:v>2026</c:v>
                </c:pt>
                <c:pt idx="3">
                  <c:v>2027</c:v>
                </c:pt>
                <c:pt idx="4">
                  <c:v>2028</c:v>
                </c:pt>
                <c:pt idx="5">
                  <c:v>2029</c:v>
                </c:pt>
              </c:numCache>
            </c:numRef>
          </c:cat>
          <c:val>
            <c:numRef>
              <c:f>'Revenue per store'!$C$11:$H$11</c:f>
              <c:numCache>
                <c:formatCode>#,##0_);[Red]\(#,##0\)</c:formatCode>
                <c:ptCount val="6"/>
                <c:pt idx="0">
                  <c:v>59</c:v>
                </c:pt>
                <c:pt idx="1">
                  <c:v>67</c:v>
                </c:pt>
                <c:pt idx="2">
                  <c:v>74</c:v>
                </c:pt>
                <c:pt idx="3">
                  <c:v>74</c:v>
                </c:pt>
                <c:pt idx="4">
                  <c:v>74</c:v>
                </c:pt>
                <c:pt idx="5">
                  <c:v>74</c:v>
                </c:pt>
              </c:numCache>
            </c:numRef>
          </c:val>
          <c:extLst>
            <c:ext xmlns:c16="http://schemas.microsoft.com/office/drawing/2014/chart" uri="{C3380CC4-5D6E-409C-BE32-E72D297353CC}">
              <c16:uniqueId val="{00000001-84C9-FF43-8814-028573171235}"/>
            </c:ext>
          </c:extLst>
        </c:ser>
        <c:ser>
          <c:idx val="2"/>
          <c:order val="2"/>
          <c:tx>
            <c:v>Bluemercury</c:v>
          </c:tx>
          <c:spPr>
            <a:solidFill>
              <a:schemeClr val="accent2">
                <a:tint val="65000"/>
              </a:schemeClr>
            </a:solidFill>
            <a:ln>
              <a:noFill/>
            </a:ln>
            <a:effectLst/>
          </c:spPr>
          <c:invertIfNegative val="0"/>
          <c:cat>
            <c:numRef>
              <c:f>'Revenue per store'!$C$9:$H$9</c:f>
              <c:numCache>
                <c:formatCode>General</c:formatCode>
                <c:ptCount val="6"/>
                <c:pt idx="0">
                  <c:v>2024</c:v>
                </c:pt>
                <c:pt idx="1">
                  <c:v>2025</c:v>
                </c:pt>
                <c:pt idx="2">
                  <c:v>2026</c:v>
                </c:pt>
                <c:pt idx="3">
                  <c:v>2027</c:v>
                </c:pt>
                <c:pt idx="4">
                  <c:v>2028</c:v>
                </c:pt>
                <c:pt idx="5">
                  <c:v>2029</c:v>
                </c:pt>
              </c:numCache>
            </c:numRef>
          </c:cat>
          <c:val>
            <c:numRef>
              <c:f>'Revenue per store'!$C$12:$H$12</c:f>
              <c:numCache>
                <c:formatCode>#,##0_);[Red]\(#,##0\)</c:formatCode>
                <c:ptCount val="6"/>
                <c:pt idx="0">
                  <c:v>171</c:v>
                </c:pt>
                <c:pt idx="1">
                  <c:v>187</c:v>
                </c:pt>
                <c:pt idx="2">
                  <c:v>205</c:v>
                </c:pt>
                <c:pt idx="3">
                  <c:v>205</c:v>
                </c:pt>
                <c:pt idx="4">
                  <c:v>205</c:v>
                </c:pt>
                <c:pt idx="5">
                  <c:v>205</c:v>
                </c:pt>
              </c:numCache>
            </c:numRef>
          </c:val>
          <c:extLst>
            <c:ext xmlns:c16="http://schemas.microsoft.com/office/drawing/2014/chart" uri="{C3380CC4-5D6E-409C-BE32-E72D297353CC}">
              <c16:uniqueId val="{00000002-84C9-FF43-8814-028573171235}"/>
            </c:ext>
          </c:extLst>
        </c:ser>
        <c:dLbls>
          <c:showLegendKey val="0"/>
          <c:showVal val="0"/>
          <c:showCatName val="0"/>
          <c:showSerName val="0"/>
          <c:showPercent val="0"/>
          <c:showBubbleSize val="0"/>
        </c:dLbls>
        <c:gapWidth val="219"/>
        <c:overlap val="-27"/>
        <c:axId val="1111281551"/>
        <c:axId val="656827551"/>
      </c:barChart>
      <c:catAx>
        <c:axId val="1111281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Fiscal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27551"/>
        <c:crosses val="autoZero"/>
        <c:auto val="1"/>
        <c:lblAlgn val="ctr"/>
        <c:lblOffset val="100"/>
        <c:noMultiLvlLbl val="0"/>
      </c:catAx>
      <c:valAx>
        <c:axId val="656827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a:t>
                </a:r>
                <a:r>
                  <a:rPr lang="en-GB" baseline="0"/>
                  <a:t> of stores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281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ustomXml" Target="../ink/ink1.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255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12700</xdr:colOff>
      <xdr:row>68</xdr:row>
      <xdr:rowOff>0</xdr:rowOff>
    </xdr:from>
    <xdr:to>
      <xdr:col>3</xdr:col>
      <xdr:colOff>660400</xdr:colOff>
      <xdr:row>68</xdr:row>
      <xdr:rowOff>1905000</xdr:rowOff>
    </xdr:to>
    <xdr:pic>
      <xdr:nvPicPr>
        <xdr:cNvPr id="3" name="Picture 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9499600"/>
          <a:ext cx="3124200"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289E6E4E-3C33-C24D-9B40-940E5A726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608052</xdr:colOff>
      <xdr:row>88</xdr:row>
      <xdr:rowOff>165763</xdr:rowOff>
    </xdr:from>
    <xdr:to>
      <xdr:col>21</xdr:col>
      <xdr:colOff>127980</xdr:colOff>
      <xdr:row>115</xdr:row>
      <xdr:rowOff>28884</xdr:rowOff>
    </xdr:to>
    <xdr:graphicFrame macro="">
      <xdr:nvGraphicFramePr>
        <xdr:cNvPr id="3" name="Chart 2">
          <a:extLst>
            <a:ext uri="{FF2B5EF4-FFF2-40B4-BE49-F238E27FC236}">
              <a16:creationId xmlns:a16="http://schemas.microsoft.com/office/drawing/2014/main" id="{D4D10BDC-3827-6583-07AE-27AD6DED8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653677</xdr:colOff>
      <xdr:row>115</xdr:row>
      <xdr:rowOff>121161</xdr:rowOff>
    </xdr:from>
    <xdr:to>
      <xdr:col>17</xdr:col>
      <xdr:colOff>146527</xdr:colOff>
      <xdr:row>145</xdr:row>
      <xdr:rowOff>120766</xdr:rowOff>
    </xdr:to>
    <xdr:graphicFrame macro="">
      <xdr:nvGraphicFramePr>
        <xdr:cNvPr id="4" name="Chart 3">
          <a:extLst>
            <a:ext uri="{FF2B5EF4-FFF2-40B4-BE49-F238E27FC236}">
              <a16:creationId xmlns:a16="http://schemas.microsoft.com/office/drawing/2014/main" id="{CB01F54C-A864-9BAB-EC97-B137FCBE3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257149</xdr:colOff>
      <xdr:row>3</xdr:row>
      <xdr:rowOff>127537</xdr:rowOff>
    </xdr:from>
    <xdr:to>
      <xdr:col>17</xdr:col>
      <xdr:colOff>574260</xdr:colOff>
      <xdr:row>26</xdr:row>
      <xdr:rowOff>121479</xdr:rowOff>
    </xdr:to>
    <xdr:graphicFrame macro="">
      <xdr:nvGraphicFramePr>
        <xdr:cNvPr id="5" name="Chart 4">
          <a:extLst>
            <a:ext uri="{FF2B5EF4-FFF2-40B4-BE49-F238E27FC236}">
              <a16:creationId xmlns:a16="http://schemas.microsoft.com/office/drawing/2014/main" id="{88C75AAE-A73A-61B3-C577-3F6D8605B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237434</xdr:colOff>
      <xdr:row>4</xdr:row>
      <xdr:rowOff>130313</xdr:rowOff>
    </xdr:from>
    <xdr:to>
      <xdr:col>17</xdr:col>
      <xdr:colOff>242955</xdr:colOff>
      <xdr:row>26</xdr:row>
      <xdr:rowOff>55218</xdr:rowOff>
    </xdr:to>
    <xdr:graphicFrame macro="">
      <xdr:nvGraphicFramePr>
        <xdr:cNvPr id="6" name="Chart 5">
          <a:extLst>
            <a:ext uri="{FF2B5EF4-FFF2-40B4-BE49-F238E27FC236}">
              <a16:creationId xmlns:a16="http://schemas.microsoft.com/office/drawing/2014/main" id="{209B7200-087D-7C73-6F19-F832DEDB3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243840</xdr:colOff>
      <xdr:row>27</xdr:row>
      <xdr:rowOff>40640</xdr:rowOff>
    </xdr:from>
    <xdr:to>
      <xdr:col>17</xdr:col>
      <xdr:colOff>447040</xdr:colOff>
      <xdr:row>41</xdr:row>
      <xdr:rowOff>142240</xdr:rowOff>
    </xdr:to>
    <xdr:graphicFrame macro="">
      <xdr:nvGraphicFramePr>
        <xdr:cNvPr id="7" name="Chart 6">
          <a:extLst>
            <a:ext uri="{FF2B5EF4-FFF2-40B4-BE49-F238E27FC236}">
              <a16:creationId xmlns:a16="http://schemas.microsoft.com/office/drawing/2014/main" id="{FAF5C8C8-EF36-9FC4-C477-B51D84CC6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30480</xdr:colOff>
      <xdr:row>27</xdr:row>
      <xdr:rowOff>55880</xdr:rowOff>
    </xdr:from>
    <xdr:to>
      <xdr:col>25</xdr:col>
      <xdr:colOff>40640</xdr:colOff>
      <xdr:row>41</xdr:row>
      <xdr:rowOff>111760</xdr:rowOff>
    </xdr:to>
    <xdr:graphicFrame macro="">
      <xdr:nvGraphicFramePr>
        <xdr:cNvPr id="9" name="Chart 8">
          <a:extLst>
            <a:ext uri="{FF2B5EF4-FFF2-40B4-BE49-F238E27FC236}">
              <a16:creationId xmlns:a16="http://schemas.microsoft.com/office/drawing/2014/main" id="{A33CF039-C25A-452B-C652-DDABB2921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356721</xdr:colOff>
      <xdr:row>25</xdr:row>
      <xdr:rowOff>48185</xdr:rowOff>
    </xdr:from>
    <xdr:to>
      <xdr:col>32</xdr:col>
      <xdr:colOff>625662</xdr:colOff>
      <xdr:row>41</xdr:row>
      <xdr:rowOff>130735</xdr:rowOff>
    </xdr:to>
    <xdr:graphicFrame macro="">
      <xdr:nvGraphicFramePr>
        <xdr:cNvPr id="11" name="Chart 10">
          <a:extLst>
            <a:ext uri="{FF2B5EF4-FFF2-40B4-BE49-F238E27FC236}">
              <a16:creationId xmlns:a16="http://schemas.microsoft.com/office/drawing/2014/main" id="{C22C6458-372D-2662-ECF1-818955D9D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71903</xdr:colOff>
      <xdr:row>43</xdr:row>
      <xdr:rowOff>108508</xdr:rowOff>
    </xdr:from>
    <xdr:to>
      <xdr:col>35</xdr:col>
      <xdr:colOff>560293</xdr:colOff>
      <xdr:row>67</xdr:row>
      <xdr:rowOff>74704</xdr:rowOff>
    </xdr:to>
    <xdr:graphicFrame macro="">
      <xdr:nvGraphicFramePr>
        <xdr:cNvPr id="12" name="Chart 11">
          <a:extLst>
            <a:ext uri="{FF2B5EF4-FFF2-40B4-BE49-F238E27FC236}">
              <a16:creationId xmlns:a16="http://schemas.microsoft.com/office/drawing/2014/main" id="{D85E62F3-27D7-B2E4-1DA4-E77176824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298822</xdr:colOff>
      <xdr:row>50</xdr:row>
      <xdr:rowOff>15127</xdr:rowOff>
    </xdr:from>
    <xdr:to>
      <xdr:col>17</xdr:col>
      <xdr:colOff>84043</xdr:colOff>
      <xdr:row>68</xdr:row>
      <xdr:rowOff>270808</xdr:rowOff>
    </xdr:to>
    <xdr:graphicFrame macro="">
      <xdr:nvGraphicFramePr>
        <xdr:cNvPr id="14" name="Chart 13">
          <a:extLst>
            <a:ext uri="{FF2B5EF4-FFF2-40B4-BE49-F238E27FC236}">
              <a16:creationId xmlns:a16="http://schemas.microsoft.com/office/drawing/2014/main" id="{5E0DD1E9-7510-A3A2-1076-CB0825260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46691</xdr:colOff>
      <xdr:row>68</xdr:row>
      <xdr:rowOff>410880</xdr:rowOff>
    </xdr:from>
    <xdr:to>
      <xdr:col>17</xdr:col>
      <xdr:colOff>420220</xdr:colOff>
      <xdr:row>85</xdr:row>
      <xdr:rowOff>102719</xdr:rowOff>
    </xdr:to>
    <xdr:graphicFrame macro="">
      <xdr:nvGraphicFramePr>
        <xdr:cNvPr id="15" name="Chart 14">
          <a:extLst>
            <a:ext uri="{FF2B5EF4-FFF2-40B4-BE49-F238E27FC236}">
              <a16:creationId xmlns:a16="http://schemas.microsoft.com/office/drawing/2014/main" id="{8A978F75-1852-061D-E220-8A232555B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215131</xdr:colOff>
      <xdr:row>175</xdr:row>
      <xdr:rowOff>69845</xdr:rowOff>
    </xdr:from>
    <xdr:to>
      <xdr:col>31</xdr:col>
      <xdr:colOff>215491</xdr:colOff>
      <xdr:row>175</xdr:row>
      <xdr:rowOff>70205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F9045280-07AE-40AA-2118-891A92B4EF53}"/>
                </a:ext>
              </a:extLst>
            </xdr14:cNvPr>
            <xdr14:cNvContentPartPr/>
          </xdr14:nvContentPartPr>
          <xdr14:nvPr macro=""/>
          <xdr14:xfrm>
            <a:off x="34146810" y="24068310"/>
            <a:ext cx="360" cy="360"/>
          </xdr14:xfrm>
        </xdr:contentPart>
      </mc:Choice>
      <mc:Fallback xmlns="">
        <xdr:pic>
          <xdr:nvPicPr>
            <xdr:cNvPr id="3" name="Ink 2">
              <a:extLst>
                <a:ext uri="{FF2B5EF4-FFF2-40B4-BE49-F238E27FC236}">
                  <a16:creationId xmlns:a16="http://schemas.microsoft.com/office/drawing/2014/main" id="{F9045280-07AE-40AA-2118-891A92B4EF53}"/>
                </a:ext>
              </a:extLst>
            </xdr:cNvPr>
            <xdr:cNvPicPr/>
          </xdr:nvPicPr>
          <xdr:blipFill>
            <a:blip xmlns:r="http://schemas.openxmlformats.org/officeDocument/2006/relationships" r:embed="rId3"/>
            <a:stretch>
              <a:fillRect/>
            </a:stretch>
          </xdr:blipFill>
          <xdr:spPr>
            <a:xfrm>
              <a:off x="34140690" y="24062190"/>
              <a:ext cx="12600" cy="126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255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255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255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51CD9845-FF53-3544-A56B-1D5ABE93FC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763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38</xdr:row>
      <xdr:rowOff>0</xdr:rowOff>
    </xdr:from>
    <xdr:to>
      <xdr:col>4</xdr:col>
      <xdr:colOff>165100</xdr:colOff>
      <xdr:row>40</xdr:row>
      <xdr:rowOff>101600</xdr:rowOff>
    </xdr:to>
    <xdr:pic>
      <xdr:nvPicPr>
        <xdr:cNvPr id="3" name="Picture 3">
          <a:extLst>
            <a:ext uri="{FF2B5EF4-FFF2-40B4-BE49-F238E27FC236}">
              <a16:creationId xmlns:a16="http://schemas.microsoft.com/office/drawing/2014/main" id="{67B1F54C-59A9-9D4A-B60D-87CA7DBB8B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28900" y="530860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255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255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419449</xdr:colOff>
      <xdr:row>7</xdr:row>
      <xdr:rowOff>116515</xdr:rowOff>
    </xdr:from>
    <xdr:to>
      <xdr:col>18</xdr:col>
      <xdr:colOff>337890</xdr:colOff>
      <xdr:row>25</xdr:row>
      <xdr:rowOff>0</xdr:rowOff>
    </xdr:to>
    <xdr:graphicFrame macro="">
      <xdr:nvGraphicFramePr>
        <xdr:cNvPr id="2" name="Chart 1">
          <a:extLst>
            <a:ext uri="{FF2B5EF4-FFF2-40B4-BE49-F238E27FC236}">
              <a16:creationId xmlns:a16="http://schemas.microsoft.com/office/drawing/2014/main" id="{6194CC7C-6C25-7225-A0E0-68330969C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ntuedu-my.sharepoint.com/personal/ayman002_e_ntu_edu_sg/Documents/NEW%20UNMERGED%20BOOK%20(HOPEFULLY%20FINAL).xlsx" TargetMode="External"/><Relationship Id="rId1" Type="http://schemas.openxmlformats.org/officeDocument/2006/relationships/externalLinkPath" Target="https://entuedu-my.sharepoint.com/personal/ayman002_e_ntu_edu_sg/Documents/NEW%20UNMERGED%20BOOK%20(HOPEFULLY%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Key Stats"/>
      <sheetName val="FA"/>
      <sheetName val="Financial Analysis"/>
      <sheetName val="FA Graphs"/>
      <sheetName val="3FS"/>
      <sheetName val="D&amp;A"/>
      <sheetName val="Stores"/>
      <sheetName val="Schedule's"/>
      <sheetName val="BS"/>
      <sheetName val="Revenue per store"/>
      <sheetName val="Schedule's (2)"/>
      <sheetName val="IS"/>
      <sheetName val="CFS"/>
      <sheetName val="Relative Valuation"/>
      <sheetName val="Comparables' info"/>
      <sheetName val="Other stuff"/>
      <sheetName val="Segments"/>
      <sheetName val="Industry Specific (annual)"/>
      <sheetName val="Capital Structure Summary"/>
      <sheetName val="Implied Valuation"/>
      <sheetName val="Trading Multiples"/>
      <sheetName val="DCF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1">
          <cell r="B11">
            <v>2.5</v>
          </cell>
          <cell r="C11">
            <v>13</v>
          </cell>
          <cell r="D11">
            <v>22.6</v>
          </cell>
          <cell r="E11">
            <v>28.1</v>
          </cell>
          <cell r="F11">
            <v>16.399999999999999</v>
          </cell>
          <cell r="G11">
            <v>2.41</v>
          </cell>
          <cell r="H11">
            <v>18.149999999999999</v>
          </cell>
          <cell r="I11">
            <v>26.6</v>
          </cell>
        </row>
        <row r="12">
          <cell r="B12">
            <v>0.5</v>
          </cell>
          <cell r="C12">
            <v>3.8</v>
          </cell>
          <cell r="E12">
            <v>9.3000000000000007</v>
          </cell>
          <cell r="F12">
            <v>0.3</v>
          </cell>
          <cell r="G12">
            <v>0.48</v>
          </cell>
          <cell r="H12">
            <v>6.27</v>
          </cell>
          <cell r="I12">
            <v>8.9700000000000006</v>
          </cell>
        </row>
        <row r="13">
          <cell r="B13">
            <v>1</v>
          </cell>
          <cell r="C13">
            <v>6.5200000000000005</v>
          </cell>
          <cell r="E13">
            <v>14.24</v>
          </cell>
          <cell r="F13">
            <v>5.4399999999999995</v>
          </cell>
          <cell r="G13">
            <v>0.56479999999999997</v>
          </cell>
          <cell r="H13">
            <v>3.6495999999999995</v>
          </cell>
          <cell r="I13">
            <v>6.6519999999999992</v>
          </cell>
        </row>
        <row r="14">
          <cell r="B14">
            <v>0.7</v>
          </cell>
          <cell r="C14">
            <v>5.3</v>
          </cell>
          <cell r="E14">
            <v>10</v>
          </cell>
          <cell r="F14">
            <v>3.3</v>
          </cell>
          <cell r="G14">
            <v>0.72</v>
          </cell>
          <cell r="H14">
            <v>7.08</v>
          </cell>
          <cell r="I14">
            <v>12.85</v>
          </cell>
        </row>
      </sheetData>
      <sheetData sheetId="2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27T15:36:45.191"/>
    </inkml:context>
    <inkml:brush xml:id="br0">
      <inkml:brushProperty name="width" value="0.035" units="cm"/>
      <inkml:brushProperty name="height" value="0.035" units="cm"/>
    </inkml:brush>
  </inkml:definitions>
  <inkml:trace contextRef="#ctx0" brushRef="#br0">1 1 32</inkml:trace>
</inkml:ink>
</file>

<file path=xl/persons/person.xml><?xml version="1.0" encoding="utf-8"?>
<personList xmlns="http://schemas.microsoft.com/office/spreadsheetml/2018/threadedcomments" xmlns:x="http://schemas.openxmlformats.org/spreadsheetml/2006/main">
  <person displayName="#ABRAHAM HOW#" id="{C1857E66-9672-F542-97C3-D039CA85563D}" userId="S::ABRA0005@e.ntu.edu.sg::1a9c6c5a-d938-4e33-b501-14762619470f" providerId="AD"/>
  <person displayName="#ZHAO XINGYAN#" id="{36BC606D-FAC8-44B2-A810-90EE45A17D03}" userId="S::ZHAO0439@e.ntu.edu.sg::28f69b98-dae7-42b7-9cad-3fe385e4d51a"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9</v>
    <v>9</v>
  </rv>
  <rv s="1">
    <v>9</v>
    <v>1</v>
  </rv>
  <rv s="0">
    <v>9</v>
    <v>0</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2" dT="2025-03-27T14:20:12.12" personId="{C1857E66-9672-F542-97C3-D039CA85563D}" id="{BFC54D60-D74D-1D4A-9F14-974FFA4D0D0C}">
    <text>Macy’s Media Network only launched in 3Q 2022, explains the empty values between 2019 to 2022</text>
  </threadedComment>
  <threadedComment ref="A102" dT="2025-03-27T14:20:12.12" personId="{C1857E66-9672-F542-97C3-D039CA85563D}" id="{C03A85EF-127D-D049-AC79-48F5C2B7FE0C}">
    <text>Macy’s Media Network only launched in 3Q 2022, explains the empty values between 2019 to 2022</text>
  </threadedComment>
</ThreadedComments>
</file>

<file path=xl/threadedComments/threadedComment2.xml><?xml version="1.0" encoding="utf-8"?>
<ThreadedComments xmlns="http://schemas.microsoft.com/office/spreadsheetml/2018/threadedcomments" xmlns:x="http://schemas.openxmlformats.org/spreadsheetml/2006/main">
  <threadedComment ref="A18" dT="2025-03-27T13:10:02.62" personId="{C1857E66-9672-F542-97C3-D039CA85563D}" id="{0764D4C5-4052-544E-A6C0-7D03E9D934B7}">
    <text xml:space="preserve">Product Categories:
-  Women’s Accessories, Intimate Apparel, Shoes and Cosmetics
Men’s and Kids
      Women’s Apparel
      Home/Other
</text>
  </threadedComment>
  <threadedComment ref="A19" dT="2025-03-27T13:08:52.74" personId="{C1857E66-9672-F542-97C3-D039CA85563D}" id="{67780E06-7854-1247-945C-3B16D5BF1694}">
    <text>Include Credit Revenue &amp; Macy’s Media Network</text>
  </threadedComment>
  <threadedComment ref="A20" dT="2025-03-28T09:14:30.96" personId="{C1857E66-9672-F542-97C3-D039CA85563D}" id="{B7DB8EE7-87E8-EF43-8A5A-1CD8C06886D3}">
    <text>“Our revenues and cash requirements are affected by the seasonal nature of our business.
Our business is seasonal, with a high proportion of revenues and operating cash flows generated during the second half of the
year, which includes the fall and the months of November and December. A disproportionate amount of our revenues is realized
in the fourth quarter due to this seasonality”
— Quoted from Macy’s FY2024 FS, Item 1A Risk Factors pg 13</text>
  </threadedComment>
  <threadedComment ref="A30" dT="2025-03-27T13:13:19.31" personId="{C1857E66-9672-F542-97C3-D039CA85563D}" id="{2CAD9563-331E-0540-A567-F8448F10A04F}">
    <text>- Impairment, Restructuring, &amp; Other costs
- Asset Writedown
- Restructuring Charges</text>
  </threadedComment>
  <threadedComment ref="A41" dT="2025-03-27T13:13:36.53" personId="{C1857E66-9672-F542-97C3-D039CA85563D}" id="{2BCD44A9-2C3D-4047-B525-84D210980F51}">
    <text>Financing costs</text>
  </threadedComment>
  <threadedComment ref="A77" dT="2025-03-27T13:15:04.62" personId="{C1857E66-9672-F542-97C3-D039CA85563D}" id="{BCAA8EE3-C630-B248-B8CC-83647169F4DF}">
    <text>- Other Receivables
- Income Tax Receivables</text>
  </threadedComment>
  <threadedComment ref="A80" dT="2025-03-27T13:15:27.79" personId="{C1857E66-9672-F542-97C3-D039CA85563D}" id="{9C8D1F92-1100-CE40-8957-BDDD33E9F971}">
    <text>Include:
- Merchandise Inventories
- Finished Goods</text>
  </threadedComment>
  <threadedComment ref="A86" dT="2025-03-27T13:18:17.28" personId="{C1857E66-9672-F542-97C3-D039CA85563D}" id="{F19D7441-0CDA-C84C-86D9-BC1DB713C571}">
    <text>Include:
- Right of use Asset Capital lease
- Right of use Operating Lease
- Buildings
- Land
- Property &amp; Equipment
- Machinery
- Other PPE</text>
  </threadedComment>
  <threadedComment ref="A91" dT="2025-03-27T13:19:40.18" personId="{C1857E66-9672-F542-97C3-D039CA85563D}" id="{7C3E1953-614C-6C46-A9C6-48D6B9C0C269}">
    <text>Include: 
- Capitalised/ Purchased Software
- Accumulated Amortisation</text>
  </threadedComment>
  <threadedComment ref="A91" dT="2025-03-27T13:20:39.86" personId="{C1857E66-9672-F542-97C3-D039CA85563D}" id="{40008FFB-585E-2C4E-ACB9-CC8209B0C1B5}" parentId="{7C3E1953-614C-6C46-A9C6-48D6B9C0C269}">
    <text>Later add “Accumulated Amortisation” row - Abraham do later</text>
  </threadedComment>
  <threadedComment ref="A92" dT="2025-03-27T13:21:20.31" personId="{C1857E66-9672-F542-97C3-D039CA85563D}" id="{D880D45F-1148-E942-9334-6CA2AA1C0E1D}">
    <text>- Other Long-term Receivables</text>
  </threadedComment>
  <threadedComment ref="A141" dT="2025-03-27T13:22:50.15" personId="{C1857E66-9672-F542-97C3-D039CA85563D}" id="{8C596293-C4B1-5140-A0E0-1604A34772C7}">
    <text>- Amortisation of Financing Costs &amp; Premium on Acquired Debt</text>
  </threadedComment>
  <threadedComment ref="A142" dT="2025-03-27T13:23:21.00" personId="{C1857E66-9672-F542-97C3-D039CA85563D}" id="{F32A981F-FE91-1D48-B58E-02FCA99101CF}">
    <text>- (Gain) Loss on Sale of Real Estate</text>
  </threadedComment>
  <threadedComment ref="A153" dT="2025-03-27T13:25:14.25" personId="{C1857E66-9672-F542-97C3-D039CA85563D}" id="{DCD5A04C-AEBB-9244-BE30-6256E4A0AC4B}">
    <text>- Purchase on Property &amp; Equipment</text>
  </threadedComment>
  <threadedComment ref="A154" dT="2025-03-27T13:25:26.45" personId="{C1857E66-9672-F542-97C3-D039CA85563D}" id="{529F61C2-B84E-DB41-8A22-56607306CCAB}">
    <text>- Disposition of Property &amp; Equipment</text>
  </threadedComment>
  <threadedComment ref="A157" dT="2025-03-27T13:25:38.28" personId="{C1857E66-9672-F542-97C3-D039CA85563D}" id="{FCD455D4-DBEA-6044-A378-57CE2C827A4C}">
    <text>- Capitalised Software</text>
  </threadedComment>
  <threadedComment ref="A173" dT="2025-03-27T13:26:16.85" personId="{C1857E66-9672-F542-97C3-D039CA85563D}" id="{2723E6B1-9626-A940-A481-02DC1ABBF8E5}">
    <text>Include:
- Debt Repurchase Premium &amp; Expenses
- Debt Issuance Costs
- Proceeds from Non-controlling interests</text>
  </threadedComment>
</ThreadedComments>
</file>

<file path=xl/threadedComments/threadedComment3.xml><?xml version="1.0" encoding="utf-8"?>
<ThreadedComments xmlns="http://schemas.microsoft.com/office/spreadsheetml/2018/threadedcomments" xmlns:x="http://schemas.openxmlformats.org/spreadsheetml/2006/main">
  <threadedComment ref="BC15" dT="2025-04-11T06:07:39.09" personId="{36BC606D-FAC8-44B2-A810-90EE45A17D03}" id="{D0CA91F8-B77A-4747-AF81-4342DD4EAA63}">
    <text>Sources?</text>
  </threadedComment>
  <threadedComment ref="BQ16" dT="2025-04-11T06:08:31.63" personId="{36BC606D-FAC8-44B2-A810-90EE45A17D03}" id="{71E63F73-A64B-44AB-9777-F0AE74DC469E}">
    <text>I don’t think they will close that many</text>
  </threadedComment>
  <threadedComment ref="BQ18" dT="2025-04-11T06:09:01.49" personId="{36BC606D-FAC8-44B2-A810-90EE45A17D03}" id="{889891F5-7E7D-4A21-9011-B9AD34328C56}">
    <text>What’s this?</text>
  </threadedComment>
</ThreadedComments>
</file>

<file path=xl/threadedComments/threadedComment4.xml><?xml version="1.0" encoding="utf-8"?>
<ThreadedComments xmlns="http://schemas.microsoft.com/office/spreadsheetml/2018/threadedcomments" xmlns:x="http://schemas.openxmlformats.org/spreadsheetml/2006/main">
  <threadedComment ref="C25" dT="2025-04-12T09:55:42.76" personId="{36BC606D-FAC8-44B2-A810-90EE45A17D03}" id="{45AB0230-6865-464B-B566-306696E38637}">
    <text>Growth changes from this as a base by +2% per year</text>
  </threadedComment>
  <threadedComment ref="C25" dT="2025-04-12T09:59:07.79" personId="{36BC606D-FAC8-44B2-A810-90EE45A17D03}" id="{CB2401F4-B2FF-48E9-8DB6-693448A00495}" parentId="{45AB0230-6865-464B-B566-306696E38637}">
    <text>Average of 3 year CAGR &amp; simple average growth rate</text>
  </threadedComment>
  <threadedComment ref="G27" dT="2025-04-12T10:01:41.65" personId="{36BC606D-FAC8-44B2-A810-90EE45A17D03}" id="{05E88F54-D8A6-4F99-82ED-F9C1C613046F}">
    <text>Sudden jump as they will no longer be closing stores</text>
  </threadedComment>
  <threadedComment ref="C29" dT="2025-04-12T09:58:46.75" personId="{36BC606D-FAC8-44B2-A810-90EE45A17D03}" id="{7326A9D9-4E95-4EF2-A8C0-0D83B4654C07}">
    <text>Growth rates of each segment higher than Base by 1% for Bloom &amp; Blue, set growth to 1% for Macy’s</text>
  </threadedComment>
  <threadedComment ref="C36" dT="2025-04-12T09:59:53.18" personId="{36BC606D-FAC8-44B2-A810-90EE45A17D03}" id="{CA9EABB3-720D-44DE-A76F-272490CDA4BA}">
    <text>Growth changes from this as a base by +4%, then +2% per year</text>
  </threadedComment>
  <threadedComment ref="C42" dT="2025-04-12T10:00:31.57" personId="{36BC606D-FAC8-44B2-A810-90EE45A17D03}" id="{C7F31B00-13FF-41C0-A48A-A4A135554483}">
    <text>Growth rates of each segment lower than Base by 1% for Macy’s and 0.5% for B&amp;B</text>
  </threadedComment>
  <threadedComment ref="C47" dT="2025-04-12T10:01:19.81" personId="{36BC606D-FAC8-44B2-A810-90EE45A17D03}" id="{07BCDA46-11FC-41BF-AA70-C8ADC61E521B}">
    <text>Growth changes from this as a base by +1% only in later years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1.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AC53-A181-B24F-B2E6-CEE0C954CE86}">
  <sheetPr codeName="Sheet24">
    <tabColor theme="9" tint="0.79998168889431442"/>
    <outlinePr summaryBelow="0" summaryRight="0"/>
  </sheetPr>
  <dimension ref="A1:IU31"/>
  <sheetViews>
    <sheetView zoomScale="243" workbookViewId="0">
      <selection activeCell="C8" sqref="C8"/>
    </sheetView>
  </sheetViews>
  <sheetFormatPr defaultColWidth="9" defaultRowHeight="10.15"/>
  <cols>
    <col min="1" max="1" width="26.5" style="9" customWidth="1"/>
    <col min="2" max="2" width="18.1875" style="9" hidden="1" customWidth="1"/>
    <col min="3" max="5" width="20.8125" style="9" customWidth="1"/>
    <col min="6" max="9" width="20.8125" style="9" hidden="1" customWidth="1"/>
    <col min="10" max="256" width="8.8125" style="9" customWidth="1"/>
    <col min="257" max="16384" width="9" style="9"/>
  </cols>
  <sheetData>
    <row r="1" spans="1:255">
      <c r="A1" s="18" t="s">
        <v>674</v>
      </c>
      <c r="B1" s="18"/>
      <c r="C1" s="18"/>
      <c r="D1" s="18"/>
      <c r="E1" s="18"/>
      <c r="F1" s="18"/>
      <c r="G1" s="18"/>
      <c r="H1" s="18"/>
      <c r="I1" s="18"/>
      <c r="J1" s="746"/>
      <c r="K1" s="746"/>
      <c r="L1" s="746"/>
      <c r="M1" s="746"/>
      <c r="N1" s="746"/>
      <c r="O1" s="746"/>
      <c r="P1" s="746"/>
      <c r="Q1" s="746"/>
      <c r="R1" s="746"/>
      <c r="S1" s="746"/>
      <c r="T1" s="746"/>
      <c r="U1" s="746"/>
      <c r="V1" s="746"/>
      <c r="W1" s="746"/>
      <c r="X1" s="746"/>
      <c r="Y1" s="746"/>
      <c r="Z1" s="746"/>
      <c r="AA1" s="746"/>
      <c r="AB1" s="746"/>
      <c r="AC1" s="746"/>
      <c r="AD1" s="746"/>
      <c r="AE1" s="746"/>
      <c r="AF1" s="746"/>
      <c r="AG1" s="746"/>
      <c r="AH1" s="746"/>
      <c r="AI1" s="746"/>
      <c r="AJ1" s="746"/>
      <c r="AK1" s="746"/>
      <c r="AL1" s="746"/>
      <c r="AM1" s="746"/>
      <c r="AN1" s="746"/>
      <c r="AO1" s="746"/>
      <c r="AP1" s="746"/>
      <c r="AQ1" s="746"/>
      <c r="AR1" s="746"/>
      <c r="AS1" s="746"/>
      <c r="AT1" s="746"/>
      <c r="AU1" s="746"/>
      <c r="AV1" s="746"/>
      <c r="AW1" s="746"/>
      <c r="AX1" s="746"/>
      <c r="AY1" s="746"/>
      <c r="AZ1" s="746"/>
      <c r="BA1" s="746"/>
      <c r="BB1" s="746"/>
      <c r="BC1" s="746"/>
      <c r="BD1" s="746"/>
      <c r="BE1" s="746"/>
      <c r="BF1" s="746"/>
      <c r="BG1" s="746"/>
      <c r="BH1" s="746"/>
      <c r="BI1" s="746"/>
      <c r="BJ1" s="746"/>
      <c r="BK1" s="746"/>
      <c r="BL1" s="746"/>
      <c r="BM1" s="746"/>
      <c r="BN1" s="746"/>
      <c r="BO1" s="746"/>
      <c r="BP1" s="746"/>
      <c r="BQ1" s="746"/>
      <c r="BR1" s="746"/>
      <c r="BS1" s="746"/>
      <c r="BT1" s="746"/>
      <c r="BU1" s="746"/>
      <c r="BV1" s="746"/>
      <c r="BW1" s="746"/>
      <c r="BX1" s="746"/>
      <c r="BY1" s="746"/>
      <c r="BZ1" s="746"/>
      <c r="CA1" s="746"/>
      <c r="CB1" s="746"/>
      <c r="CC1" s="746"/>
      <c r="CD1" s="746"/>
      <c r="CE1" s="746"/>
      <c r="CF1" s="746"/>
      <c r="CG1" s="746"/>
      <c r="CH1" s="746"/>
      <c r="CI1" s="746"/>
      <c r="CJ1" s="746"/>
      <c r="CK1" s="746"/>
      <c r="CL1" s="746"/>
      <c r="CM1" s="746"/>
      <c r="CN1" s="746"/>
      <c r="CO1" s="746"/>
      <c r="CP1" s="746"/>
      <c r="CQ1" s="746"/>
      <c r="CR1" s="746"/>
      <c r="CS1" s="746"/>
      <c r="CT1" s="746"/>
      <c r="CU1" s="746"/>
      <c r="CV1" s="746"/>
      <c r="CW1" s="746"/>
      <c r="CX1" s="746"/>
      <c r="CY1" s="746"/>
      <c r="CZ1" s="746"/>
      <c r="DA1" s="746"/>
      <c r="DB1" s="746"/>
      <c r="DC1" s="746"/>
      <c r="DD1" s="746"/>
      <c r="DE1" s="746"/>
      <c r="DF1" s="746"/>
      <c r="DG1" s="746"/>
      <c r="DH1" s="746"/>
      <c r="DI1" s="746"/>
      <c r="DJ1" s="746"/>
      <c r="DK1" s="746"/>
      <c r="DL1" s="746"/>
      <c r="DM1" s="746"/>
      <c r="DN1" s="746"/>
      <c r="DO1" s="746"/>
      <c r="DP1" s="746"/>
      <c r="DQ1" s="746"/>
      <c r="DR1" s="746"/>
      <c r="DS1" s="746"/>
      <c r="DT1" s="746"/>
      <c r="DU1" s="746"/>
      <c r="DV1" s="746"/>
      <c r="DW1" s="746"/>
      <c r="DX1" s="746"/>
      <c r="DY1" s="746"/>
      <c r="DZ1" s="746"/>
      <c r="EA1" s="746"/>
      <c r="EB1" s="746"/>
      <c r="EC1" s="746"/>
      <c r="ED1" s="746"/>
      <c r="EE1" s="746"/>
      <c r="EF1" s="746"/>
      <c r="EG1" s="746"/>
      <c r="EH1" s="746"/>
      <c r="EI1" s="746"/>
      <c r="EJ1" s="746"/>
      <c r="EK1" s="746"/>
      <c r="EL1" s="746"/>
      <c r="EM1" s="746"/>
      <c r="EN1" s="746"/>
      <c r="EO1" s="746"/>
      <c r="EP1" s="746"/>
      <c r="EQ1" s="746"/>
      <c r="ER1" s="746"/>
      <c r="ES1" s="746"/>
      <c r="ET1" s="746"/>
      <c r="EU1" s="746"/>
      <c r="EV1" s="746"/>
      <c r="EW1" s="746"/>
      <c r="EX1" s="746"/>
      <c r="EY1" s="746"/>
      <c r="EZ1" s="746"/>
      <c r="FA1" s="746"/>
      <c r="FB1" s="746"/>
      <c r="FC1" s="746"/>
      <c r="FD1" s="746"/>
      <c r="FE1" s="746"/>
      <c r="FF1" s="746"/>
      <c r="FG1" s="746"/>
      <c r="FH1" s="746"/>
      <c r="FI1" s="746"/>
      <c r="FJ1" s="746"/>
      <c r="FK1" s="746"/>
      <c r="FL1" s="746"/>
      <c r="FM1" s="746"/>
      <c r="FN1" s="746"/>
      <c r="FO1" s="746"/>
      <c r="FP1" s="746"/>
      <c r="FQ1" s="746"/>
      <c r="FR1" s="746"/>
      <c r="FS1" s="746"/>
      <c r="FT1" s="746"/>
      <c r="FU1" s="746"/>
      <c r="FV1" s="746"/>
      <c r="FW1" s="746"/>
      <c r="FX1" s="746"/>
      <c r="FY1" s="746"/>
      <c r="FZ1" s="746"/>
      <c r="GA1" s="746"/>
      <c r="GB1" s="746"/>
      <c r="GC1" s="746"/>
      <c r="GD1" s="746"/>
      <c r="GE1" s="746"/>
      <c r="GF1" s="746"/>
      <c r="GG1" s="746"/>
      <c r="GH1" s="746"/>
      <c r="GI1" s="746"/>
      <c r="GJ1" s="746"/>
      <c r="GK1" s="746"/>
      <c r="GL1" s="746"/>
      <c r="GM1" s="746"/>
      <c r="GN1" s="746"/>
      <c r="GO1" s="746"/>
      <c r="GP1" s="746"/>
      <c r="GQ1" s="746"/>
      <c r="GR1" s="746"/>
      <c r="GS1" s="746"/>
      <c r="GT1" s="746"/>
      <c r="GU1" s="746"/>
      <c r="GV1" s="746"/>
      <c r="GW1" s="746"/>
      <c r="GX1" s="746"/>
      <c r="GY1" s="746"/>
      <c r="GZ1" s="746"/>
      <c r="HA1" s="746"/>
      <c r="HB1" s="746"/>
      <c r="HC1" s="746"/>
      <c r="HD1" s="746"/>
      <c r="HE1" s="746"/>
      <c r="HF1" s="746"/>
      <c r="HG1" s="746"/>
      <c r="HH1" s="746"/>
      <c r="HI1" s="746"/>
      <c r="HJ1" s="746"/>
      <c r="HK1" s="746"/>
      <c r="HL1" s="746"/>
      <c r="HM1" s="746"/>
      <c r="HN1" s="746"/>
      <c r="HO1" s="746"/>
      <c r="HP1" s="746"/>
      <c r="HQ1" s="746"/>
      <c r="HR1" s="746"/>
      <c r="HS1" s="746"/>
      <c r="HT1" s="746"/>
      <c r="HU1" s="746"/>
      <c r="HV1" s="746"/>
      <c r="HW1" s="746"/>
      <c r="HX1" s="746"/>
      <c r="HY1" s="746"/>
      <c r="HZ1" s="746"/>
      <c r="IA1" s="746"/>
      <c r="IB1" s="746"/>
      <c r="IC1" s="746"/>
      <c r="ID1" s="746"/>
      <c r="IE1" s="746"/>
      <c r="IF1" s="746"/>
      <c r="IG1" s="746"/>
      <c r="IH1" s="746"/>
      <c r="II1" s="746"/>
      <c r="IJ1" s="746"/>
      <c r="IK1" s="746"/>
      <c r="IL1" s="746"/>
      <c r="IM1" s="746"/>
      <c r="IN1" s="746"/>
      <c r="IO1" s="746"/>
      <c r="IP1" s="746"/>
      <c r="IQ1" s="746"/>
      <c r="IR1" s="746"/>
      <c r="IS1" s="746"/>
      <c r="IT1" s="746"/>
      <c r="IU1" s="746"/>
    </row>
    <row r="2" spans="1:255" ht="20.25">
      <c r="A2" s="762" t="s">
        <v>649</v>
      </c>
      <c r="B2" s="763" t="s">
        <v>965</v>
      </c>
      <c r="C2" s="763" t="s">
        <v>966</v>
      </c>
      <c r="D2" s="763" t="s">
        <v>958</v>
      </c>
      <c r="E2" s="763" t="s">
        <v>967</v>
      </c>
      <c r="F2" s="763" t="s">
        <v>960</v>
      </c>
      <c r="G2" s="763" t="s">
        <v>961</v>
      </c>
      <c r="H2" s="763" t="s">
        <v>962</v>
      </c>
      <c r="I2" s="763" t="s">
        <v>963</v>
      </c>
    </row>
    <row r="3" spans="1:255">
      <c r="A3" s="462" t="s">
        <v>655</v>
      </c>
      <c r="B3" s="14">
        <v>2.5</v>
      </c>
      <c r="C3" s="14">
        <v>13</v>
      </c>
      <c r="D3" s="14">
        <v>22.6</v>
      </c>
      <c r="E3" s="14">
        <v>28.1</v>
      </c>
      <c r="F3" s="14">
        <v>16.399999999999999</v>
      </c>
      <c r="G3" s="16">
        <v>2.41</v>
      </c>
      <c r="H3" s="16">
        <v>18.149999999999999</v>
      </c>
      <c r="I3" s="16">
        <v>26.6</v>
      </c>
    </row>
    <row r="4" spans="1:255">
      <c r="A4" s="462" t="s">
        <v>656</v>
      </c>
      <c r="B4" s="14">
        <v>0.5</v>
      </c>
      <c r="C4" s="14">
        <v>5.3</v>
      </c>
      <c r="D4" s="14">
        <v>16.2</v>
      </c>
      <c r="E4" s="14">
        <v>9.3000000000000007</v>
      </c>
      <c r="F4" s="14">
        <v>0.3</v>
      </c>
      <c r="G4" s="16">
        <v>0.55000000000000004</v>
      </c>
      <c r="H4" s="16">
        <v>7.31</v>
      </c>
      <c r="I4" s="16">
        <v>23.07</v>
      </c>
    </row>
    <row r="5" spans="1:255">
      <c r="A5" s="462" t="s">
        <v>657</v>
      </c>
      <c r="B5" s="14">
        <v>0.7</v>
      </c>
      <c r="C5" s="14">
        <v>3.8</v>
      </c>
      <c r="D5" s="14">
        <v>9.8000000000000007</v>
      </c>
      <c r="E5" s="14">
        <v>9.8000000000000007</v>
      </c>
      <c r="F5" s="14">
        <v>2.7</v>
      </c>
      <c r="G5" s="16">
        <v>0.72</v>
      </c>
      <c r="H5" s="16">
        <v>6.32</v>
      </c>
      <c r="I5" s="16">
        <v>8.9700000000000006</v>
      </c>
    </row>
    <row r="6" spans="1:255">
      <c r="A6" s="462" t="s">
        <v>658</v>
      </c>
      <c r="B6" s="14">
        <v>0.5</v>
      </c>
      <c r="C6" s="14">
        <v>4.8</v>
      </c>
      <c r="D6" s="14">
        <v>13.4</v>
      </c>
      <c r="E6" s="14">
        <v>14</v>
      </c>
      <c r="F6" s="14">
        <v>4.5</v>
      </c>
      <c r="G6" s="16">
        <v>0.48</v>
      </c>
      <c r="H6" s="16">
        <v>6.27</v>
      </c>
      <c r="I6" s="16">
        <v>11.11</v>
      </c>
    </row>
    <row r="7" spans="1:255">
      <c r="A7" s="462" t="s">
        <v>659</v>
      </c>
      <c r="B7" s="14">
        <v>0.8</v>
      </c>
      <c r="C7" s="14">
        <v>5.7</v>
      </c>
      <c r="D7" s="14">
        <v>7.2</v>
      </c>
      <c r="E7" s="14">
        <v>10</v>
      </c>
      <c r="F7" s="14">
        <v>3.3</v>
      </c>
      <c r="G7" s="16">
        <v>0.83</v>
      </c>
      <c r="H7" s="16">
        <v>7.08</v>
      </c>
      <c r="I7" s="16">
        <v>12.85</v>
      </c>
    </row>
    <row r="8" spans="1:255">
      <c r="A8" s="764" t="s">
        <v>660</v>
      </c>
      <c r="B8" s="768">
        <f>75700/'Implied Valuation'!B3</f>
        <v>3.1718763093941171</v>
      </c>
      <c r="C8" s="767">
        <f>75700/'Implied Valuation'!C3</f>
        <v>59.936658749010292</v>
      </c>
      <c r="D8" s="767">
        <v>9.4</v>
      </c>
      <c r="E8" s="767">
        <f>11/0.16</f>
        <v>68.75</v>
      </c>
      <c r="F8" s="765">
        <f>11/(4035/278)</f>
        <v>0.75786864931846343</v>
      </c>
      <c r="G8" s="766">
        <v>0.4</v>
      </c>
      <c r="H8" s="766">
        <v>4.6900000000000004</v>
      </c>
      <c r="I8" s="766">
        <v>6.42</v>
      </c>
    </row>
    <row r="9" spans="1:255">
      <c r="A9" s="469"/>
      <c r="B9" s="469"/>
      <c r="C9" s="469"/>
      <c r="D9" s="469"/>
      <c r="E9" s="469"/>
      <c r="F9" s="469"/>
      <c r="G9" s="469"/>
      <c r="H9" s="469"/>
      <c r="I9" s="469"/>
    </row>
    <row r="10" spans="1:255" ht="20.25">
      <c r="A10" s="462" t="s">
        <v>964</v>
      </c>
      <c r="B10" s="769" t="s">
        <v>956</v>
      </c>
      <c r="C10" s="769" t="s">
        <v>957</v>
      </c>
      <c r="D10" s="769" t="s">
        <v>958</v>
      </c>
      <c r="E10" s="769" t="s">
        <v>959</v>
      </c>
      <c r="F10" s="748" t="s">
        <v>960</v>
      </c>
      <c r="G10" s="748" t="s">
        <v>961</v>
      </c>
      <c r="H10" s="748" t="s">
        <v>962</v>
      </c>
      <c r="I10" s="748" t="s">
        <v>963</v>
      </c>
    </row>
    <row r="11" spans="1:255">
      <c r="A11" s="462" t="s">
        <v>944</v>
      </c>
      <c r="B11" s="14">
        <f>MAX(B3:B7)</f>
        <v>2.5</v>
      </c>
      <c r="C11" s="14">
        <f t="shared" ref="C11:I11" si="0">MAX(C3:C7)</f>
        <v>13</v>
      </c>
      <c r="D11" s="14">
        <f>MAX(D3:D7)</f>
        <v>22.6</v>
      </c>
      <c r="E11" s="14">
        <f t="shared" si="0"/>
        <v>28.1</v>
      </c>
      <c r="F11" s="14">
        <f t="shared" si="0"/>
        <v>16.399999999999999</v>
      </c>
      <c r="G11" s="14">
        <f t="shared" si="0"/>
        <v>2.41</v>
      </c>
      <c r="H11" s="14">
        <f t="shared" si="0"/>
        <v>18.149999999999999</v>
      </c>
      <c r="I11" s="14">
        <f t="shared" si="0"/>
        <v>26.6</v>
      </c>
    </row>
    <row r="12" spans="1:255">
      <c r="A12" s="462" t="s">
        <v>945</v>
      </c>
      <c r="B12" s="14">
        <f>MIN(B3:B7)</f>
        <v>0.5</v>
      </c>
      <c r="C12" s="14">
        <f t="shared" ref="C12:I12" si="1">MIN(C3:C7)</f>
        <v>3.8</v>
      </c>
      <c r="D12" s="14">
        <f>MIN(D3:D7)</f>
        <v>7.2</v>
      </c>
      <c r="E12" s="14">
        <f t="shared" si="1"/>
        <v>9.3000000000000007</v>
      </c>
      <c r="F12" s="14">
        <f t="shared" si="1"/>
        <v>0.3</v>
      </c>
      <c r="G12" s="14">
        <f t="shared" si="1"/>
        <v>0.48</v>
      </c>
      <c r="H12" s="14">
        <f t="shared" si="1"/>
        <v>6.27</v>
      </c>
      <c r="I12" s="14">
        <f t="shared" si="1"/>
        <v>8.9700000000000006</v>
      </c>
    </row>
    <row r="13" spans="1:255">
      <c r="A13" s="462" t="s">
        <v>661</v>
      </c>
      <c r="B13" s="14">
        <f>AVERAGE(B3:B7)</f>
        <v>1</v>
      </c>
      <c r="C13" s="14">
        <f t="shared" ref="C13:F13" si="2">AVERAGE(C3:C7)</f>
        <v>6.5200000000000005</v>
      </c>
      <c r="D13" s="14">
        <f>AVERAGE(D3:D7)</f>
        <v>13.839999999999998</v>
      </c>
      <c r="E13" s="14">
        <f t="shared" si="2"/>
        <v>14.24</v>
      </c>
      <c r="F13" s="14">
        <f t="shared" si="2"/>
        <v>5.4399999999999995</v>
      </c>
      <c r="G13" s="14">
        <f t="shared" ref="G13:I13" si="3">AVEDEV(G3:G7)</f>
        <v>0.56479999999999997</v>
      </c>
      <c r="H13" s="14">
        <f t="shared" si="3"/>
        <v>3.6495999999999995</v>
      </c>
      <c r="I13" s="14">
        <f t="shared" si="3"/>
        <v>6.6519999999999992</v>
      </c>
    </row>
    <row r="14" spans="1:255">
      <c r="A14" s="462" t="s">
        <v>662</v>
      </c>
      <c r="B14" s="14">
        <f t="shared" ref="B14:I14" si="4">MEDIAN(B3:B7)</f>
        <v>0.7</v>
      </c>
      <c r="C14" s="14">
        <f t="shared" si="4"/>
        <v>5.3</v>
      </c>
      <c r="D14" s="14">
        <f>MEDIAN(D3:D7)</f>
        <v>13.4</v>
      </c>
      <c r="E14" s="14">
        <f t="shared" si="4"/>
        <v>10</v>
      </c>
      <c r="F14" s="14">
        <f t="shared" si="4"/>
        <v>3.3</v>
      </c>
      <c r="G14" s="14">
        <f t="shared" si="4"/>
        <v>0.72</v>
      </c>
      <c r="H14" s="14">
        <f t="shared" si="4"/>
        <v>7.08</v>
      </c>
      <c r="I14" s="14">
        <f t="shared" si="4"/>
        <v>12.85</v>
      </c>
    </row>
    <row r="15" spans="1:255">
      <c r="A15" s="11"/>
      <c r="B15" s="11"/>
      <c r="C15" s="11"/>
      <c r="D15" s="11"/>
      <c r="E15" s="11"/>
      <c r="F15" s="11"/>
      <c r="G15" s="11"/>
      <c r="H15" s="11"/>
      <c r="I15" s="11"/>
    </row>
    <row r="17" spans="1:3">
      <c r="A17" s="12"/>
    </row>
    <row r="31" spans="1:3">
      <c r="A31" s="773"/>
      <c r="B31" s="774"/>
      <c r="C31" s="774"/>
    </row>
  </sheetData>
  <mergeCells count="1">
    <mergeCell ref="A31:C31"/>
  </mergeCells>
  <conditionalFormatting sqref="B3:B7">
    <cfRule type="colorScale" priority="9">
      <colorScale>
        <cfvo type="min"/>
        <cfvo type="percentile" val="50"/>
        <cfvo type="max"/>
        <color rgb="FF63BE7B"/>
        <color rgb="FFFFEB84"/>
        <color rgb="FFF8696B"/>
      </colorScale>
    </cfRule>
  </conditionalFormatting>
  <conditionalFormatting sqref="B3:B8">
    <cfRule type="colorScale" priority="1">
      <colorScale>
        <cfvo type="min"/>
        <cfvo type="percentile" val="50"/>
        <cfvo type="max"/>
        <color rgb="FF63BE7B"/>
        <color rgb="FFFFEB84"/>
        <color rgb="FFF8696B"/>
      </colorScale>
    </cfRule>
  </conditionalFormatting>
  <conditionalFormatting sqref="C3:C8">
    <cfRule type="colorScale" priority="8">
      <colorScale>
        <cfvo type="min"/>
        <cfvo type="percentile" val="50"/>
        <cfvo type="max"/>
        <color rgb="FF63BE7B"/>
        <color rgb="FFFFEB84"/>
        <color rgb="FFF8696B"/>
      </colorScale>
    </cfRule>
  </conditionalFormatting>
  <conditionalFormatting sqref="D3:D8">
    <cfRule type="colorScale" priority="7">
      <colorScale>
        <cfvo type="min"/>
        <cfvo type="percentile" val="50"/>
        <cfvo type="max"/>
        <color rgb="FF63BE7B"/>
        <color rgb="FFFFEB84"/>
        <color rgb="FFF8696B"/>
      </colorScale>
    </cfRule>
  </conditionalFormatting>
  <conditionalFormatting sqref="E3:E8">
    <cfRule type="colorScale" priority="6">
      <colorScale>
        <cfvo type="min"/>
        <cfvo type="percentile" val="50"/>
        <cfvo type="max"/>
        <color rgb="FF63BE7B"/>
        <color rgb="FFFFEB84"/>
        <color rgb="FFF8696B"/>
      </colorScale>
    </cfRule>
  </conditionalFormatting>
  <conditionalFormatting sqref="F3:F8">
    <cfRule type="colorScale" priority="5">
      <colorScale>
        <cfvo type="min"/>
        <cfvo type="percentile" val="50"/>
        <cfvo type="max"/>
        <color rgb="FF63BE7B"/>
        <color rgb="FFFFEB84"/>
        <color rgb="FFF8696B"/>
      </colorScale>
    </cfRule>
  </conditionalFormatting>
  <conditionalFormatting sqref="G3:G8">
    <cfRule type="colorScale" priority="4">
      <colorScale>
        <cfvo type="min"/>
        <cfvo type="percentile" val="50"/>
        <cfvo type="max"/>
        <color rgb="FF63BE7B"/>
        <color rgb="FFFFEB84"/>
        <color rgb="FFF8696B"/>
      </colorScale>
    </cfRule>
  </conditionalFormatting>
  <conditionalFormatting sqref="H3:H8">
    <cfRule type="colorScale" priority="3">
      <colorScale>
        <cfvo type="min"/>
        <cfvo type="percentile" val="50"/>
        <cfvo type="max"/>
        <color rgb="FF63BE7B"/>
        <color rgb="FFFFEB84"/>
        <color rgb="FFF8696B"/>
      </colorScale>
    </cfRule>
  </conditionalFormatting>
  <conditionalFormatting sqref="I3:I8">
    <cfRule type="colorScale" priority="2">
      <colorScale>
        <cfvo type="min"/>
        <cfvo type="percentile" val="50"/>
        <cfvo type="max"/>
        <color rgb="FF63BE7B"/>
        <color rgb="FFFFEB84"/>
        <color rgb="FFF8696B"/>
      </colorScale>
    </cfRule>
  </conditionalFormatting>
  <pageMargins left="0.2" right="0.2" top="0.5" bottom="0.5" header="0.5" footer="0.5"/>
  <pageSetup fitToWidth="0"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C630-6A08-2344-ACC5-E8B5C019CB53}">
  <sheetPr codeName="Sheet23">
    <outlinePr summaryBelow="0" summaryRight="0"/>
  </sheetPr>
  <dimension ref="A1:IU57"/>
  <sheetViews>
    <sheetView zoomScale="133" workbookViewId="0">
      <selection activeCell="A14" sqref="A14"/>
    </sheetView>
  </sheetViews>
  <sheetFormatPr defaultColWidth="9" defaultRowHeight="10.15"/>
  <cols>
    <col min="1" max="1" width="25.8125" style="761" customWidth="1"/>
    <col min="2" max="3" width="20.8125" style="9" customWidth="1"/>
    <col min="4" max="4" width="25.8125" style="9" hidden="1" customWidth="1"/>
    <col min="5" max="6" width="25.8125" style="9" customWidth="1"/>
    <col min="7" max="7" width="21.8125" style="9" bestFit="1" customWidth="1"/>
    <col min="8" max="8" width="25.8125" style="9" customWidth="1"/>
    <col min="9" max="9" width="21.8125" style="9" bestFit="1" customWidth="1"/>
    <col min="10" max="256" width="8.8125" style="9" customWidth="1"/>
    <col min="257" max="16384" width="9" style="9"/>
  </cols>
  <sheetData>
    <row r="1" spans="1:255">
      <c r="A1" s="745" t="s">
        <v>674</v>
      </c>
      <c r="B1" s="18"/>
      <c r="C1" s="18"/>
      <c r="D1" s="18"/>
      <c r="E1" s="18"/>
      <c r="F1" s="18"/>
      <c r="G1" s="18"/>
      <c r="H1" s="18"/>
      <c r="I1" s="18"/>
      <c r="J1" s="746"/>
      <c r="K1" s="746"/>
      <c r="L1" s="746"/>
      <c r="M1" s="746"/>
      <c r="N1" s="746"/>
      <c r="O1" s="746"/>
      <c r="P1" s="746"/>
      <c r="Q1" s="746"/>
      <c r="R1" s="746"/>
      <c r="S1" s="746"/>
      <c r="T1" s="746"/>
      <c r="U1" s="746"/>
      <c r="V1" s="746"/>
      <c r="W1" s="746"/>
      <c r="X1" s="746"/>
      <c r="Y1" s="746"/>
      <c r="Z1" s="746"/>
      <c r="AA1" s="746"/>
      <c r="AB1" s="746"/>
      <c r="AC1" s="746"/>
      <c r="AD1" s="746"/>
      <c r="AE1" s="746"/>
      <c r="AF1" s="746"/>
      <c r="AG1" s="746"/>
      <c r="AH1" s="746"/>
      <c r="AI1" s="746"/>
      <c r="AJ1" s="746"/>
      <c r="AK1" s="746"/>
      <c r="AL1" s="746"/>
      <c r="AM1" s="746"/>
      <c r="AN1" s="746"/>
      <c r="AO1" s="746"/>
      <c r="AP1" s="746"/>
      <c r="AQ1" s="746"/>
      <c r="AR1" s="746"/>
      <c r="AS1" s="746"/>
      <c r="AT1" s="746"/>
      <c r="AU1" s="746"/>
      <c r="AV1" s="746"/>
      <c r="AW1" s="746"/>
      <c r="AX1" s="746"/>
      <c r="AY1" s="746"/>
      <c r="AZ1" s="746"/>
      <c r="BA1" s="746"/>
      <c r="BB1" s="746"/>
      <c r="BC1" s="746"/>
      <c r="BD1" s="746"/>
      <c r="BE1" s="746"/>
      <c r="BF1" s="746"/>
      <c r="BG1" s="746"/>
      <c r="BH1" s="746"/>
      <c r="BI1" s="746"/>
      <c r="BJ1" s="746"/>
      <c r="BK1" s="746"/>
      <c r="BL1" s="746"/>
      <c r="BM1" s="746"/>
      <c r="BN1" s="746"/>
      <c r="BO1" s="746"/>
      <c r="BP1" s="746"/>
      <c r="BQ1" s="746"/>
      <c r="BR1" s="746"/>
      <c r="BS1" s="746"/>
      <c r="BT1" s="746"/>
      <c r="BU1" s="746"/>
      <c r="BV1" s="746"/>
      <c r="BW1" s="746"/>
      <c r="BX1" s="746"/>
      <c r="BY1" s="746"/>
      <c r="BZ1" s="746"/>
      <c r="CA1" s="746"/>
      <c r="CB1" s="746"/>
      <c r="CC1" s="746"/>
      <c r="CD1" s="746"/>
      <c r="CE1" s="746"/>
      <c r="CF1" s="746"/>
      <c r="CG1" s="746"/>
      <c r="CH1" s="746"/>
      <c r="CI1" s="746"/>
      <c r="CJ1" s="746"/>
      <c r="CK1" s="746"/>
      <c r="CL1" s="746"/>
      <c r="CM1" s="746"/>
      <c r="CN1" s="746"/>
      <c r="CO1" s="746"/>
      <c r="CP1" s="746"/>
      <c r="CQ1" s="746"/>
      <c r="CR1" s="746"/>
      <c r="CS1" s="746"/>
      <c r="CT1" s="746"/>
      <c r="CU1" s="746"/>
      <c r="CV1" s="746"/>
      <c r="CW1" s="746"/>
      <c r="CX1" s="746"/>
      <c r="CY1" s="746"/>
      <c r="CZ1" s="746"/>
      <c r="DA1" s="746"/>
      <c r="DB1" s="746"/>
      <c r="DC1" s="746"/>
      <c r="DD1" s="746"/>
      <c r="DE1" s="746"/>
      <c r="DF1" s="746"/>
      <c r="DG1" s="746"/>
      <c r="DH1" s="746"/>
      <c r="DI1" s="746"/>
      <c r="DJ1" s="746"/>
      <c r="DK1" s="746"/>
      <c r="DL1" s="746"/>
      <c r="DM1" s="746"/>
      <c r="DN1" s="746"/>
      <c r="DO1" s="746"/>
      <c r="DP1" s="746"/>
      <c r="DQ1" s="746"/>
      <c r="DR1" s="746"/>
      <c r="DS1" s="746"/>
      <c r="DT1" s="746"/>
      <c r="DU1" s="746"/>
      <c r="DV1" s="746"/>
      <c r="DW1" s="746"/>
      <c r="DX1" s="746"/>
      <c r="DY1" s="746"/>
      <c r="DZ1" s="746"/>
      <c r="EA1" s="746"/>
      <c r="EB1" s="746"/>
      <c r="EC1" s="746"/>
      <c r="ED1" s="746"/>
      <c r="EE1" s="746"/>
      <c r="EF1" s="746"/>
      <c r="EG1" s="746"/>
      <c r="EH1" s="746"/>
      <c r="EI1" s="746"/>
      <c r="EJ1" s="746"/>
      <c r="EK1" s="746"/>
      <c r="EL1" s="746"/>
      <c r="EM1" s="746"/>
      <c r="EN1" s="746"/>
      <c r="EO1" s="746"/>
      <c r="EP1" s="746"/>
      <c r="EQ1" s="746"/>
      <c r="ER1" s="746"/>
      <c r="ES1" s="746"/>
      <c r="ET1" s="746"/>
      <c r="EU1" s="746"/>
      <c r="EV1" s="746"/>
      <c r="EW1" s="746"/>
      <c r="EX1" s="746"/>
      <c r="EY1" s="746"/>
      <c r="EZ1" s="746"/>
      <c r="FA1" s="746"/>
      <c r="FB1" s="746"/>
      <c r="FC1" s="746"/>
      <c r="FD1" s="746"/>
      <c r="FE1" s="746"/>
      <c r="FF1" s="746"/>
      <c r="FG1" s="746"/>
      <c r="FH1" s="746"/>
      <c r="FI1" s="746"/>
      <c r="FJ1" s="746"/>
      <c r="FK1" s="746"/>
      <c r="FL1" s="746"/>
      <c r="FM1" s="746"/>
      <c r="FN1" s="746"/>
      <c r="FO1" s="746"/>
      <c r="FP1" s="746"/>
      <c r="FQ1" s="746"/>
      <c r="FR1" s="746"/>
      <c r="FS1" s="746"/>
      <c r="FT1" s="746"/>
      <c r="FU1" s="746"/>
      <c r="FV1" s="746"/>
      <c r="FW1" s="746"/>
      <c r="FX1" s="746"/>
      <c r="FY1" s="746"/>
      <c r="FZ1" s="746"/>
      <c r="GA1" s="746"/>
      <c r="GB1" s="746"/>
      <c r="GC1" s="746"/>
      <c r="GD1" s="746"/>
      <c r="GE1" s="746"/>
      <c r="GF1" s="746"/>
      <c r="GG1" s="746"/>
      <c r="GH1" s="746"/>
      <c r="GI1" s="746"/>
      <c r="GJ1" s="746"/>
      <c r="GK1" s="746"/>
      <c r="GL1" s="746"/>
      <c r="GM1" s="746"/>
      <c r="GN1" s="746"/>
      <c r="GO1" s="746"/>
      <c r="GP1" s="746"/>
      <c r="GQ1" s="746"/>
      <c r="GR1" s="746"/>
      <c r="GS1" s="746"/>
      <c r="GT1" s="746"/>
      <c r="GU1" s="746"/>
      <c r="GV1" s="746"/>
      <c r="GW1" s="746"/>
      <c r="GX1" s="746"/>
      <c r="GY1" s="746"/>
      <c r="GZ1" s="746"/>
      <c r="HA1" s="746"/>
      <c r="HB1" s="746"/>
      <c r="HC1" s="746"/>
      <c r="HD1" s="746"/>
      <c r="HE1" s="746"/>
      <c r="HF1" s="746"/>
      <c r="HG1" s="746"/>
      <c r="HH1" s="746"/>
      <c r="HI1" s="746"/>
      <c r="HJ1" s="746"/>
      <c r="HK1" s="746"/>
      <c r="HL1" s="746"/>
      <c r="HM1" s="746"/>
      <c r="HN1" s="746"/>
      <c r="HO1" s="746"/>
      <c r="HP1" s="746"/>
      <c r="HQ1" s="746"/>
      <c r="HR1" s="746"/>
      <c r="HS1" s="746"/>
      <c r="HT1" s="746"/>
      <c r="HU1" s="746"/>
      <c r="HV1" s="746"/>
      <c r="HW1" s="746"/>
      <c r="HX1" s="746"/>
      <c r="HY1" s="746"/>
      <c r="HZ1" s="746"/>
      <c r="IA1" s="746"/>
      <c r="IB1" s="746"/>
      <c r="IC1" s="746"/>
      <c r="ID1" s="746"/>
      <c r="IE1" s="746"/>
      <c r="IF1" s="746"/>
      <c r="IG1" s="746"/>
      <c r="IH1" s="746"/>
      <c r="II1" s="746"/>
      <c r="IJ1" s="746"/>
      <c r="IK1" s="746"/>
      <c r="IL1" s="746"/>
      <c r="IM1" s="746"/>
      <c r="IN1" s="746"/>
      <c r="IO1" s="746"/>
      <c r="IP1" s="746"/>
      <c r="IQ1" s="746"/>
      <c r="IR1" s="746"/>
      <c r="IS1" s="746"/>
      <c r="IT1" s="746"/>
      <c r="IU1" s="746"/>
    </row>
    <row r="2" spans="1:255">
      <c r="A2" s="747" t="s">
        <v>649</v>
      </c>
      <c r="B2" s="748" t="s">
        <v>926</v>
      </c>
      <c r="C2" s="748" t="s">
        <v>927</v>
      </c>
      <c r="D2" s="748" t="s">
        <v>928</v>
      </c>
      <c r="E2" s="748" t="s">
        <v>929</v>
      </c>
      <c r="F2" s="748" t="s">
        <v>930</v>
      </c>
      <c r="G2" s="748" t="s">
        <v>931</v>
      </c>
      <c r="H2" s="748" t="s">
        <v>932</v>
      </c>
      <c r="I2" s="748" t="s">
        <v>933</v>
      </c>
    </row>
    <row r="3" spans="1:255">
      <c r="A3" s="749" t="s">
        <v>660</v>
      </c>
      <c r="B3" s="750">
        <v>23866</v>
      </c>
      <c r="C3" s="750">
        <v>1263</v>
      </c>
      <c r="D3" s="750">
        <v>913</v>
      </c>
      <c r="E3" s="751">
        <v>21372</v>
      </c>
      <c r="F3" s="751">
        <v>-1490.7</v>
      </c>
      <c r="G3" s="751">
        <f>0.16</f>
        <v>0.16</v>
      </c>
      <c r="H3" s="751">
        <v>0.1</v>
      </c>
      <c r="I3" s="751">
        <v>8.99</v>
      </c>
    </row>
    <row r="4" spans="1:255">
      <c r="A4" s="752"/>
      <c r="B4" s="469"/>
      <c r="C4" s="469"/>
      <c r="D4" s="469"/>
      <c r="E4" s="469"/>
      <c r="F4" s="469"/>
      <c r="G4" s="469"/>
      <c r="H4" s="469"/>
      <c r="I4" s="469"/>
    </row>
    <row r="5" spans="1:255">
      <c r="A5" s="747"/>
      <c r="B5" s="753" t="s">
        <v>57</v>
      </c>
      <c r="C5" s="753" t="s">
        <v>57</v>
      </c>
      <c r="D5" s="753" t="s">
        <v>57</v>
      </c>
      <c r="E5" s="753" t="s">
        <v>934</v>
      </c>
      <c r="F5" s="753" t="s">
        <v>57</v>
      </c>
      <c r="G5" s="753" t="s">
        <v>57</v>
      </c>
      <c r="H5" s="753" t="s">
        <v>935</v>
      </c>
      <c r="I5" s="753" t="s">
        <v>57</v>
      </c>
    </row>
    <row r="6" spans="1:255" s="756" customFormat="1">
      <c r="A6" s="754"/>
      <c r="B6" s="755" t="s">
        <v>936</v>
      </c>
      <c r="C6" s="755" t="s">
        <v>937</v>
      </c>
      <c r="D6" s="755" t="s">
        <v>938</v>
      </c>
      <c r="E6" s="755" t="s">
        <v>939</v>
      </c>
      <c r="F6" s="755" t="s">
        <v>940</v>
      </c>
      <c r="G6" s="755" t="s">
        <v>941</v>
      </c>
      <c r="H6" s="755" t="s">
        <v>942</v>
      </c>
      <c r="I6" s="755" t="s">
        <v>943</v>
      </c>
    </row>
    <row r="7" spans="1:255">
      <c r="A7" s="747" t="s">
        <v>944</v>
      </c>
      <c r="B7" s="14">
        <f>'[1]Trading Multiples'!B11</f>
        <v>2.5</v>
      </c>
      <c r="C7" s="14">
        <f>'[1]Trading Multiples'!C11</f>
        <v>13</v>
      </c>
      <c r="D7" s="14">
        <f>'[1]Trading Multiples'!D11</f>
        <v>22.6</v>
      </c>
      <c r="E7" s="14">
        <f>'[1]Trading Multiples'!G11</f>
        <v>2.41</v>
      </c>
      <c r="F7" s="14">
        <f>'[1]Trading Multiples'!H11</f>
        <v>18.149999999999999</v>
      </c>
      <c r="G7" s="14">
        <f>'[1]Trading Multiples'!E11</f>
        <v>28.1</v>
      </c>
      <c r="H7" s="16">
        <f>'[1]Trading Multiples'!I11</f>
        <v>26.6</v>
      </c>
      <c r="I7" s="14">
        <f>'[1]Trading Multiples'!F11</f>
        <v>16.399999999999999</v>
      </c>
    </row>
    <row r="8" spans="1:255">
      <c r="A8" s="747" t="s">
        <v>945</v>
      </c>
      <c r="B8" s="14">
        <f>'[1]Trading Multiples'!B12</f>
        <v>0.5</v>
      </c>
      <c r="C8" s="14">
        <f>'[1]Trading Multiples'!C12</f>
        <v>3.8</v>
      </c>
      <c r="D8" s="14">
        <v>7.2</v>
      </c>
      <c r="E8" s="14">
        <f>'[1]Trading Multiples'!G12</f>
        <v>0.48</v>
      </c>
      <c r="F8" s="14">
        <f>'[1]Trading Multiples'!H12</f>
        <v>6.27</v>
      </c>
      <c r="G8" s="14">
        <f>'[1]Trading Multiples'!E12</f>
        <v>9.3000000000000007</v>
      </c>
      <c r="H8" s="16">
        <f>'[1]Trading Multiples'!I12</f>
        <v>8.9700000000000006</v>
      </c>
      <c r="I8" s="14">
        <f>'[1]Trading Multiples'!F12</f>
        <v>0.3</v>
      </c>
    </row>
    <row r="9" spans="1:255">
      <c r="A9" s="747" t="s">
        <v>661</v>
      </c>
      <c r="B9" s="14">
        <f>'[1]Trading Multiples'!B13</f>
        <v>1</v>
      </c>
      <c r="C9" s="14">
        <f>'[1]Trading Multiples'!C13</f>
        <v>6.5200000000000005</v>
      </c>
      <c r="D9" s="14">
        <v>4.4479999999999995</v>
      </c>
      <c r="E9" s="14">
        <f>'[1]Trading Multiples'!G13</f>
        <v>0.56479999999999997</v>
      </c>
      <c r="F9" s="14">
        <f>'[1]Trading Multiples'!H13</f>
        <v>3.6495999999999995</v>
      </c>
      <c r="G9" s="14">
        <f>'[1]Trading Multiples'!E13</f>
        <v>14.24</v>
      </c>
      <c r="H9" s="16">
        <f>'[1]Trading Multiples'!I13</f>
        <v>6.6519999999999992</v>
      </c>
      <c r="I9" s="14">
        <f>'[1]Trading Multiples'!F13</f>
        <v>5.4399999999999995</v>
      </c>
    </row>
    <row r="10" spans="1:255">
      <c r="A10" s="747" t="s">
        <v>662</v>
      </c>
      <c r="B10" s="14">
        <f>'[1]Trading Multiples'!B14</f>
        <v>0.7</v>
      </c>
      <c r="C10" s="14">
        <f>'[1]Trading Multiples'!C14</f>
        <v>5.3</v>
      </c>
      <c r="D10" s="14">
        <v>13.4</v>
      </c>
      <c r="E10" s="14">
        <f>'[1]Trading Multiples'!G14</f>
        <v>0.72</v>
      </c>
      <c r="F10" s="14">
        <f>'[1]Trading Multiples'!H14</f>
        <v>7.08</v>
      </c>
      <c r="G10" s="14">
        <f>'[1]Trading Multiples'!E14</f>
        <v>10</v>
      </c>
      <c r="H10" s="16">
        <f>'[1]Trading Multiples'!I14</f>
        <v>12.85</v>
      </c>
      <c r="I10" s="14">
        <f>'[1]Trading Multiples'!F14</f>
        <v>3.3</v>
      </c>
    </row>
    <row r="11" spans="1:255">
      <c r="A11" s="752"/>
      <c r="B11" s="469"/>
      <c r="C11" s="469"/>
      <c r="D11" s="469"/>
      <c r="E11" s="469"/>
      <c r="F11" s="469"/>
      <c r="G11" s="469"/>
      <c r="H11" s="469"/>
      <c r="I11" s="469"/>
    </row>
    <row r="12" spans="1:255">
      <c r="A12" s="747" t="s">
        <v>946</v>
      </c>
      <c r="B12" s="753"/>
      <c r="C12" s="753"/>
      <c r="D12" s="753"/>
      <c r="E12" s="753"/>
      <c r="F12" s="753"/>
      <c r="G12" s="753"/>
      <c r="H12" s="753"/>
      <c r="I12" s="753"/>
    </row>
    <row r="13" spans="1:255">
      <c r="A13" s="749" t="s">
        <v>944</v>
      </c>
      <c r="B13" s="750">
        <f>B$3*B7</f>
        <v>59665</v>
      </c>
      <c r="C13" s="750">
        <f t="shared" ref="C13:F16" si="0">C$3*C7</f>
        <v>16419</v>
      </c>
      <c r="D13" s="750">
        <f t="shared" si="0"/>
        <v>20633.800000000003</v>
      </c>
      <c r="E13" s="750">
        <f t="shared" si="0"/>
        <v>51506.520000000004</v>
      </c>
      <c r="F13" s="750">
        <f t="shared" si="0"/>
        <v>-27056.204999999998</v>
      </c>
      <c r="G13" s="469"/>
      <c r="H13" s="469"/>
      <c r="I13" s="469"/>
    </row>
    <row r="14" spans="1:255">
      <c r="A14" s="749" t="s">
        <v>945</v>
      </c>
      <c r="B14" s="750">
        <f>B$3*B8</f>
        <v>11933</v>
      </c>
      <c r="C14" s="750">
        <f t="shared" si="0"/>
        <v>4799.3999999999996</v>
      </c>
      <c r="D14" s="750">
        <f t="shared" si="0"/>
        <v>6573.6</v>
      </c>
      <c r="E14" s="750">
        <f t="shared" si="0"/>
        <v>10258.56</v>
      </c>
      <c r="F14" s="750">
        <f t="shared" si="0"/>
        <v>-9346.6890000000003</v>
      </c>
      <c r="G14" s="469"/>
      <c r="H14" s="469"/>
      <c r="I14" s="469"/>
    </row>
    <row r="15" spans="1:255">
      <c r="A15" s="749" t="s">
        <v>661</v>
      </c>
      <c r="B15" s="750">
        <f>B$3*B9</f>
        <v>23866</v>
      </c>
      <c r="C15" s="750">
        <f>C$3*C9</f>
        <v>8234.76</v>
      </c>
      <c r="D15" s="750">
        <f t="shared" si="0"/>
        <v>4061.0239999999994</v>
      </c>
      <c r="E15" s="750">
        <f t="shared" si="0"/>
        <v>12070.9056</v>
      </c>
      <c r="F15" s="750">
        <f t="shared" si="0"/>
        <v>-5440.4587199999996</v>
      </c>
      <c r="G15" s="469"/>
      <c r="H15" s="469"/>
      <c r="I15" s="469"/>
    </row>
    <row r="16" spans="1:255">
      <c r="A16" s="749" t="s">
        <v>662</v>
      </c>
      <c r="B16" s="750">
        <f>B$3*B10</f>
        <v>16706.2</v>
      </c>
      <c r="C16" s="750">
        <f>C$3*C10</f>
        <v>6693.9</v>
      </c>
      <c r="D16" s="750">
        <f t="shared" si="0"/>
        <v>12234.2</v>
      </c>
      <c r="E16" s="750">
        <f t="shared" si="0"/>
        <v>15387.84</v>
      </c>
      <c r="F16" s="750">
        <f t="shared" si="0"/>
        <v>-10554.156000000001</v>
      </c>
      <c r="G16" s="469"/>
      <c r="H16" s="469"/>
      <c r="I16" s="469"/>
    </row>
    <row r="17" spans="1:9">
      <c r="A17" s="752"/>
      <c r="B17" s="469"/>
      <c r="C17" s="469"/>
      <c r="D17" s="469"/>
      <c r="E17" s="469"/>
      <c r="F17" s="469"/>
      <c r="G17" s="469"/>
      <c r="H17" s="469"/>
      <c r="I17" s="469"/>
    </row>
    <row r="18" spans="1:9">
      <c r="A18" s="747" t="s">
        <v>947</v>
      </c>
      <c r="B18" s="750">
        <v>1306</v>
      </c>
      <c r="C18" s="750">
        <v>1306</v>
      </c>
      <c r="D18" s="750">
        <v>1306</v>
      </c>
      <c r="E18" s="750">
        <v>1306</v>
      </c>
      <c r="F18" s="750">
        <v>1306</v>
      </c>
      <c r="G18" s="469"/>
      <c r="H18" s="469"/>
      <c r="I18" s="469"/>
    </row>
    <row r="19" spans="1:9">
      <c r="A19" s="747" t="s">
        <v>948</v>
      </c>
      <c r="B19" s="750">
        <v>6073</v>
      </c>
      <c r="C19" s="750">
        <v>6073</v>
      </c>
      <c r="D19" s="750">
        <v>6073</v>
      </c>
      <c r="E19" s="750">
        <v>6073</v>
      </c>
      <c r="F19" s="750">
        <v>6073</v>
      </c>
      <c r="G19" s="469"/>
      <c r="H19" s="469"/>
      <c r="I19" s="469"/>
    </row>
    <row r="20" spans="1:9">
      <c r="A20" s="747" t="s">
        <v>949</v>
      </c>
      <c r="B20" s="757" t="s">
        <v>47</v>
      </c>
      <c r="C20" s="757" t="s">
        <v>47</v>
      </c>
      <c r="D20" s="757" t="s">
        <v>47</v>
      </c>
      <c r="E20" s="757" t="s">
        <v>47</v>
      </c>
      <c r="F20" s="757" t="s">
        <v>47</v>
      </c>
      <c r="G20" s="469"/>
      <c r="H20" s="469"/>
      <c r="I20" s="469"/>
    </row>
    <row r="21" spans="1:9">
      <c r="A21" s="747" t="s">
        <v>950</v>
      </c>
      <c r="B21" s="757" t="s">
        <v>47</v>
      </c>
      <c r="C21" s="757" t="s">
        <v>47</v>
      </c>
      <c r="D21" s="757" t="s">
        <v>47</v>
      </c>
      <c r="E21" s="757" t="s">
        <v>47</v>
      </c>
      <c r="F21" s="757" t="s">
        <v>47</v>
      </c>
      <c r="G21" s="469"/>
      <c r="H21" s="469"/>
      <c r="I21" s="469"/>
    </row>
    <row r="22" spans="1:9">
      <c r="A22" s="752"/>
      <c r="B22" s="469"/>
      <c r="C22" s="469"/>
      <c r="D22" s="469"/>
      <c r="E22" s="469"/>
      <c r="F22" s="469"/>
      <c r="G22" s="469"/>
      <c r="H22" s="469"/>
      <c r="I22" s="469"/>
    </row>
    <row r="23" spans="1:9">
      <c r="A23" s="747" t="s">
        <v>951</v>
      </c>
      <c r="B23" s="753"/>
      <c r="C23" s="753"/>
      <c r="D23" s="753"/>
      <c r="E23" s="753"/>
      <c r="F23" s="753"/>
      <c r="G23" s="753"/>
      <c r="H23" s="753"/>
      <c r="I23" s="753"/>
    </row>
    <row r="24" spans="1:9">
      <c r="A24" s="749" t="s">
        <v>944</v>
      </c>
      <c r="B24" s="51">
        <f t="shared" ref="B24:F27" si="1">B13+B$18-B$19</f>
        <v>54898</v>
      </c>
      <c r="C24" s="51">
        <f t="shared" si="1"/>
        <v>11652</v>
      </c>
      <c r="D24" s="51">
        <f t="shared" si="1"/>
        <v>15866.800000000003</v>
      </c>
      <c r="E24" s="51">
        <f t="shared" si="1"/>
        <v>46739.520000000004</v>
      </c>
      <c r="F24" s="51">
        <f t="shared" si="1"/>
        <v>-31823.204999999998</v>
      </c>
      <c r="G24" s="751">
        <f>G$3*G7*G$29</f>
        <v>1249.8880000000001</v>
      </c>
      <c r="H24" s="751">
        <f t="shared" ref="G24:I27" si="2">H$3*H7*H$29</f>
        <v>739.48</v>
      </c>
      <c r="I24" s="751">
        <f t="shared" si="2"/>
        <v>40987.207999999991</v>
      </c>
    </row>
    <row r="25" spans="1:9">
      <c r="A25" s="749" t="s">
        <v>945</v>
      </c>
      <c r="B25" s="51">
        <f t="shared" si="1"/>
        <v>7166</v>
      </c>
      <c r="C25" s="51">
        <f t="shared" si="1"/>
        <v>32.399999999999636</v>
      </c>
      <c r="D25" s="51">
        <f t="shared" si="1"/>
        <v>1806.6000000000004</v>
      </c>
      <c r="E25" s="51">
        <f t="shared" si="1"/>
        <v>5491.5599999999995</v>
      </c>
      <c r="F25" s="51">
        <f t="shared" si="1"/>
        <v>-14113.689</v>
      </c>
      <c r="G25" s="751">
        <f t="shared" si="2"/>
        <v>413.66400000000004</v>
      </c>
      <c r="H25" s="751">
        <f t="shared" si="2"/>
        <v>249.36600000000004</v>
      </c>
      <c r="I25" s="751">
        <f t="shared" si="2"/>
        <v>749.76599999999996</v>
      </c>
    </row>
    <row r="26" spans="1:9">
      <c r="A26" s="749" t="s">
        <v>661</v>
      </c>
      <c r="B26" s="51">
        <f t="shared" si="1"/>
        <v>19099</v>
      </c>
      <c r="C26" s="51">
        <f>C15+C$18-C$19</f>
        <v>3467.76</v>
      </c>
      <c r="D26" s="51">
        <f t="shared" si="1"/>
        <v>-705.97600000000057</v>
      </c>
      <c r="E26" s="51">
        <f t="shared" si="1"/>
        <v>7303.9056</v>
      </c>
      <c r="F26" s="51">
        <f t="shared" si="1"/>
        <v>-10207.458719999999</v>
      </c>
      <c r="G26" s="751">
        <f t="shared" si="2"/>
        <v>633.39520000000005</v>
      </c>
      <c r="H26" s="751">
        <f t="shared" si="2"/>
        <v>184.9256</v>
      </c>
      <c r="I26" s="751">
        <f t="shared" si="2"/>
        <v>13595.756799999999</v>
      </c>
    </row>
    <row r="27" spans="1:9">
      <c r="A27" s="749" t="s">
        <v>662</v>
      </c>
      <c r="B27" s="51">
        <f t="shared" si="1"/>
        <v>11939.2</v>
      </c>
      <c r="C27" s="51">
        <f t="shared" si="1"/>
        <v>1926.8999999999996</v>
      </c>
      <c r="D27" s="51">
        <f t="shared" si="1"/>
        <v>7467.2000000000007</v>
      </c>
      <c r="E27" s="51">
        <f t="shared" si="1"/>
        <v>10620.84</v>
      </c>
      <c r="F27" s="51">
        <f>F16+F$18-F$19</f>
        <v>-15321.156000000001</v>
      </c>
      <c r="G27" s="751">
        <f t="shared" si="2"/>
        <v>444.8</v>
      </c>
      <c r="H27" s="751">
        <f t="shared" si="2"/>
        <v>357.23</v>
      </c>
      <c r="I27" s="751">
        <f t="shared" si="2"/>
        <v>8247.4259999999995</v>
      </c>
    </row>
    <row r="28" spans="1:9">
      <c r="A28" s="752"/>
      <c r="B28" s="469"/>
      <c r="C28" s="469"/>
      <c r="D28" s="469"/>
      <c r="E28" s="469"/>
      <c r="F28" s="469"/>
      <c r="G28" s="469"/>
      <c r="H28" s="469"/>
      <c r="I28" s="469"/>
    </row>
    <row r="29" spans="1:9">
      <c r="A29" s="747" t="s">
        <v>952</v>
      </c>
      <c r="B29" s="751">
        <v>278</v>
      </c>
      <c r="C29" s="751">
        <v>278</v>
      </c>
      <c r="D29" s="751">
        <v>278</v>
      </c>
      <c r="E29" s="751">
        <v>278</v>
      </c>
      <c r="F29" s="751">
        <v>278</v>
      </c>
      <c r="G29" s="751">
        <v>278</v>
      </c>
      <c r="H29" s="751">
        <v>278</v>
      </c>
      <c r="I29" s="751">
        <v>278</v>
      </c>
    </row>
    <row r="30" spans="1:9">
      <c r="A30" s="752"/>
      <c r="B30" s="469"/>
      <c r="C30" s="469"/>
      <c r="D30" s="469"/>
      <c r="E30" s="469"/>
      <c r="F30" s="469"/>
      <c r="G30" s="469"/>
      <c r="H30" s="469"/>
      <c r="I30" s="469"/>
    </row>
    <row r="31" spans="1:9">
      <c r="A31" s="747" t="s">
        <v>953</v>
      </c>
      <c r="B31" s="753"/>
      <c r="C31" s="753"/>
      <c r="D31" s="753"/>
      <c r="E31" s="753"/>
      <c r="F31" s="753"/>
      <c r="G31" s="753"/>
      <c r="H31" s="753"/>
      <c r="I31" s="753"/>
    </row>
    <row r="32" spans="1:9">
      <c r="A32" s="749" t="s">
        <v>944</v>
      </c>
      <c r="B32" s="750">
        <f t="shared" ref="B32:I35" si="3">B24/B$29</f>
        <v>197.4748201438849</v>
      </c>
      <c r="C32" s="750">
        <f t="shared" si="3"/>
        <v>41.913669064748198</v>
      </c>
      <c r="D32" s="750">
        <f t="shared" si="3"/>
        <v>57.074820143884899</v>
      </c>
      <c r="E32" s="750">
        <f t="shared" si="3"/>
        <v>168.12776978417267</v>
      </c>
      <c r="F32" s="750">
        <f t="shared" si="3"/>
        <v>-114.47196043165467</v>
      </c>
      <c r="G32" s="750">
        <f t="shared" si="3"/>
        <v>4.4960000000000004</v>
      </c>
      <c r="H32" s="750">
        <f t="shared" si="3"/>
        <v>2.66</v>
      </c>
      <c r="I32" s="750">
        <f t="shared" si="3"/>
        <v>147.43599999999998</v>
      </c>
    </row>
    <row r="33" spans="1:9">
      <c r="A33" s="749" t="s">
        <v>945</v>
      </c>
      <c r="B33" s="750">
        <f t="shared" si="3"/>
        <v>25.776978417266186</v>
      </c>
      <c r="C33" s="750">
        <f t="shared" si="3"/>
        <v>0.11654676258992674</v>
      </c>
      <c r="D33" s="750">
        <f t="shared" si="3"/>
        <v>6.4985611510791381</v>
      </c>
      <c r="E33" s="750">
        <f t="shared" si="3"/>
        <v>19.753812949640285</v>
      </c>
      <c r="F33" s="750">
        <f t="shared" si="3"/>
        <v>-50.768665467625901</v>
      </c>
      <c r="G33" s="750">
        <f t="shared" si="3"/>
        <v>1.4880000000000002</v>
      </c>
      <c r="H33" s="750">
        <f t="shared" si="3"/>
        <v>0.89700000000000013</v>
      </c>
      <c r="I33" s="750">
        <f t="shared" si="3"/>
        <v>2.6970000000000001</v>
      </c>
    </row>
    <row r="34" spans="1:9">
      <c r="A34" s="749" t="s">
        <v>661</v>
      </c>
      <c r="B34" s="750">
        <f t="shared" si="3"/>
        <v>68.701438848920859</v>
      </c>
      <c r="C34" s="750">
        <f t="shared" si="3"/>
        <v>12.473956834532375</v>
      </c>
      <c r="D34" s="750">
        <f t="shared" si="3"/>
        <v>-2.5394820143884913</v>
      </c>
      <c r="E34" s="750">
        <f t="shared" si="3"/>
        <v>26.273041726618704</v>
      </c>
      <c r="F34" s="750">
        <f t="shared" si="3"/>
        <v>-36.717477410071936</v>
      </c>
      <c r="G34" s="750">
        <f t="shared" si="3"/>
        <v>2.2784</v>
      </c>
      <c r="H34" s="750">
        <f t="shared" si="3"/>
        <v>0.66520000000000001</v>
      </c>
      <c r="I34" s="750">
        <f t="shared" si="3"/>
        <v>48.9056</v>
      </c>
    </row>
    <row r="35" spans="1:9">
      <c r="A35" s="749" t="s">
        <v>662</v>
      </c>
      <c r="B35" s="750">
        <f t="shared" si="3"/>
        <v>42.946762589928063</v>
      </c>
      <c r="C35" s="750">
        <f t="shared" si="3"/>
        <v>6.9312949640287753</v>
      </c>
      <c r="D35" s="750">
        <f t="shared" si="3"/>
        <v>26.860431654676262</v>
      </c>
      <c r="E35" s="750">
        <f t="shared" si="3"/>
        <v>38.204460431654674</v>
      </c>
      <c r="F35" s="750">
        <f t="shared" si="3"/>
        <v>-55.112071942446043</v>
      </c>
      <c r="G35" s="750">
        <f t="shared" si="3"/>
        <v>1.6</v>
      </c>
      <c r="H35" s="750">
        <f t="shared" si="3"/>
        <v>1.2850000000000001</v>
      </c>
      <c r="I35" s="750">
        <f t="shared" si="3"/>
        <v>29.666999999999998</v>
      </c>
    </row>
    <row r="36" spans="1:9">
      <c r="A36" s="752"/>
      <c r="B36" s="469"/>
      <c r="C36" s="469"/>
      <c r="D36" s="469"/>
      <c r="E36" s="469"/>
      <c r="F36" s="469"/>
      <c r="G36" s="469"/>
      <c r="H36" s="469"/>
      <c r="I36" s="469"/>
    </row>
    <row r="37" spans="1:9">
      <c r="A37" s="747" t="s">
        <v>954</v>
      </c>
      <c r="B37" s="748" t="s">
        <v>599</v>
      </c>
      <c r="C37" s="748" t="s">
        <v>955</v>
      </c>
      <c r="D37" s="753"/>
      <c r="E37" s="753"/>
      <c r="F37" s="753"/>
      <c r="G37" s="753"/>
      <c r="H37" s="753"/>
      <c r="I37" s="753"/>
    </row>
    <row r="38" spans="1:9">
      <c r="A38" s="747" t="s">
        <v>944</v>
      </c>
      <c r="B38" s="758">
        <f>AVERAGE(B24:I24)</f>
        <v>17538.711374999999</v>
      </c>
      <c r="C38" s="758">
        <f>B38/C$29</f>
        <v>63.088889838129489</v>
      </c>
      <c r="D38" s="469"/>
      <c r="E38" s="469"/>
      <c r="F38" s="469"/>
      <c r="G38" s="469"/>
      <c r="H38" s="469"/>
      <c r="I38" s="469"/>
    </row>
    <row r="39" spans="1:9">
      <c r="A39" s="747" t="s">
        <v>945</v>
      </c>
      <c r="B39" s="758">
        <f>AVERAGE(B25:I25)</f>
        <v>224.45837499999988</v>
      </c>
      <c r="C39" s="758">
        <f>B39/C$29</f>
        <v>0.80740422661870459</v>
      </c>
      <c r="D39" s="469"/>
      <c r="E39" s="469"/>
      <c r="F39" s="469"/>
      <c r="G39" s="469"/>
      <c r="H39" s="469"/>
      <c r="I39" s="469"/>
    </row>
    <row r="40" spans="1:9">
      <c r="A40" s="747" t="s">
        <v>661</v>
      </c>
      <c r="B40" s="758">
        <f>AVERAGE(B26:I26)</f>
        <v>4171.4135599999991</v>
      </c>
      <c r="C40" s="758">
        <f>B40/C$29</f>
        <v>15.005084748201435</v>
      </c>
      <c r="D40" s="469"/>
      <c r="E40" s="469"/>
      <c r="F40" s="469"/>
      <c r="G40" s="469"/>
      <c r="H40" s="469"/>
      <c r="I40" s="469"/>
    </row>
    <row r="41" spans="1:9">
      <c r="A41" s="747" t="s">
        <v>662</v>
      </c>
      <c r="B41" s="758">
        <f>AVERAGE(B27:I27)</f>
        <v>3210.3050000000003</v>
      </c>
      <c r="C41" s="758">
        <f>B41/C$29</f>
        <v>11.547859712230217</v>
      </c>
      <c r="D41" s="469"/>
      <c r="E41" s="469"/>
      <c r="F41" s="469"/>
      <c r="G41" s="469"/>
      <c r="H41" s="469"/>
      <c r="I41" s="469"/>
    </row>
    <row r="42" spans="1:9">
      <c r="A42" s="759"/>
      <c r="B42" s="11"/>
      <c r="C42" s="11"/>
      <c r="D42" s="11"/>
      <c r="E42" s="11"/>
      <c r="F42" s="11"/>
      <c r="G42" s="11"/>
      <c r="H42" s="11"/>
      <c r="I42" s="11"/>
    </row>
    <row r="43" spans="1:9">
      <c r="A43" s="760"/>
    </row>
    <row r="57" spans="1:3">
      <c r="A57" s="773"/>
      <c r="B57" s="774"/>
      <c r="C57" s="774"/>
    </row>
  </sheetData>
  <mergeCells count="1">
    <mergeCell ref="A57:C57"/>
  </mergeCells>
  <pageMargins left="0.2" right="0.2" top="0.5" bottom="0.5" header="0.5" footer="0.5"/>
  <pageSetup fitToWidth="0"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DB0D-6C48-F449-AC72-3EC6FC12FBFF}">
  <sheetPr codeName="Sheet1"/>
  <dimension ref="A1:E8"/>
  <sheetViews>
    <sheetView zoomScale="150" workbookViewId="0">
      <selection activeCell="G6" sqref="G6"/>
    </sheetView>
  </sheetViews>
  <sheetFormatPr defaultColWidth="11" defaultRowHeight="15.75"/>
  <cols>
    <col min="1" max="1" width="19.6875" customWidth="1"/>
    <col min="2" max="2" width="19" customWidth="1"/>
    <col min="5" max="5" width="16.1875" customWidth="1"/>
  </cols>
  <sheetData>
    <row r="1" spans="1:5" ht="16.899999999999999">
      <c r="A1" s="7" t="s">
        <v>0</v>
      </c>
    </row>
    <row r="2" spans="1:5">
      <c r="A2" s="8" t="s">
        <v>1</v>
      </c>
    </row>
    <row r="3" spans="1:5">
      <c r="A3" s="8"/>
    </row>
    <row r="4" spans="1:5">
      <c r="A4" s="1" t="s">
        <v>2</v>
      </c>
      <c r="B4" s="3" t="s">
        <v>3</v>
      </c>
      <c r="C4" s="2"/>
      <c r="D4" s="1" t="s">
        <v>4</v>
      </c>
      <c r="E4" s="3" t="s">
        <v>5</v>
      </c>
    </row>
    <row r="5" spans="1:5">
      <c r="A5" s="1" t="s">
        <v>6</v>
      </c>
      <c r="B5" s="3" t="s">
        <v>7</v>
      </c>
      <c r="C5" s="4"/>
      <c r="D5" s="1" t="s">
        <v>8</v>
      </c>
      <c r="E5" s="3" t="s">
        <v>9</v>
      </c>
    </row>
    <row r="6" spans="1:5">
      <c r="A6" s="1" t="s">
        <v>10</v>
      </c>
      <c r="B6" s="3" t="s">
        <v>11</v>
      </c>
      <c r="C6" s="4"/>
      <c r="D6" s="1" t="s">
        <v>12</v>
      </c>
      <c r="E6" s="3" t="s">
        <v>13</v>
      </c>
    </row>
    <row r="7" spans="1:5">
      <c r="A7" s="1" t="s">
        <v>14</v>
      </c>
      <c r="B7" s="3" t="s">
        <v>15</v>
      </c>
      <c r="C7" s="4"/>
      <c r="D7" s="1" t="s">
        <v>16</v>
      </c>
      <c r="E7" s="5" t="s">
        <v>17</v>
      </c>
    </row>
    <row r="8" spans="1:5">
      <c r="A8" s="1" t="s">
        <v>18</v>
      </c>
      <c r="B8" s="3" t="s">
        <v>19</v>
      </c>
      <c r="C8" s="4"/>
      <c r="D8" s="6"/>
      <c r="E8"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7A924-935B-7C49-8311-3CB913DB7862}">
  <sheetPr codeName="Sheet2">
    <outlinePr summaryBelow="0" summaryRight="0"/>
    <pageSetUpPr autoPageBreaks="0"/>
  </sheetPr>
  <dimension ref="A5:IU91"/>
  <sheetViews>
    <sheetView topLeftCell="A27" zoomScale="175" zoomScaleNormal="100" workbookViewId="0">
      <selection activeCell="F55" sqref="F55"/>
    </sheetView>
  </sheetViews>
  <sheetFormatPr defaultColWidth="10.8125" defaultRowHeight="10.15"/>
  <cols>
    <col min="1" max="1" width="45.8125" style="9" customWidth="1"/>
    <col min="2" max="9" width="14.8125" style="9" customWidth="1"/>
    <col min="10" max="256" width="8.8125" style="9" customWidth="1"/>
    <col min="257" max="16384" width="10.8125" style="9"/>
  </cols>
  <sheetData>
    <row r="5" spans="1:255" ht="16.149999999999999">
      <c r="A5" s="33" t="s">
        <v>20</v>
      </c>
    </row>
    <row r="7" spans="1:255">
      <c r="A7" s="32" t="s">
        <v>21</v>
      </c>
      <c r="B7" s="30" t="s">
        <v>10</v>
      </c>
      <c r="C7" s="9" t="s">
        <v>11</v>
      </c>
      <c r="D7" s="12" t="s">
        <v>22</v>
      </c>
      <c r="E7" s="30" t="s">
        <v>12</v>
      </c>
      <c r="F7" s="9" t="s">
        <v>13</v>
      </c>
    </row>
    <row r="8" spans="1:255">
      <c r="A8" s="12"/>
      <c r="B8" s="30" t="s">
        <v>8</v>
      </c>
      <c r="C8" s="9" t="s">
        <v>9</v>
      </c>
      <c r="D8" s="12" t="s">
        <v>22</v>
      </c>
      <c r="E8" s="30" t="s">
        <v>14</v>
      </c>
      <c r="F8" s="9" t="s">
        <v>15</v>
      </c>
    </row>
    <row r="9" spans="1:255">
      <c r="A9" s="12"/>
      <c r="B9" s="30" t="s">
        <v>16</v>
      </c>
      <c r="C9" s="31" t="s">
        <v>17</v>
      </c>
      <c r="D9" s="12" t="s">
        <v>22</v>
      </c>
      <c r="E9" s="30" t="s">
        <v>23</v>
      </c>
      <c r="F9" s="9" t="s">
        <v>24</v>
      </c>
    </row>
    <row r="12" spans="1:255" ht="17" customHeight="1">
      <c r="A12" s="18" t="s">
        <v>25</v>
      </c>
      <c r="B12" s="18" t="s">
        <v>26</v>
      </c>
      <c r="C12" s="18" t="s">
        <v>27</v>
      </c>
      <c r="D12" s="18" t="s">
        <v>28</v>
      </c>
      <c r="E12" s="18" t="s">
        <v>29</v>
      </c>
      <c r="F12" s="18" t="s">
        <v>30</v>
      </c>
      <c r="G12" s="18" t="s">
        <v>31</v>
      </c>
      <c r="H12" s="18" t="s">
        <v>32</v>
      </c>
      <c r="I12" s="18" t="s">
        <v>33</v>
      </c>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c r="HJ12" s="17"/>
      <c r="HK12" s="17"/>
      <c r="HL12" s="17"/>
      <c r="HM12" s="17"/>
      <c r="HN12" s="17"/>
      <c r="HO12" s="17"/>
      <c r="HP12" s="17"/>
      <c r="HQ12" s="17"/>
      <c r="HR12" s="17"/>
      <c r="HS12" s="17"/>
      <c r="HT12" s="17"/>
      <c r="HU12" s="17"/>
      <c r="HV12" s="17"/>
      <c r="HW12" s="17"/>
      <c r="HX12" s="17"/>
      <c r="HY12" s="17"/>
      <c r="HZ12" s="17"/>
      <c r="IA12" s="17"/>
      <c r="IB12" s="17"/>
      <c r="IC12" s="17"/>
      <c r="ID12" s="17"/>
      <c r="IE12" s="17"/>
      <c r="IF12" s="17"/>
      <c r="IG12" s="17"/>
      <c r="IH12" s="17"/>
      <c r="II12" s="17"/>
      <c r="IJ12" s="17"/>
      <c r="IK12" s="17"/>
      <c r="IL12" s="17"/>
      <c r="IM12" s="17"/>
      <c r="IN12" s="17"/>
      <c r="IO12" s="17"/>
      <c r="IP12" s="17"/>
      <c r="IQ12" s="17"/>
      <c r="IR12" s="17"/>
      <c r="IS12" s="17"/>
      <c r="IT12" s="17"/>
      <c r="IU12" s="17"/>
    </row>
    <row r="13" spans="1:255" ht="20.25">
      <c r="A13" s="115" t="s">
        <v>34</v>
      </c>
      <c r="B13" s="116" t="s">
        <v>35</v>
      </c>
      <c r="C13" s="116" t="s">
        <v>36</v>
      </c>
      <c r="D13" s="116" t="s">
        <v>37</v>
      </c>
      <c r="E13" s="116" t="s">
        <v>38</v>
      </c>
      <c r="F13" s="116" t="s">
        <v>39</v>
      </c>
      <c r="G13" s="116" t="s">
        <v>40</v>
      </c>
      <c r="H13" s="116" t="s">
        <v>41</v>
      </c>
      <c r="I13" s="116" t="s">
        <v>42</v>
      </c>
    </row>
    <row r="14" spans="1:255">
      <c r="A14" s="112" t="s">
        <v>43</v>
      </c>
      <c r="B14" s="113" t="s">
        <v>44</v>
      </c>
      <c r="C14" s="113" t="s">
        <v>44</v>
      </c>
      <c r="D14" s="113" t="s">
        <v>44</v>
      </c>
      <c r="E14" s="113" t="s">
        <v>44</v>
      </c>
      <c r="F14" s="113" t="s">
        <v>44</v>
      </c>
      <c r="G14" s="113" t="s">
        <v>44</v>
      </c>
      <c r="H14" s="113" t="s">
        <v>44</v>
      </c>
      <c r="I14" s="113" t="s">
        <v>44</v>
      </c>
    </row>
    <row r="15" spans="1:255">
      <c r="A15" s="15"/>
      <c r="B15" s="12"/>
      <c r="C15" s="12"/>
      <c r="D15" s="12"/>
      <c r="E15" s="12"/>
      <c r="F15" s="12"/>
      <c r="G15" s="12"/>
      <c r="H15" s="12"/>
      <c r="I15" s="12"/>
    </row>
    <row r="16" spans="1:255">
      <c r="A16" s="15" t="s">
        <v>45</v>
      </c>
      <c r="B16" s="20">
        <v>25739</v>
      </c>
      <c r="C16" s="20">
        <v>25331</v>
      </c>
      <c r="D16" s="20">
        <v>18097</v>
      </c>
      <c r="E16" s="20">
        <v>25399</v>
      </c>
      <c r="F16" s="20">
        <v>25449</v>
      </c>
      <c r="G16" s="20">
        <v>23866</v>
      </c>
      <c r="H16" s="20">
        <v>23006</v>
      </c>
      <c r="I16" s="28">
        <v>21240.83714</v>
      </c>
    </row>
    <row r="17" spans="1:9">
      <c r="A17" s="27" t="s">
        <v>46</v>
      </c>
      <c r="B17" s="26">
        <v>3.8219999999999999E-3</v>
      </c>
      <c r="C17" s="26">
        <v>-1.5852000000000002E-2</v>
      </c>
      <c r="D17" s="26">
        <v>-0.28557900000000003</v>
      </c>
      <c r="E17" s="26">
        <v>0.40349200000000002</v>
      </c>
      <c r="F17" s="26">
        <v>1.9680000000000001E-3</v>
      </c>
      <c r="G17" s="26">
        <v>-6.2203000000000001E-2</v>
      </c>
      <c r="H17" s="26">
        <v>-3.6034999999999998E-2</v>
      </c>
      <c r="I17" s="25" t="s">
        <v>47</v>
      </c>
    </row>
    <row r="18" spans="1:9">
      <c r="A18" s="12"/>
      <c r="B18" s="12"/>
      <c r="C18" s="12"/>
      <c r="D18" s="12"/>
      <c r="E18" s="12"/>
      <c r="F18" s="12"/>
      <c r="G18" s="12"/>
      <c r="H18" s="12"/>
      <c r="I18" s="12"/>
    </row>
    <row r="19" spans="1:9">
      <c r="A19" s="15" t="s">
        <v>48</v>
      </c>
      <c r="B19" s="20">
        <v>10524</v>
      </c>
      <c r="C19" s="20">
        <v>10160</v>
      </c>
      <c r="D19" s="20">
        <v>5811</v>
      </c>
      <c r="E19" s="20">
        <v>10443</v>
      </c>
      <c r="F19" s="20">
        <v>10102</v>
      </c>
      <c r="G19" s="20">
        <v>9642</v>
      </c>
      <c r="H19" s="20">
        <v>9266</v>
      </c>
      <c r="I19" s="20" t="s">
        <v>47</v>
      </c>
    </row>
    <row r="20" spans="1:9">
      <c r="A20" s="27" t="s">
        <v>49</v>
      </c>
      <c r="B20" s="26">
        <v>0.40887299999999999</v>
      </c>
      <c r="C20" s="26">
        <v>0.40108899999999997</v>
      </c>
      <c r="D20" s="26">
        <v>0.321102</v>
      </c>
      <c r="E20" s="26">
        <v>0.41115699999999999</v>
      </c>
      <c r="F20" s="26">
        <v>0.39695000000000003</v>
      </c>
      <c r="G20" s="26">
        <v>0.404005</v>
      </c>
      <c r="H20" s="26">
        <v>0.40276400000000001</v>
      </c>
      <c r="I20" s="29">
        <v>0.39050000000000001</v>
      </c>
    </row>
    <row r="21" spans="1:9">
      <c r="A21" s="12"/>
      <c r="B21" s="12"/>
      <c r="C21" s="12"/>
      <c r="D21" s="12"/>
      <c r="E21" s="12"/>
      <c r="F21" s="12"/>
      <c r="G21" s="12"/>
      <c r="H21" s="12"/>
      <c r="I21" s="12"/>
    </row>
    <row r="22" spans="1:9">
      <c r="A22" s="15" t="s">
        <v>50</v>
      </c>
      <c r="B22" s="20">
        <v>2198</v>
      </c>
      <c r="C22" s="20">
        <v>1855</v>
      </c>
      <c r="D22" s="20">
        <v>-211</v>
      </c>
      <c r="E22" s="20">
        <v>2970</v>
      </c>
      <c r="F22" s="20">
        <v>2262</v>
      </c>
      <c r="G22" s="20">
        <v>1891</v>
      </c>
      <c r="H22" s="20">
        <v>1484</v>
      </c>
      <c r="I22" s="28">
        <v>1820.52826</v>
      </c>
    </row>
    <row r="23" spans="1:9">
      <c r="A23" s="27" t="s">
        <v>49</v>
      </c>
      <c r="B23" s="26">
        <v>8.5394999999999999E-2</v>
      </c>
      <c r="C23" s="26">
        <v>7.3230000000000003E-2</v>
      </c>
      <c r="D23" s="26">
        <v>-1.1658999999999999E-2</v>
      </c>
      <c r="E23" s="26">
        <v>0.116933</v>
      </c>
      <c r="F23" s="26">
        <v>8.8883000000000004E-2</v>
      </c>
      <c r="G23" s="26">
        <v>7.9233999999999999E-2</v>
      </c>
      <c r="H23" s="26">
        <v>6.4504000000000006E-2</v>
      </c>
      <c r="I23" s="29">
        <v>8.5708875219999994E-2</v>
      </c>
    </row>
    <row r="24" spans="1:9">
      <c r="A24" s="12"/>
      <c r="B24" s="12"/>
      <c r="C24" s="12"/>
      <c r="D24" s="12"/>
      <c r="E24" s="12"/>
      <c r="F24" s="12"/>
      <c r="G24" s="12"/>
      <c r="H24" s="12"/>
      <c r="I24" s="12"/>
    </row>
    <row r="25" spans="1:9">
      <c r="A25" s="15" t="s">
        <v>51</v>
      </c>
      <c r="B25" s="20">
        <v>1532</v>
      </c>
      <c r="C25" s="20">
        <v>1159</v>
      </c>
      <c r="D25" s="20">
        <v>-902</v>
      </c>
      <c r="E25" s="20">
        <v>2334</v>
      </c>
      <c r="F25" s="20">
        <v>1640</v>
      </c>
      <c r="G25" s="20">
        <v>1263</v>
      </c>
      <c r="H25" s="20">
        <v>913</v>
      </c>
      <c r="I25" s="28">
        <v>895.74194</v>
      </c>
    </row>
    <row r="26" spans="1:9">
      <c r="A26" s="27" t="s">
        <v>49</v>
      </c>
      <c r="B26" s="26">
        <v>5.9520000000000003E-2</v>
      </c>
      <c r="C26" s="26">
        <v>4.5754000000000003E-2</v>
      </c>
      <c r="D26" s="26">
        <v>-4.9841999999999997E-2</v>
      </c>
      <c r="E26" s="26">
        <v>9.1893000000000002E-2</v>
      </c>
      <c r="F26" s="26">
        <v>6.4441999999999999E-2</v>
      </c>
      <c r="G26" s="26">
        <v>5.2920000000000002E-2</v>
      </c>
      <c r="H26" s="26">
        <v>3.9684999999999998E-2</v>
      </c>
      <c r="I26" s="29">
        <v>4.2170745629999999E-2</v>
      </c>
    </row>
    <row r="27" spans="1:9">
      <c r="A27" s="12"/>
      <c r="B27" s="12"/>
      <c r="C27" s="12"/>
      <c r="D27" s="12"/>
      <c r="E27" s="12"/>
      <c r="F27" s="12"/>
      <c r="G27" s="12"/>
      <c r="H27" s="12"/>
      <c r="I27" s="12"/>
    </row>
    <row r="28" spans="1:9">
      <c r="A28" s="15" t="s">
        <v>52</v>
      </c>
      <c r="B28" s="20">
        <v>1098</v>
      </c>
      <c r="C28" s="20">
        <v>564</v>
      </c>
      <c r="D28" s="20">
        <v>-3944</v>
      </c>
      <c r="E28" s="20">
        <v>1430</v>
      </c>
      <c r="F28" s="20">
        <v>1146</v>
      </c>
      <c r="G28" s="20">
        <v>45</v>
      </c>
      <c r="H28" s="20">
        <v>582</v>
      </c>
      <c r="I28" s="20" t="s">
        <v>47</v>
      </c>
    </row>
    <row r="29" spans="1:9">
      <c r="A29" s="27" t="s">
        <v>49</v>
      </c>
      <c r="B29" s="26">
        <v>4.2658000000000001E-2</v>
      </c>
      <c r="C29" s="26">
        <v>2.2265E-2</v>
      </c>
      <c r="D29" s="26">
        <v>-0.21793599999999999</v>
      </c>
      <c r="E29" s="26">
        <v>5.6300999999999997E-2</v>
      </c>
      <c r="F29" s="26">
        <v>4.5031000000000002E-2</v>
      </c>
      <c r="G29" s="26">
        <v>1.885E-3</v>
      </c>
      <c r="H29" s="26">
        <v>2.5297E-2</v>
      </c>
      <c r="I29" s="25" t="s">
        <v>47</v>
      </c>
    </row>
    <row r="30" spans="1:9">
      <c r="A30" s="12"/>
      <c r="B30" s="12"/>
      <c r="C30" s="12"/>
      <c r="D30" s="12"/>
      <c r="E30" s="12"/>
      <c r="F30" s="12"/>
      <c r="G30" s="12"/>
      <c r="H30" s="12"/>
      <c r="I30" s="12"/>
    </row>
    <row r="31" spans="1:9">
      <c r="A31" s="15" t="s">
        <v>53</v>
      </c>
      <c r="B31" s="20">
        <v>1108</v>
      </c>
      <c r="C31" s="20">
        <v>564</v>
      </c>
      <c r="D31" s="20">
        <v>-3944</v>
      </c>
      <c r="E31" s="20">
        <v>1430</v>
      </c>
      <c r="F31" s="20">
        <v>1146</v>
      </c>
      <c r="G31" s="20">
        <v>45</v>
      </c>
      <c r="H31" s="20">
        <v>582</v>
      </c>
      <c r="I31" s="28">
        <v>594.09608000000003</v>
      </c>
    </row>
    <row r="32" spans="1:9">
      <c r="A32" s="27" t="s">
        <v>49</v>
      </c>
      <c r="B32" s="26">
        <v>4.3047000000000002E-2</v>
      </c>
      <c r="C32" s="26">
        <v>2.2265E-2</v>
      </c>
      <c r="D32" s="26">
        <v>-0.21793599999999999</v>
      </c>
      <c r="E32" s="26">
        <v>5.6300999999999997E-2</v>
      </c>
      <c r="F32" s="26">
        <v>4.5031000000000002E-2</v>
      </c>
      <c r="G32" s="26">
        <v>1.885E-3</v>
      </c>
      <c r="H32" s="26">
        <v>2.5297E-2</v>
      </c>
      <c r="I32" s="29">
        <v>2.7969522861999999E-2</v>
      </c>
    </row>
    <row r="33" spans="1:255">
      <c r="A33" s="12"/>
      <c r="B33" s="12"/>
      <c r="C33" s="12"/>
      <c r="D33" s="12"/>
      <c r="E33" s="12"/>
      <c r="F33" s="12"/>
      <c r="G33" s="12"/>
      <c r="H33" s="12"/>
      <c r="I33" s="12"/>
    </row>
    <row r="34" spans="1:255">
      <c r="A34" s="15" t="s">
        <v>54</v>
      </c>
      <c r="B34" s="28">
        <v>3.56</v>
      </c>
      <c r="C34" s="28">
        <v>1.81</v>
      </c>
      <c r="D34" s="28">
        <v>-12.68</v>
      </c>
      <c r="E34" s="28">
        <v>4.55</v>
      </c>
      <c r="F34" s="28">
        <v>4.08</v>
      </c>
      <c r="G34" s="28">
        <v>0.16</v>
      </c>
      <c r="H34" s="28">
        <v>2.0699999999999998</v>
      </c>
      <c r="I34" s="28">
        <v>2.1139399999999999</v>
      </c>
    </row>
    <row r="35" spans="1:255">
      <c r="A35" s="27" t="s">
        <v>46</v>
      </c>
      <c r="B35" s="26">
        <v>-0.30196099999999998</v>
      </c>
      <c r="C35" s="26">
        <v>-0.49157400000000001</v>
      </c>
      <c r="D35" s="26" t="s">
        <v>55</v>
      </c>
      <c r="E35" s="26" t="s">
        <v>55</v>
      </c>
      <c r="F35" s="26">
        <v>-0.103297</v>
      </c>
      <c r="G35" s="26">
        <v>-0.960785</v>
      </c>
      <c r="H35" s="26">
        <v>11.9375</v>
      </c>
      <c r="I35" s="25" t="s">
        <v>47</v>
      </c>
    </row>
    <row r="36" spans="1:255">
      <c r="A36" s="12"/>
      <c r="B36" s="12"/>
      <c r="C36" s="12"/>
      <c r="D36" s="12"/>
      <c r="E36" s="12"/>
      <c r="F36" s="12"/>
      <c r="G36" s="12"/>
      <c r="H36" s="12"/>
      <c r="I36" s="12"/>
    </row>
    <row r="37" spans="1:255">
      <c r="A37" s="15" t="s">
        <v>56</v>
      </c>
      <c r="B37" s="24">
        <v>1.7000000000000001E-2</v>
      </c>
      <c r="C37" s="24">
        <v>-8.0000000000000002E-3</v>
      </c>
      <c r="D37" s="24">
        <v>-0.27900000000000003</v>
      </c>
      <c r="E37" s="24">
        <v>0.43</v>
      </c>
      <c r="F37" s="24">
        <v>3.0000000000000001E-3</v>
      </c>
      <c r="G37" s="24">
        <v>-6.9000000000000006E-2</v>
      </c>
      <c r="H37" s="24">
        <v>-0.02</v>
      </c>
      <c r="I37" s="23" t="s">
        <v>47</v>
      </c>
    </row>
    <row r="38" spans="1:255">
      <c r="A38" s="12"/>
      <c r="B38" s="12" t="s">
        <v>57</v>
      </c>
      <c r="C38" s="12" t="s">
        <v>57</v>
      </c>
      <c r="D38" s="12" t="s">
        <v>57</v>
      </c>
      <c r="E38" s="12" t="s">
        <v>57</v>
      </c>
      <c r="F38" s="12" t="s">
        <v>57</v>
      </c>
      <c r="G38" s="12" t="s">
        <v>57</v>
      </c>
      <c r="H38" s="12" t="s">
        <v>57</v>
      </c>
      <c r="I38" s="12" t="s">
        <v>57</v>
      </c>
    </row>
    <row r="39" spans="1:255">
      <c r="A39" s="12" t="s">
        <v>43</v>
      </c>
      <c r="B39" s="13" t="s">
        <v>44</v>
      </c>
      <c r="C39" s="13" t="s">
        <v>44</v>
      </c>
      <c r="D39" s="13" t="s">
        <v>44</v>
      </c>
      <c r="E39" s="13" t="s">
        <v>44</v>
      </c>
      <c r="F39" s="13" t="s">
        <v>44</v>
      </c>
      <c r="G39" s="13" t="s">
        <v>44</v>
      </c>
      <c r="H39" s="13" t="s">
        <v>44</v>
      </c>
      <c r="I39" s="13" t="s">
        <v>44</v>
      </c>
    </row>
    <row r="40" spans="1:255">
      <c r="A40" s="12" t="s">
        <v>58</v>
      </c>
      <c r="B40" s="21">
        <v>1</v>
      </c>
      <c r="C40" s="21">
        <v>1</v>
      </c>
      <c r="D40" s="21">
        <v>1</v>
      </c>
      <c r="E40" s="21">
        <v>1</v>
      </c>
      <c r="F40" s="21">
        <v>1</v>
      </c>
      <c r="G40" s="21">
        <v>1</v>
      </c>
      <c r="H40" s="21">
        <v>1</v>
      </c>
      <c r="I40" s="21">
        <v>1</v>
      </c>
    </row>
    <row r="41" spans="1:255">
      <c r="A41" s="12" t="s">
        <v>59</v>
      </c>
      <c r="B41" s="13" t="s">
        <v>60</v>
      </c>
      <c r="C41" s="13" t="s">
        <v>60</v>
      </c>
      <c r="D41" s="13" t="s">
        <v>60</v>
      </c>
      <c r="E41" s="13" t="s">
        <v>60</v>
      </c>
      <c r="F41" s="13" t="s">
        <v>60</v>
      </c>
      <c r="G41" s="13" t="s">
        <v>60</v>
      </c>
      <c r="H41" s="13" t="s">
        <v>60</v>
      </c>
      <c r="I41" s="13" t="s">
        <v>61</v>
      </c>
    </row>
    <row r="42" spans="1:255">
      <c r="A42" s="11"/>
      <c r="B42" s="11"/>
      <c r="C42" s="11"/>
      <c r="D42" s="11"/>
      <c r="E42" s="11"/>
      <c r="F42" s="11"/>
      <c r="G42" s="11"/>
      <c r="H42" s="11"/>
      <c r="I42" s="11"/>
    </row>
    <row r="43" spans="1:255">
      <c r="A43" s="9" t="s">
        <v>62</v>
      </c>
    </row>
    <row r="44" spans="1:255">
      <c r="A44" s="9" t="s">
        <v>63</v>
      </c>
    </row>
    <row r="45" spans="1:255">
      <c r="A45" s="9" t="s">
        <v>64</v>
      </c>
    </row>
    <row r="46" spans="1:255">
      <c r="A46" s="9" t="s">
        <v>65</v>
      </c>
    </row>
    <row r="48" spans="1:255">
      <c r="A48" s="18" t="s">
        <v>66</v>
      </c>
      <c r="B48" s="18"/>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c r="FO48" s="17"/>
      <c r="FP48" s="17"/>
      <c r="FQ48" s="17"/>
      <c r="FR48" s="17"/>
      <c r="FS48" s="17"/>
      <c r="FT48" s="17"/>
      <c r="FU48" s="17"/>
      <c r="FV48" s="17"/>
      <c r="FW48" s="17"/>
      <c r="FX48" s="17"/>
      <c r="FY48" s="17"/>
      <c r="FZ48" s="17"/>
      <c r="GA48" s="17"/>
      <c r="GB48" s="17"/>
      <c r="GC48" s="17"/>
      <c r="GD48" s="17"/>
      <c r="GE48" s="17"/>
      <c r="GF48" s="17"/>
      <c r="GG48" s="17"/>
      <c r="GH48" s="17"/>
      <c r="GI48" s="17"/>
      <c r="GJ48" s="17"/>
      <c r="GK48" s="17"/>
      <c r="GL48" s="17"/>
      <c r="GM48" s="17"/>
      <c r="GN48" s="17"/>
      <c r="GO48" s="17"/>
      <c r="GP48" s="17"/>
      <c r="GQ48" s="17"/>
      <c r="GR48" s="17"/>
      <c r="GS48" s="17"/>
      <c r="GT48" s="17"/>
      <c r="GU48" s="17"/>
      <c r="GV48" s="17"/>
      <c r="GW48" s="17"/>
      <c r="GX48" s="17"/>
      <c r="GY48" s="17"/>
      <c r="GZ48" s="17"/>
      <c r="HA48" s="17"/>
      <c r="HB48" s="17"/>
      <c r="HC48" s="17"/>
      <c r="HD48" s="17"/>
      <c r="HE48" s="17"/>
      <c r="HF48" s="17"/>
      <c r="HG48" s="17"/>
      <c r="HH48" s="17"/>
      <c r="HI48" s="17"/>
      <c r="HJ48" s="17"/>
      <c r="HK48" s="17"/>
      <c r="HL48" s="17"/>
      <c r="HM48" s="17"/>
      <c r="HN48" s="17"/>
      <c r="HO48" s="17"/>
      <c r="HP48" s="17"/>
      <c r="HQ48" s="17"/>
      <c r="HR48" s="17"/>
      <c r="HS48" s="17"/>
      <c r="HT48" s="17"/>
      <c r="HU48" s="17"/>
      <c r="HV48" s="17"/>
      <c r="HW48" s="17"/>
      <c r="HX48" s="17"/>
      <c r="HY48" s="17"/>
      <c r="HZ48" s="17"/>
      <c r="IA48" s="17"/>
      <c r="IB48" s="17"/>
      <c r="IC48" s="17"/>
      <c r="ID48" s="17"/>
      <c r="IE48" s="17"/>
      <c r="IF48" s="17"/>
      <c r="IG48" s="17"/>
      <c r="IH48" s="17"/>
      <c r="II48" s="17"/>
      <c r="IJ48" s="17"/>
      <c r="IK48" s="17"/>
      <c r="IL48" s="17"/>
      <c r="IM48" s="17"/>
      <c r="IN48" s="17"/>
      <c r="IO48" s="17"/>
      <c r="IP48" s="17"/>
      <c r="IQ48" s="17"/>
      <c r="IR48" s="17"/>
      <c r="IS48" s="17"/>
      <c r="IT48" s="17"/>
      <c r="IU48" s="17"/>
    </row>
    <row r="49" spans="1:3">
      <c r="A49" s="112" t="s">
        <v>43</v>
      </c>
      <c r="B49" s="113" t="s">
        <v>44</v>
      </c>
    </row>
    <row r="50" spans="1:3">
      <c r="A50" s="12" t="s">
        <v>67</v>
      </c>
      <c r="B50" s="22">
        <v>13.24</v>
      </c>
    </row>
    <row r="51" spans="1:3">
      <c r="A51" s="12" t="s">
        <v>68</v>
      </c>
      <c r="B51" s="21">
        <v>277.71763700000002</v>
      </c>
    </row>
    <row r="52" spans="1:3">
      <c r="A52" s="12"/>
      <c r="B52" s="12"/>
    </row>
    <row r="53" spans="1:3">
      <c r="A53" s="15" t="s">
        <v>69</v>
      </c>
      <c r="B53" s="20">
        <v>3676.9815130000002</v>
      </c>
      <c r="C53" s="771">
        <f>B53*10^6</f>
        <v>3676981513</v>
      </c>
    </row>
    <row r="54" spans="1:3">
      <c r="A54" s="12" t="s">
        <v>70</v>
      </c>
      <c r="B54" s="21">
        <v>1306</v>
      </c>
      <c r="C54" s="772">
        <f>C53/10^9</f>
        <v>3.6769815129999999</v>
      </c>
    </row>
    <row r="55" spans="1:3">
      <c r="A55" s="12" t="s">
        <v>71</v>
      </c>
      <c r="B55" s="21">
        <v>6073</v>
      </c>
    </row>
    <row r="56" spans="1:3">
      <c r="A56" s="12" t="s">
        <v>72</v>
      </c>
      <c r="B56" s="21" t="s">
        <v>47</v>
      </c>
    </row>
    <row r="57" spans="1:3">
      <c r="A57" s="12" t="s">
        <v>73</v>
      </c>
      <c r="B57" s="21" t="s">
        <v>47</v>
      </c>
    </row>
    <row r="58" spans="1:3">
      <c r="A58" s="12" t="s">
        <v>74</v>
      </c>
      <c r="B58" s="21" t="s">
        <v>47</v>
      </c>
    </row>
    <row r="59" spans="1:3">
      <c r="A59" s="15" t="s">
        <v>75</v>
      </c>
      <c r="B59" s="20">
        <v>8443.9815130000006</v>
      </c>
    </row>
    <row r="60" spans="1:3">
      <c r="A60" s="12"/>
      <c r="B60" s="12"/>
    </row>
    <row r="61" spans="1:3">
      <c r="A61" s="12" t="s">
        <v>76</v>
      </c>
      <c r="B61" s="21">
        <v>4552</v>
      </c>
    </row>
    <row r="62" spans="1:3">
      <c r="A62" s="12" t="s">
        <v>72</v>
      </c>
      <c r="B62" s="21" t="s">
        <v>47</v>
      </c>
    </row>
    <row r="63" spans="1:3">
      <c r="A63" s="12" t="s">
        <v>73</v>
      </c>
      <c r="B63" s="21" t="s">
        <v>47</v>
      </c>
    </row>
    <row r="64" spans="1:3">
      <c r="A64" s="12" t="s">
        <v>71</v>
      </c>
      <c r="B64" s="21">
        <v>6073</v>
      </c>
    </row>
    <row r="65" spans="1:255">
      <c r="A65" s="15" t="s">
        <v>77</v>
      </c>
      <c r="B65" s="20">
        <v>10625</v>
      </c>
    </row>
    <row r="66" spans="1:255">
      <c r="A66" s="12"/>
      <c r="B66" s="12"/>
    </row>
    <row r="67" spans="1:255" ht="60.75">
      <c r="A67" s="11" t="s">
        <v>78</v>
      </c>
      <c r="B67" s="11"/>
    </row>
    <row r="69" spans="1:255" ht="200" customHeight="1">
      <c r="A69" s="19"/>
    </row>
    <row r="71" spans="1:255">
      <c r="A71" s="9" t="s">
        <v>79</v>
      </c>
    </row>
    <row r="72" spans="1:255">
      <c r="A72" s="9" t="s">
        <v>80</v>
      </c>
    </row>
    <row r="73" spans="1:255">
      <c r="A73" s="9" t="s">
        <v>81</v>
      </c>
    </row>
    <row r="74" spans="1:255">
      <c r="A74" s="9" t="s">
        <v>82</v>
      </c>
    </row>
    <row r="76" spans="1:255">
      <c r="A76" s="18" t="s">
        <v>83</v>
      </c>
      <c r="B76" s="18" t="s">
        <v>31</v>
      </c>
      <c r="C76" s="18" t="s">
        <v>32</v>
      </c>
      <c r="D76" s="18" t="s">
        <v>84</v>
      </c>
      <c r="E76" s="18" t="s">
        <v>85</v>
      </c>
      <c r="F76" s="18" t="s">
        <v>86</v>
      </c>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c r="EH76" s="17"/>
      <c r="EI76" s="17"/>
      <c r="EJ76" s="17"/>
      <c r="EK76" s="17"/>
      <c r="EL76" s="17"/>
      <c r="EM76" s="17"/>
      <c r="EN76" s="17"/>
      <c r="EO76" s="17"/>
      <c r="EP76" s="17"/>
      <c r="EQ76" s="17"/>
      <c r="ER76" s="17"/>
      <c r="ES76" s="17"/>
      <c r="ET76" s="17"/>
      <c r="EU76" s="17"/>
      <c r="EV76" s="17"/>
      <c r="EW76" s="17"/>
      <c r="EX76" s="17"/>
      <c r="EY76" s="17"/>
      <c r="EZ76" s="17"/>
      <c r="FA76" s="17"/>
      <c r="FB76" s="17"/>
      <c r="FC76" s="17"/>
      <c r="FD76" s="17"/>
      <c r="FE76" s="17"/>
      <c r="FF76" s="17"/>
      <c r="FG76" s="17"/>
      <c r="FH76" s="17"/>
      <c r="FI76" s="17"/>
      <c r="FJ76" s="17"/>
      <c r="FK76" s="17"/>
      <c r="FL76" s="17"/>
      <c r="FM76" s="17"/>
      <c r="FN76" s="17"/>
      <c r="FO76" s="17"/>
      <c r="FP76" s="17"/>
      <c r="FQ76" s="17"/>
      <c r="FR76" s="17"/>
      <c r="FS76" s="17"/>
      <c r="FT76" s="17"/>
      <c r="FU76" s="17"/>
      <c r="FV76" s="17"/>
      <c r="FW76" s="17"/>
      <c r="FX76" s="17"/>
      <c r="FY76" s="17"/>
      <c r="FZ76" s="17"/>
      <c r="GA76" s="17"/>
      <c r="GB76" s="17"/>
      <c r="GC76" s="17"/>
      <c r="GD76" s="17"/>
      <c r="GE76" s="17"/>
      <c r="GF76" s="17"/>
      <c r="GG76" s="17"/>
      <c r="GH76" s="17"/>
      <c r="GI76" s="17"/>
      <c r="GJ76" s="17"/>
      <c r="GK76" s="17"/>
      <c r="GL76" s="17"/>
      <c r="GM76" s="17"/>
      <c r="GN76" s="17"/>
      <c r="GO76" s="17"/>
      <c r="GP76" s="17"/>
      <c r="GQ76" s="17"/>
      <c r="GR76" s="17"/>
      <c r="GS76" s="17"/>
      <c r="GT76" s="17"/>
      <c r="GU76" s="17"/>
      <c r="GV76" s="17"/>
      <c r="GW76" s="17"/>
      <c r="GX76" s="17"/>
      <c r="GY76" s="17"/>
      <c r="GZ76" s="17"/>
      <c r="HA76" s="17"/>
      <c r="HB76" s="17"/>
      <c r="HC76" s="17"/>
      <c r="HD76" s="17"/>
      <c r="HE76" s="17"/>
      <c r="HF76" s="17"/>
      <c r="HG76" s="17"/>
      <c r="HH76" s="17"/>
      <c r="HI76" s="17"/>
      <c r="HJ76" s="17"/>
      <c r="HK76" s="17"/>
      <c r="HL76" s="17"/>
      <c r="HM76" s="17"/>
      <c r="HN76" s="17"/>
      <c r="HO76" s="17"/>
      <c r="HP76" s="17"/>
      <c r="HQ76" s="17"/>
      <c r="HR76" s="17"/>
      <c r="HS76" s="17"/>
      <c r="HT76" s="17"/>
      <c r="HU76" s="17"/>
      <c r="HV76" s="17"/>
      <c r="HW76" s="17"/>
      <c r="HX76" s="17"/>
      <c r="HY76" s="17"/>
      <c r="HZ76" s="17"/>
      <c r="IA76" s="17"/>
      <c r="IB76" s="17"/>
      <c r="IC76" s="17"/>
      <c r="ID76" s="17"/>
      <c r="IE76" s="17"/>
      <c r="IF76" s="17"/>
      <c r="IG76" s="17"/>
      <c r="IH76" s="17"/>
      <c r="II76" s="17"/>
      <c r="IJ76" s="17"/>
      <c r="IK76" s="17"/>
      <c r="IL76" s="17"/>
      <c r="IM76" s="17"/>
      <c r="IN76" s="17"/>
      <c r="IO76" s="17"/>
      <c r="IP76" s="17"/>
      <c r="IQ76" s="17"/>
      <c r="IR76" s="17"/>
      <c r="IS76" s="17"/>
      <c r="IT76" s="17"/>
      <c r="IU76" s="17"/>
    </row>
    <row r="77" spans="1:255" ht="20.25">
      <c r="A77" s="115" t="s">
        <v>34</v>
      </c>
      <c r="B77" s="116" t="s">
        <v>40</v>
      </c>
      <c r="C77" s="116" t="s">
        <v>41</v>
      </c>
      <c r="D77" s="116" t="s">
        <v>87</v>
      </c>
      <c r="E77" s="116" t="s">
        <v>88</v>
      </c>
      <c r="F77" s="116" t="s">
        <v>89</v>
      </c>
    </row>
    <row r="78" spans="1:255">
      <c r="A78" s="15" t="s">
        <v>90</v>
      </c>
      <c r="B78" s="14">
        <v>0.35380699999999998</v>
      </c>
      <c r="C78" s="14">
        <v>0.367033</v>
      </c>
      <c r="D78" s="16">
        <v>0.39753525052799998</v>
      </c>
      <c r="E78" s="16">
        <v>0.419969721026</v>
      </c>
      <c r="F78" s="16">
        <v>0.48267613035200002</v>
      </c>
    </row>
    <row r="79" spans="1:255">
      <c r="A79" s="12"/>
      <c r="B79" s="12"/>
      <c r="C79" s="12"/>
      <c r="D79" s="12"/>
      <c r="E79" s="12"/>
      <c r="F79" s="12"/>
    </row>
    <row r="80" spans="1:255">
      <c r="A80" s="15" t="s">
        <v>91</v>
      </c>
      <c r="B80" s="14">
        <v>3.7067519999999998</v>
      </c>
      <c r="C80" s="14">
        <v>4.4986579999999998</v>
      </c>
      <c r="D80" s="16">
        <v>4.6382040308889998</v>
      </c>
      <c r="E80" s="16">
        <v>4.8038013295199997</v>
      </c>
      <c r="F80" s="16">
        <v>4.9691958988840002</v>
      </c>
    </row>
    <row r="81" spans="1:6">
      <c r="A81" s="12"/>
      <c r="B81" s="12"/>
      <c r="C81" s="12"/>
      <c r="D81" s="12"/>
      <c r="E81" s="12"/>
      <c r="F81" s="12"/>
    </row>
    <row r="82" spans="1:6">
      <c r="A82" s="15" t="s">
        <v>92</v>
      </c>
      <c r="B82" s="14">
        <v>6.6856540000000004</v>
      </c>
      <c r="C82" s="14">
        <v>9.2486099999999993</v>
      </c>
      <c r="D82" s="16">
        <v>9.4268015561269998</v>
      </c>
      <c r="E82" s="16">
        <v>9.8714635528670005</v>
      </c>
      <c r="F82" s="16">
        <v>9.8431054215570004</v>
      </c>
    </row>
    <row r="83" spans="1:6">
      <c r="A83" s="12"/>
      <c r="B83" s="12"/>
      <c r="C83" s="12"/>
      <c r="D83" s="12"/>
      <c r="E83" s="12"/>
      <c r="F83" s="12"/>
    </row>
    <row r="84" spans="1:6">
      <c r="A84" s="15" t="s">
        <v>93</v>
      </c>
      <c r="B84" s="14">
        <v>82.75</v>
      </c>
      <c r="C84" s="14">
        <v>6.3961350000000001</v>
      </c>
      <c r="D84" s="16">
        <v>6.2631862777559997</v>
      </c>
      <c r="E84" s="16">
        <v>6.3148958089890002</v>
      </c>
      <c r="F84" s="16">
        <v>5.9092633505169996</v>
      </c>
    </row>
    <row r="85" spans="1:6">
      <c r="A85" s="12"/>
      <c r="B85" s="12"/>
      <c r="C85" s="12"/>
      <c r="D85" s="12"/>
      <c r="E85" s="12"/>
      <c r="F85" s="12"/>
    </row>
    <row r="86" spans="1:6">
      <c r="A86" s="15" t="s">
        <v>94</v>
      </c>
      <c r="B86" s="14">
        <v>0.89981699999999998</v>
      </c>
      <c r="C86" s="14">
        <v>0.80769199999999997</v>
      </c>
      <c r="D86" s="16">
        <v>0.74666510265499997</v>
      </c>
      <c r="E86" s="16">
        <v>0.77752460595200001</v>
      </c>
      <c r="F86" s="16">
        <v>0.79369313689200005</v>
      </c>
    </row>
    <row r="87" spans="1:6">
      <c r="A87" s="12"/>
      <c r="B87" s="12"/>
      <c r="C87" s="12"/>
      <c r="D87" s="12"/>
      <c r="E87" s="12"/>
      <c r="F87" s="12"/>
    </row>
    <row r="88" spans="1:6">
      <c r="A88" s="15" t="s">
        <v>95</v>
      </c>
      <c r="B88" s="14">
        <v>1.7974079999999999</v>
      </c>
      <c r="C88" s="14">
        <v>1.472413</v>
      </c>
      <c r="D88" s="13" t="s">
        <v>47</v>
      </c>
      <c r="E88" s="13" t="s">
        <v>47</v>
      </c>
      <c r="F88" s="13" t="s">
        <v>47</v>
      </c>
    </row>
    <row r="89" spans="1:6">
      <c r="A89" s="12"/>
      <c r="B89" s="12"/>
      <c r="C89" s="12"/>
      <c r="D89" s="12"/>
      <c r="E89" s="12"/>
      <c r="F89" s="12"/>
    </row>
    <row r="90" spans="1:6">
      <c r="A90" s="11"/>
      <c r="B90" s="11"/>
      <c r="C90" s="11"/>
      <c r="D90" s="11"/>
      <c r="E90" s="11"/>
      <c r="F90" s="11"/>
    </row>
    <row r="91" spans="1:6">
      <c r="A91" s="10" t="s">
        <v>96</v>
      </c>
    </row>
  </sheetData>
  <pageMargins left="0.2" right="0.2" top="0.5" bottom="0.5" header="0.5" footer="0.5"/>
  <pageSetup fitToWidth="0" fitToHeight="0"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47B11-7944-B944-90AE-AC96F9CF0F98}">
  <sheetPr codeName="Sheet3">
    <tabColor rgb="FFFF0000"/>
  </sheetPr>
  <dimension ref="A1:Q57"/>
  <sheetViews>
    <sheetView zoomScale="125" workbookViewId="0">
      <selection activeCell="A45" sqref="A45"/>
    </sheetView>
  </sheetViews>
  <sheetFormatPr defaultColWidth="10.8125" defaultRowHeight="21"/>
  <cols>
    <col min="1" max="7" width="10.8125" style="176"/>
    <col min="8" max="8" width="13.6875" style="176" customWidth="1"/>
    <col min="9" max="10" width="10.8125" style="176"/>
    <col min="11" max="11" width="19.5" style="176" customWidth="1"/>
    <col min="12" max="17" width="16.8125" style="176" customWidth="1"/>
    <col min="18" max="16384" width="10.8125" style="176"/>
  </cols>
  <sheetData>
    <row r="1" spans="1:17" s="174" customFormat="1" ht="25.15">
      <c r="A1" s="173" t="s">
        <v>97</v>
      </c>
      <c r="G1" s="175"/>
      <c r="J1" s="776"/>
      <c r="K1" s="776"/>
    </row>
    <row r="2" spans="1:17">
      <c r="A2" s="176" t="s">
        <v>98</v>
      </c>
      <c r="J2" s="775"/>
      <c r="K2" s="775"/>
      <c r="L2" s="777" t="s">
        <v>99</v>
      </c>
      <c r="M2" s="777"/>
      <c r="N2" s="777"/>
      <c r="O2" s="777"/>
      <c r="P2" s="777"/>
      <c r="Q2" s="777"/>
    </row>
    <row r="3" spans="1:17">
      <c r="A3" s="177" t="s">
        <v>100</v>
      </c>
      <c r="J3" s="778" t="s">
        <v>101</v>
      </c>
      <c r="K3" s="778"/>
      <c r="L3" s="178">
        <v>2019</v>
      </c>
      <c r="M3" s="178">
        <v>2020</v>
      </c>
      <c r="N3" s="178">
        <v>2021</v>
      </c>
      <c r="O3" s="178">
        <v>2022</v>
      </c>
      <c r="P3" s="178">
        <v>2023</v>
      </c>
      <c r="Q3" s="178">
        <v>2024</v>
      </c>
    </row>
    <row r="4" spans="1:17">
      <c r="J4" s="779" t="s">
        <v>102</v>
      </c>
      <c r="K4" s="779"/>
      <c r="L4" s="179">
        <v>0.40887369361669063</v>
      </c>
      <c r="M4" s="179">
        <v>0.40108957403971418</v>
      </c>
      <c r="N4" s="179">
        <v>0.32110294523954247</v>
      </c>
      <c r="O4" s="179">
        <v>0.40866677210185037</v>
      </c>
      <c r="P4" s="179">
        <v>0.39856182954143582</v>
      </c>
      <c r="Q4" s="179">
        <v>0.40739964803486128</v>
      </c>
    </row>
    <row r="5" spans="1:17">
      <c r="A5" s="177" t="s">
        <v>103</v>
      </c>
      <c r="J5" s="780" t="s">
        <v>104</v>
      </c>
      <c r="K5" s="780"/>
      <c r="L5" s="180">
        <f>L4</f>
        <v>0.40887369361669063</v>
      </c>
      <c r="M5" s="180">
        <f t="shared" ref="M5:Q5" si="0">M4</f>
        <v>0.40108957403971418</v>
      </c>
      <c r="N5" s="180">
        <f t="shared" si="0"/>
        <v>0.32110294523954247</v>
      </c>
      <c r="O5" s="180">
        <f t="shared" si="0"/>
        <v>0.40866677210185037</v>
      </c>
      <c r="P5" s="180">
        <f t="shared" si="0"/>
        <v>0.39856182954143582</v>
      </c>
      <c r="Q5" s="180">
        <f t="shared" si="0"/>
        <v>0.40739964803486128</v>
      </c>
    </row>
    <row r="6" spans="1:17">
      <c r="A6" s="177" t="s">
        <v>105</v>
      </c>
      <c r="J6" s="775"/>
      <c r="K6" s="775"/>
    </row>
    <row r="7" spans="1:17">
      <c r="A7" s="177" t="s">
        <v>106</v>
      </c>
      <c r="J7" s="779" t="s">
        <v>107</v>
      </c>
      <c r="K7" s="779"/>
      <c r="L7" s="179">
        <v>6.7523990831034622E-2</v>
      </c>
      <c r="M7" s="179">
        <v>3.8293000671114442E-2</v>
      </c>
      <c r="N7" s="179">
        <v>-0.24727855445653976</v>
      </c>
      <c r="O7" s="179">
        <v>9.2914755653961734E-2</v>
      </c>
      <c r="P7" s="179">
        <v>6.7979095445793544E-2</v>
      </c>
      <c r="Q7" s="179">
        <v>1.6006033688091847E-2</v>
      </c>
    </row>
    <row r="8" spans="1:17">
      <c r="A8" s="177" t="s">
        <v>108</v>
      </c>
      <c r="J8" s="780" t="s">
        <v>109</v>
      </c>
      <c r="K8" s="780"/>
      <c r="L8" s="181">
        <f>L7</f>
        <v>6.7523990831034622E-2</v>
      </c>
      <c r="M8" s="181">
        <f t="shared" ref="M8:Q8" si="1">M7</f>
        <v>3.8293000671114442E-2</v>
      </c>
      <c r="N8" s="181">
        <f t="shared" si="1"/>
        <v>-0.24727855445653976</v>
      </c>
      <c r="O8" s="181">
        <f t="shared" si="1"/>
        <v>9.2914755653961734E-2</v>
      </c>
      <c r="P8" s="181">
        <f t="shared" si="1"/>
        <v>6.7979095445793544E-2</v>
      </c>
      <c r="Q8" s="181">
        <f t="shared" si="1"/>
        <v>1.6006033688091847E-2</v>
      </c>
    </row>
    <row r="9" spans="1:17">
      <c r="A9" s="177" t="s">
        <v>110</v>
      </c>
      <c r="J9" s="775"/>
      <c r="K9" s="775"/>
    </row>
    <row r="10" spans="1:17">
      <c r="A10" s="177" t="s">
        <v>111</v>
      </c>
      <c r="J10" s="779" t="s">
        <v>112</v>
      </c>
      <c r="K10" s="779"/>
      <c r="L10" s="179">
        <v>4.3047515443490426E-2</v>
      </c>
      <c r="M10" s="179">
        <v>2.2265208637637677E-2</v>
      </c>
      <c r="N10" s="179">
        <v>-0.21793667458694813</v>
      </c>
      <c r="O10" s="179">
        <v>5.6539617270283095E-2</v>
      </c>
      <c r="P10" s="179">
        <v>4.6249361468034107E-2</v>
      </c>
      <c r="Q10" s="179">
        <v>4.3995642336378113E-3</v>
      </c>
    </row>
    <row r="11" spans="1:17">
      <c r="J11" s="775" t="s">
        <v>113</v>
      </c>
      <c r="K11" s="775"/>
      <c r="L11" s="182">
        <f>L10</f>
        <v>4.3047515443490426E-2</v>
      </c>
      <c r="M11" s="182">
        <f t="shared" ref="M11:Q11" si="2">M10</f>
        <v>2.2265208637637677E-2</v>
      </c>
      <c r="N11" s="182">
        <f t="shared" si="2"/>
        <v>-0.21793667458694813</v>
      </c>
      <c r="O11" s="182">
        <f t="shared" si="2"/>
        <v>5.6539617270283095E-2</v>
      </c>
      <c r="P11" s="182">
        <f t="shared" si="2"/>
        <v>4.6249361468034107E-2</v>
      </c>
      <c r="Q11" s="182">
        <f t="shared" si="2"/>
        <v>4.3995642336378113E-3</v>
      </c>
    </row>
    <row r="12" spans="1:17">
      <c r="J12" s="775"/>
      <c r="K12" s="775"/>
    </row>
    <row r="13" spans="1:17">
      <c r="A13" s="177" t="s">
        <v>114</v>
      </c>
      <c r="J13" s="779" t="s">
        <v>115</v>
      </c>
      <c r="K13" s="779"/>
      <c r="L13" s="176">
        <v>5.7726372824841096E-2</v>
      </c>
      <c r="M13" s="176">
        <v>2.6638957113168337E-2</v>
      </c>
      <c r="N13" s="176">
        <v>-0.22274935050265446</v>
      </c>
      <c r="O13" s="176">
        <v>8.1296191017623656E-2</v>
      </c>
      <c r="P13" s="176">
        <v>6.9785367010553781E-2</v>
      </c>
      <c r="Q13" s="176">
        <v>6.4631293856949401E-3</v>
      </c>
    </row>
    <row r="14" spans="1:17">
      <c r="J14" s="779" t="s">
        <v>116</v>
      </c>
      <c r="K14" s="779"/>
      <c r="L14" s="176">
        <v>0.17215661901802362</v>
      </c>
      <c r="M14" s="176">
        <v>8.8442841461502275E-2</v>
      </c>
      <c r="N14" s="176">
        <v>-1.54484919702311</v>
      </c>
      <c r="O14" s="176">
        <v>0.39491853079259875</v>
      </c>
      <c r="P14" s="176">
        <v>0.28833904948554628</v>
      </c>
      <c r="Q14" s="176">
        <v>2.5380710659898477E-2</v>
      </c>
    </row>
    <row r="15" spans="1:17">
      <c r="A15" s="177" t="s">
        <v>117</v>
      </c>
      <c r="J15" s="775"/>
      <c r="K15" s="775"/>
    </row>
    <row r="16" spans="1:17">
      <c r="A16" s="177" t="s">
        <v>118</v>
      </c>
      <c r="J16" s="775"/>
      <c r="K16" s="775"/>
    </row>
    <row r="17" spans="1:17">
      <c r="J17" s="775"/>
      <c r="K17" s="775"/>
      <c r="L17" s="777" t="s">
        <v>99</v>
      </c>
      <c r="M17" s="777"/>
      <c r="N17" s="777"/>
      <c r="O17" s="777"/>
      <c r="P17" s="777"/>
      <c r="Q17" s="777"/>
    </row>
    <row r="18" spans="1:17">
      <c r="J18" s="778" t="s">
        <v>119</v>
      </c>
      <c r="K18" s="778"/>
      <c r="L18" s="178">
        <v>2019</v>
      </c>
      <c r="M18" s="178">
        <v>2020</v>
      </c>
      <c r="N18" s="178">
        <v>2021</v>
      </c>
      <c r="O18" s="178">
        <v>2022</v>
      </c>
      <c r="P18" s="178">
        <v>2023</v>
      </c>
      <c r="Q18" s="178">
        <v>2024</v>
      </c>
    </row>
    <row r="19" spans="1:17">
      <c r="A19" s="177" t="s">
        <v>120</v>
      </c>
      <c r="J19" s="779" t="s">
        <v>121</v>
      </c>
      <c r="K19" s="779"/>
      <c r="L19" s="179">
        <v>1.4229740061162079</v>
      </c>
      <c r="M19" s="179">
        <v>1.1843478260869564</v>
      </c>
      <c r="N19" s="179">
        <v>1.154377450065335</v>
      </c>
      <c r="O19" s="179">
        <v>1.2477843426883308</v>
      </c>
      <c r="P19" s="179">
        <v>1.2040732359596791</v>
      </c>
      <c r="Q19" s="179">
        <v>1.3744920993227991</v>
      </c>
    </row>
    <row r="20" spans="1:17">
      <c r="J20" s="775"/>
      <c r="K20" s="775"/>
    </row>
    <row r="21" spans="1:17">
      <c r="A21" s="177" t="s">
        <v>122</v>
      </c>
      <c r="J21" s="779" t="s">
        <v>123</v>
      </c>
      <c r="K21" s="779"/>
      <c r="L21" s="179">
        <v>0.41704892966360857</v>
      </c>
      <c r="M21" s="179">
        <v>0.28208695652173915</v>
      </c>
      <c r="N21" s="179">
        <v>0.44987866343102484</v>
      </c>
      <c r="O21" s="179">
        <v>0.43851550960118169</v>
      </c>
      <c r="P21" s="179">
        <v>0.32627031475005142</v>
      </c>
      <c r="Q21" s="179">
        <v>0.39006772009029345</v>
      </c>
    </row>
    <row r="22" spans="1:17">
      <c r="A22" s="177" t="s">
        <v>124</v>
      </c>
      <c r="J22" s="775"/>
      <c r="K22" s="775"/>
    </row>
    <row r="23" spans="1:17">
      <c r="A23" s="177" t="s">
        <v>125</v>
      </c>
      <c r="J23" s="775"/>
      <c r="K23" s="775"/>
    </row>
    <row r="24" spans="1:17">
      <c r="A24" s="177" t="s">
        <v>126</v>
      </c>
      <c r="J24" s="775"/>
      <c r="K24" s="775"/>
      <c r="L24" s="777" t="s">
        <v>99</v>
      </c>
      <c r="M24" s="777"/>
      <c r="N24" s="777"/>
      <c r="O24" s="777"/>
      <c r="P24" s="777"/>
      <c r="Q24" s="777"/>
    </row>
    <row r="25" spans="1:17">
      <c r="J25" s="778" t="s">
        <v>127</v>
      </c>
      <c r="K25" s="778"/>
      <c r="L25" s="178">
        <v>2019</v>
      </c>
      <c r="M25" s="178">
        <v>2020</v>
      </c>
      <c r="N25" s="178">
        <v>2021</v>
      </c>
      <c r="O25" s="178">
        <v>2022</v>
      </c>
      <c r="P25" s="178">
        <v>2023</v>
      </c>
      <c r="Q25" s="178">
        <v>2024</v>
      </c>
    </row>
    <row r="26" spans="1:17">
      <c r="J26" s="779" t="s">
        <v>128</v>
      </c>
      <c r="K26" s="779"/>
      <c r="L26" s="179"/>
      <c r="M26" s="179"/>
      <c r="N26" s="179"/>
      <c r="O26" s="179"/>
      <c r="P26" s="179"/>
      <c r="Q26" s="179"/>
    </row>
    <row r="27" spans="1:17">
      <c r="A27" s="177" t="s">
        <v>129</v>
      </c>
      <c r="J27" s="779" t="s">
        <v>130</v>
      </c>
      <c r="K27" s="779"/>
    </row>
    <row r="28" spans="1:17">
      <c r="J28" s="779" t="s">
        <v>131</v>
      </c>
      <c r="K28" s="779"/>
      <c r="L28" s="179"/>
      <c r="M28" s="179"/>
      <c r="N28" s="179"/>
      <c r="O28" s="179"/>
      <c r="P28" s="179"/>
      <c r="Q28" s="179"/>
    </row>
    <row r="29" spans="1:17">
      <c r="A29" s="177" t="s">
        <v>132</v>
      </c>
      <c r="J29" s="779" t="s">
        <v>133</v>
      </c>
      <c r="K29" s="779"/>
    </row>
    <row r="30" spans="1:17">
      <c r="A30" s="177" t="s">
        <v>134</v>
      </c>
      <c r="J30" s="775"/>
      <c r="K30" s="775"/>
    </row>
    <row r="31" spans="1:17">
      <c r="A31" s="177" t="s">
        <v>135</v>
      </c>
      <c r="J31" s="775"/>
      <c r="K31" s="775"/>
    </row>
    <row r="32" spans="1:17">
      <c r="A32" s="177" t="s">
        <v>136</v>
      </c>
      <c r="J32" s="775"/>
      <c r="K32" s="775"/>
      <c r="L32" s="777" t="s">
        <v>99</v>
      </c>
      <c r="M32" s="777"/>
      <c r="N32" s="777"/>
      <c r="O32" s="777"/>
      <c r="P32" s="777"/>
      <c r="Q32" s="777"/>
    </row>
    <row r="33" spans="1:17">
      <c r="A33" s="177" t="s">
        <v>137</v>
      </c>
      <c r="J33" s="778" t="s">
        <v>138</v>
      </c>
      <c r="K33" s="778"/>
      <c r="L33" s="178">
        <v>2019</v>
      </c>
      <c r="M33" s="178">
        <v>2020</v>
      </c>
      <c r="N33" s="178">
        <v>2021</v>
      </c>
      <c r="O33" s="178">
        <v>2022</v>
      </c>
      <c r="P33" s="178">
        <v>2023</v>
      </c>
      <c r="Q33" s="178">
        <v>2024</v>
      </c>
    </row>
    <row r="34" spans="1:17">
      <c r="A34" s="177" t="s">
        <v>139</v>
      </c>
      <c r="J34" s="779" t="s">
        <v>140</v>
      </c>
      <c r="K34" s="779"/>
      <c r="L34" s="179"/>
      <c r="M34" s="179"/>
      <c r="N34" s="179"/>
      <c r="O34" s="179"/>
      <c r="P34" s="179"/>
      <c r="Q34" s="179"/>
    </row>
    <row r="35" spans="1:17">
      <c r="J35" s="779" t="s">
        <v>141</v>
      </c>
      <c r="K35" s="779"/>
    </row>
    <row r="36" spans="1:17">
      <c r="J36" s="779" t="s">
        <v>142</v>
      </c>
      <c r="K36" s="779"/>
      <c r="L36" s="179"/>
      <c r="M36" s="179"/>
      <c r="N36" s="179"/>
      <c r="O36" s="179"/>
      <c r="P36" s="179"/>
      <c r="Q36" s="179"/>
    </row>
    <row r="37" spans="1:17">
      <c r="J37" s="779"/>
      <c r="K37" s="779"/>
      <c r="L37" s="179"/>
      <c r="M37" s="179"/>
      <c r="N37" s="179"/>
      <c r="O37" s="179"/>
      <c r="P37" s="179"/>
      <c r="Q37" s="179"/>
    </row>
    <row r="38" spans="1:17">
      <c r="A38" s="177" t="s">
        <v>143</v>
      </c>
      <c r="J38" s="779" t="s">
        <v>144</v>
      </c>
      <c r="K38" s="779"/>
    </row>
    <row r="39" spans="1:17">
      <c r="J39" s="775" t="s">
        <v>145</v>
      </c>
      <c r="K39" s="775"/>
      <c r="L39" s="176">
        <f>L38/12</f>
        <v>0</v>
      </c>
      <c r="M39" s="176">
        <f t="shared" ref="M39:Q39" si="3">M38/12</f>
        <v>0</v>
      </c>
      <c r="N39" s="176">
        <f t="shared" si="3"/>
        <v>0</v>
      </c>
      <c r="O39" s="176">
        <f t="shared" si="3"/>
        <v>0</v>
      </c>
      <c r="P39" s="176">
        <f t="shared" si="3"/>
        <v>0</v>
      </c>
      <c r="Q39" s="176">
        <f t="shared" si="3"/>
        <v>0</v>
      </c>
    </row>
    <row r="40" spans="1:17">
      <c r="A40" s="177" t="s">
        <v>146</v>
      </c>
      <c r="J40" s="775"/>
      <c r="K40" s="775"/>
    </row>
    <row r="41" spans="1:17">
      <c r="A41" s="177" t="s">
        <v>147</v>
      </c>
      <c r="J41" s="779" t="s">
        <v>148</v>
      </c>
      <c r="K41" s="779"/>
    </row>
    <row r="42" spans="1:17">
      <c r="A42" s="177" t="s">
        <v>149</v>
      </c>
      <c r="J42" s="775" t="s">
        <v>150</v>
      </c>
      <c r="K42" s="775"/>
      <c r="L42" s="176">
        <f>L41/12</f>
        <v>0</v>
      </c>
      <c r="M42" s="176">
        <f t="shared" ref="M42:Q42" si="4">M41/12</f>
        <v>0</v>
      </c>
      <c r="N42" s="176">
        <f t="shared" si="4"/>
        <v>0</v>
      </c>
      <c r="O42" s="176">
        <f t="shared" si="4"/>
        <v>0</v>
      </c>
      <c r="P42" s="176">
        <f t="shared" si="4"/>
        <v>0</v>
      </c>
      <c r="Q42" s="176">
        <f t="shared" si="4"/>
        <v>0</v>
      </c>
    </row>
    <row r="43" spans="1:17">
      <c r="A43" s="177" t="s">
        <v>151</v>
      </c>
      <c r="J43" s="775"/>
      <c r="K43" s="775"/>
    </row>
    <row r="44" spans="1:17">
      <c r="J44" s="179" t="s">
        <v>152</v>
      </c>
    </row>
    <row r="45" spans="1:17">
      <c r="A45" s="183"/>
      <c r="J45" s="176" t="s">
        <v>153</v>
      </c>
    </row>
    <row r="47" spans="1:17">
      <c r="J47" s="179" t="s">
        <v>154</v>
      </c>
      <c r="L47" s="176">
        <f>L38+L41-L44</f>
        <v>0</v>
      </c>
      <c r="M47" s="176">
        <f t="shared" ref="M47:Q47" si="5">M38+M41-M44</f>
        <v>0</v>
      </c>
      <c r="N47" s="176">
        <f t="shared" si="5"/>
        <v>0</v>
      </c>
      <c r="O47" s="176">
        <f t="shared" si="5"/>
        <v>0</v>
      </c>
      <c r="P47" s="176">
        <f t="shared" si="5"/>
        <v>0</v>
      </c>
      <c r="Q47" s="176">
        <f t="shared" si="5"/>
        <v>0</v>
      </c>
    </row>
    <row r="50" spans="10:17">
      <c r="J50" s="775"/>
      <c r="K50" s="775"/>
      <c r="L50" s="777" t="s">
        <v>99</v>
      </c>
      <c r="M50" s="777"/>
      <c r="N50" s="777"/>
      <c r="O50" s="777"/>
      <c r="P50" s="777"/>
      <c r="Q50" s="777"/>
    </row>
    <row r="51" spans="10:17">
      <c r="J51" s="778" t="s">
        <v>155</v>
      </c>
      <c r="K51" s="778"/>
      <c r="L51" s="178">
        <v>2019</v>
      </c>
      <c r="M51" s="178">
        <v>2020</v>
      </c>
      <c r="N51" s="178">
        <v>2021</v>
      </c>
      <c r="O51" s="178">
        <v>2022</v>
      </c>
      <c r="P51" s="178">
        <v>2023</v>
      </c>
      <c r="Q51" s="178">
        <v>2024</v>
      </c>
    </row>
    <row r="52" spans="10:17">
      <c r="J52" s="779" t="s">
        <v>156</v>
      </c>
      <c r="K52" s="779"/>
      <c r="L52" s="179"/>
      <c r="M52" s="179"/>
      <c r="N52" s="179"/>
      <c r="O52" s="179"/>
      <c r="P52" s="179"/>
      <c r="Q52" s="179"/>
    </row>
    <row r="53" spans="10:17">
      <c r="J53" s="779" t="s">
        <v>157</v>
      </c>
      <c r="K53" s="779"/>
    </row>
    <row r="54" spans="10:17">
      <c r="J54" s="779" t="s">
        <v>158</v>
      </c>
      <c r="K54" s="779"/>
      <c r="L54" s="179"/>
      <c r="M54" s="179"/>
      <c r="N54" s="179"/>
      <c r="O54" s="179"/>
      <c r="P54" s="179"/>
      <c r="Q54" s="179"/>
    </row>
    <row r="55" spans="10:17">
      <c r="J55" s="779"/>
      <c r="K55" s="779"/>
    </row>
    <row r="56" spans="10:17">
      <c r="J56" s="179" t="s">
        <v>159</v>
      </c>
    </row>
    <row r="57" spans="10:17">
      <c r="J57" s="179" t="s">
        <v>160</v>
      </c>
    </row>
  </sheetData>
  <mergeCells count="54">
    <mergeCell ref="L50:Q50"/>
    <mergeCell ref="J51:K51"/>
    <mergeCell ref="J52:K52"/>
    <mergeCell ref="J53:K53"/>
    <mergeCell ref="J54:K54"/>
    <mergeCell ref="J55:K55"/>
    <mergeCell ref="J39:K39"/>
    <mergeCell ref="J40:K40"/>
    <mergeCell ref="J41:K41"/>
    <mergeCell ref="J42:K42"/>
    <mergeCell ref="J43:K43"/>
    <mergeCell ref="J50:K50"/>
    <mergeCell ref="J38:K38"/>
    <mergeCell ref="J28:K28"/>
    <mergeCell ref="J29:K29"/>
    <mergeCell ref="J30:K30"/>
    <mergeCell ref="J31:K31"/>
    <mergeCell ref="J32:K32"/>
    <mergeCell ref="J33:K33"/>
    <mergeCell ref="J34:K34"/>
    <mergeCell ref="J35:K35"/>
    <mergeCell ref="J36:K36"/>
    <mergeCell ref="J37:K37"/>
    <mergeCell ref="L32:Q32"/>
    <mergeCell ref="J23:K23"/>
    <mergeCell ref="J24:K24"/>
    <mergeCell ref="L24:Q24"/>
    <mergeCell ref="J25:K25"/>
    <mergeCell ref="J26:K26"/>
    <mergeCell ref="J27:K27"/>
    <mergeCell ref="L17:Q17"/>
    <mergeCell ref="J18:K18"/>
    <mergeCell ref="J19:K19"/>
    <mergeCell ref="J20:K20"/>
    <mergeCell ref="J21:K21"/>
    <mergeCell ref="J22:K22"/>
    <mergeCell ref="J12:K12"/>
    <mergeCell ref="J13:K13"/>
    <mergeCell ref="J14:K14"/>
    <mergeCell ref="J15:K15"/>
    <mergeCell ref="J16:K16"/>
    <mergeCell ref="J17:K17"/>
    <mergeCell ref="J11:K11"/>
    <mergeCell ref="J1:K1"/>
    <mergeCell ref="J2:K2"/>
    <mergeCell ref="L2:Q2"/>
    <mergeCell ref="J3:K3"/>
    <mergeCell ref="J4:K4"/>
    <mergeCell ref="J5:K5"/>
    <mergeCell ref="J6:K6"/>
    <mergeCell ref="J7:K7"/>
    <mergeCell ref="J8:K8"/>
    <mergeCell ref="J9:K9"/>
    <mergeCell ref="J10:K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00A7D-ABAB-3B47-B868-C9AFB3ED5F29}">
  <sheetPr codeName="Sheet4">
    <tabColor rgb="FFFF0000"/>
    <outlinePr summaryBelow="0" summaryRight="0"/>
    <pageSetUpPr autoPageBreaks="0"/>
  </sheetPr>
  <dimension ref="A1:IT158"/>
  <sheetViews>
    <sheetView topLeftCell="A4" zoomScale="125" zoomScaleNormal="183" workbookViewId="0">
      <pane xSplit="1" ySplit="2" topLeftCell="B32" activePane="bottomRight" state="frozen"/>
      <selection pane="topRight" activeCell="E19" sqref="E19"/>
      <selection pane="bottomLeft" activeCell="E19" sqref="E19"/>
      <selection pane="bottomRight" activeCell="G83" sqref="G83"/>
    </sheetView>
  </sheetViews>
  <sheetFormatPr defaultColWidth="10.8125" defaultRowHeight="10.15" outlineLevelCol="1"/>
  <cols>
    <col min="1" max="1" width="50.8125" style="145" customWidth="1"/>
    <col min="2" max="2" width="7.8125" style="9" customWidth="1" collapsed="1"/>
    <col min="3" max="6" width="13.8125" style="34" hidden="1" customWidth="1" outlineLevel="1"/>
    <col min="7" max="7" width="13.8125" style="34" customWidth="1" collapsed="1"/>
    <col min="8" max="11" width="13.8125" style="34" hidden="1" customWidth="1" outlineLevel="1"/>
    <col min="12" max="12" width="13.8125" style="34" customWidth="1" collapsed="1"/>
    <col min="13" max="16" width="13.8125" style="34" hidden="1" customWidth="1" outlineLevel="1"/>
    <col min="17" max="17" width="13.8125" style="34" customWidth="1" collapsed="1"/>
    <col min="18" max="21" width="13.8125" style="34" hidden="1" customWidth="1" outlineLevel="1"/>
    <col min="22" max="22" width="13.8125" style="34" customWidth="1" collapsed="1"/>
    <col min="23" max="26" width="13.8125" style="34" hidden="1" customWidth="1" outlineLevel="1"/>
    <col min="27" max="27" width="13.8125" style="34" customWidth="1" collapsed="1"/>
    <col min="28" max="31" width="13.8125" style="34" hidden="1" customWidth="1" outlineLevel="1"/>
    <col min="32" max="32" width="13.8125" style="66" customWidth="1"/>
    <col min="33" max="254" width="8.8125" style="9" customWidth="1"/>
    <col min="255" max="16384" width="10.8125" style="9"/>
  </cols>
  <sheetData>
    <row r="1" spans="1:254">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91"/>
    </row>
    <row r="2" spans="1:254">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91"/>
    </row>
    <row r="3" spans="1:254">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91"/>
    </row>
    <row r="4" spans="1:254">
      <c r="A4" s="64"/>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91"/>
    </row>
    <row r="5" spans="1:254">
      <c r="A5" s="9"/>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91"/>
    </row>
    <row r="6" spans="1:254" ht="16.149999999999999">
      <c r="A6" s="190" t="s">
        <v>161</v>
      </c>
      <c r="B6" s="33"/>
      <c r="D6" s="65"/>
      <c r="E6" s="65"/>
      <c r="F6" s="65"/>
      <c r="G6" s="60"/>
      <c r="H6" s="65"/>
      <c r="I6" s="65"/>
      <c r="J6" s="65"/>
      <c r="K6" s="65"/>
      <c r="L6" s="60"/>
      <c r="M6" s="65"/>
      <c r="N6" s="65"/>
      <c r="O6" s="65"/>
      <c r="P6" s="65"/>
      <c r="Q6" s="60"/>
      <c r="R6" s="65"/>
      <c r="S6" s="65"/>
      <c r="T6" s="65"/>
      <c r="U6" s="65"/>
      <c r="V6" s="60"/>
      <c r="W6" s="60"/>
      <c r="X6" s="60"/>
      <c r="Y6" s="60"/>
      <c r="Z6" s="60"/>
      <c r="AA6" s="60"/>
      <c r="AB6" s="60"/>
      <c r="AC6" s="60"/>
      <c r="AD6" s="60"/>
      <c r="AE6" s="60"/>
      <c r="AF6" s="91"/>
    </row>
    <row r="7" spans="1:254">
      <c r="C7" s="60"/>
      <c r="D7" s="60"/>
      <c r="E7" s="60"/>
      <c r="F7" s="60"/>
      <c r="G7" s="60"/>
      <c r="H7" s="60"/>
      <c r="I7" s="60"/>
      <c r="J7" s="60"/>
      <c r="K7" s="60"/>
      <c r="L7" s="60"/>
      <c r="M7" s="60"/>
      <c r="N7" s="60"/>
      <c r="O7" s="60"/>
      <c r="P7" s="60"/>
      <c r="Q7" s="60"/>
      <c r="R7" s="60"/>
      <c r="S7" s="60"/>
      <c r="T7" s="60"/>
      <c r="U7" s="60"/>
      <c r="V7" s="60"/>
      <c r="W7" s="60"/>
      <c r="X7" s="12"/>
      <c r="Y7" s="60"/>
      <c r="Z7" s="60"/>
      <c r="AA7" s="60"/>
      <c r="AB7" s="60"/>
      <c r="AC7" s="60"/>
      <c r="AD7" s="60"/>
      <c r="AE7" s="60"/>
      <c r="AF7" s="91"/>
    </row>
    <row r="8" spans="1:254">
      <c r="A8" s="191" t="s">
        <v>21</v>
      </c>
      <c r="B8" s="32"/>
      <c r="D8" s="64"/>
      <c r="E8" s="64"/>
      <c r="F8" s="64"/>
      <c r="G8" s="62"/>
      <c r="H8" s="64"/>
      <c r="I8" s="64"/>
      <c r="J8" s="64"/>
      <c r="K8" s="64"/>
      <c r="L8" s="60"/>
      <c r="M8" s="64"/>
      <c r="N8" s="64"/>
      <c r="O8" s="64"/>
      <c r="P8" s="64"/>
      <c r="Q8" s="45" t="s">
        <v>22</v>
      </c>
      <c r="R8" s="64"/>
      <c r="S8" s="64"/>
      <c r="T8" s="64"/>
      <c r="U8" s="64"/>
      <c r="V8" s="62"/>
      <c r="W8" s="62"/>
      <c r="X8" s="12"/>
      <c r="Y8" s="62"/>
      <c r="Z8" s="62"/>
      <c r="AA8" s="60"/>
      <c r="AB8" s="62"/>
      <c r="AC8" s="62"/>
      <c r="AD8" s="62"/>
      <c r="AE8" s="62"/>
      <c r="AF8" s="91"/>
    </row>
    <row r="9" spans="1:254">
      <c r="A9" s="191"/>
      <c r="B9" s="32"/>
      <c r="C9" s="64"/>
      <c r="D9" s="64"/>
      <c r="E9" s="64"/>
      <c r="F9" s="64"/>
      <c r="G9" s="62"/>
      <c r="H9" s="64"/>
      <c r="I9" s="64"/>
      <c r="J9" s="64"/>
      <c r="K9" s="64"/>
      <c r="L9" s="60"/>
      <c r="M9" s="64"/>
      <c r="N9" s="64"/>
      <c r="O9" s="64"/>
      <c r="P9" s="64"/>
      <c r="Q9" s="45"/>
      <c r="R9" s="64"/>
      <c r="S9" s="64"/>
      <c r="T9" s="64"/>
      <c r="U9" s="64"/>
      <c r="V9" s="62"/>
      <c r="W9" s="62"/>
      <c r="X9" s="12"/>
      <c r="Y9" s="62"/>
      <c r="Z9" s="62"/>
      <c r="AA9" s="60"/>
      <c r="AB9" s="62"/>
      <c r="AC9" s="62"/>
      <c r="AD9" s="62"/>
      <c r="AE9" s="62"/>
      <c r="AF9" s="91"/>
    </row>
    <row r="10" spans="1:254" ht="16.149999999999999">
      <c r="A10" s="65" t="s">
        <v>162</v>
      </c>
      <c r="B10" s="12"/>
      <c r="C10" s="45"/>
      <c r="D10" s="45"/>
      <c r="E10" s="45"/>
      <c r="F10" s="45"/>
      <c r="G10" s="62"/>
      <c r="H10" s="45"/>
      <c r="I10" s="45"/>
      <c r="J10" s="45"/>
      <c r="K10" s="45"/>
      <c r="L10" s="60"/>
      <c r="M10" s="45"/>
      <c r="N10" s="45"/>
      <c r="O10" s="45"/>
      <c r="P10" s="45"/>
      <c r="Q10" s="45" t="s">
        <v>22</v>
      </c>
      <c r="R10" s="45"/>
      <c r="S10" s="45"/>
      <c r="T10" s="45"/>
      <c r="U10" s="45"/>
      <c r="V10" s="62"/>
      <c r="W10" s="62"/>
      <c r="X10" s="12"/>
      <c r="Y10" s="62"/>
      <c r="Z10" s="62"/>
      <c r="AA10" s="60"/>
      <c r="AB10" s="62"/>
      <c r="AC10" s="62"/>
      <c r="AD10" s="62"/>
      <c r="AE10" s="62"/>
      <c r="AF10" s="91"/>
    </row>
    <row r="11" spans="1:254" ht="20.25">
      <c r="A11" s="244" t="s">
        <v>163</v>
      </c>
      <c r="B11" s="12"/>
      <c r="C11" s="45"/>
      <c r="D11" s="45"/>
      <c r="E11" s="45"/>
      <c r="F11" s="45"/>
      <c r="G11" s="62"/>
      <c r="H11" s="45"/>
      <c r="I11" s="45"/>
      <c r="J11" s="45"/>
      <c r="K11" s="45"/>
      <c r="L11" s="60"/>
      <c r="M11" s="45"/>
      <c r="N11" s="45"/>
      <c r="O11" s="45"/>
      <c r="P11" s="45"/>
      <c r="Q11" s="45" t="s">
        <v>22</v>
      </c>
      <c r="R11" s="45"/>
      <c r="S11" s="45"/>
      <c r="T11" s="45"/>
      <c r="U11" s="45"/>
      <c r="V11" s="62"/>
      <c r="W11" s="62"/>
      <c r="X11" s="9"/>
      <c r="Y11" s="62"/>
      <c r="Z11" s="62"/>
      <c r="AA11" s="60"/>
      <c r="AB11" s="62"/>
      <c r="AC11" s="62"/>
      <c r="AD11" s="62"/>
      <c r="AE11" s="62"/>
      <c r="AF11" s="91"/>
    </row>
    <row r="12" spans="1:254">
      <c r="A12" s="145" t="s">
        <v>164</v>
      </c>
      <c r="B12" s="12"/>
      <c r="C12" s="45"/>
      <c r="D12" s="45"/>
      <c r="E12" s="45"/>
      <c r="F12" s="45"/>
      <c r="G12" s="62"/>
      <c r="H12" s="45"/>
      <c r="I12" s="45"/>
      <c r="J12" s="45"/>
      <c r="K12" s="45"/>
      <c r="L12" s="60"/>
      <c r="M12" s="45"/>
      <c r="N12" s="45"/>
      <c r="O12" s="45"/>
      <c r="P12" s="45"/>
      <c r="Q12" s="45" t="s">
        <v>22</v>
      </c>
      <c r="R12" s="45"/>
      <c r="S12" s="45"/>
      <c r="T12" s="45"/>
      <c r="U12" s="45"/>
      <c r="V12" s="62"/>
      <c r="W12" s="62"/>
      <c r="X12" s="62"/>
      <c r="Y12" s="62"/>
      <c r="Z12" s="62"/>
      <c r="AA12" s="63"/>
      <c r="AB12" s="62"/>
      <c r="AC12" s="62"/>
      <c r="AD12" s="62"/>
      <c r="AE12" s="62"/>
      <c r="AF12" s="91"/>
    </row>
    <row r="13" spans="1:254">
      <c r="A13" s="145" t="s">
        <v>165</v>
      </c>
      <c r="B13" s="12"/>
      <c r="C13" s="45"/>
      <c r="D13" s="45"/>
      <c r="E13" s="45"/>
      <c r="F13" s="45"/>
      <c r="G13" s="62"/>
      <c r="H13" s="45"/>
      <c r="I13" s="45"/>
      <c r="J13" s="45"/>
      <c r="K13" s="45"/>
      <c r="L13" s="60"/>
      <c r="M13" s="45"/>
      <c r="N13" s="45"/>
      <c r="O13" s="45"/>
      <c r="P13" s="45"/>
      <c r="Q13" s="45" t="s">
        <v>22</v>
      </c>
      <c r="R13" s="45"/>
      <c r="S13" s="45"/>
      <c r="T13" s="45"/>
      <c r="U13" s="45"/>
      <c r="V13" s="61"/>
      <c r="W13" s="61"/>
      <c r="X13" s="61"/>
      <c r="Y13" s="61"/>
      <c r="Z13" s="61"/>
      <c r="AA13" s="61"/>
      <c r="AB13" s="61"/>
      <c r="AC13" s="61"/>
      <c r="AD13" s="61"/>
      <c r="AE13" s="61"/>
      <c r="AF13" s="91"/>
    </row>
    <row r="14" spans="1:254">
      <c r="A14" s="145" t="s">
        <v>166</v>
      </c>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91"/>
    </row>
    <row r="15" spans="1:254" ht="12.4">
      <c r="A15" s="145" t="s">
        <v>167</v>
      </c>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91"/>
      <c r="AH15" s="108"/>
    </row>
    <row r="16" spans="1:254" s="161" customFormat="1" ht="31.25" customHeight="1">
      <c r="A16" s="194" t="s">
        <v>168</v>
      </c>
      <c r="B16" s="165"/>
      <c r="C16" s="166"/>
      <c r="D16" s="166"/>
      <c r="E16" s="166"/>
      <c r="F16" s="166"/>
      <c r="G16" s="166">
        <v>2019</v>
      </c>
      <c r="H16" s="166"/>
      <c r="I16" s="166"/>
      <c r="J16" s="166"/>
      <c r="K16" s="166"/>
      <c r="L16" s="166">
        <v>2020</v>
      </c>
      <c r="M16" s="166"/>
      <c r="N16" s="166"/>
      <c r="O16" s="166"/>
      <c r="P16" s="166"/>
      <c r="Q16" s="166">
        <v>2021</v>
      </c>
      <c r="R16" s="166"/>
      <c r="S16" s="166"/>
      <c r="T16" s="166"/>
      <c r="U16" s="166"/>
      <c r="V16" s="166">
        <v>2022</v>
      </c>
      <c r="W16" s="166"/>
      <c r="X16" s="166"/>
      <c r="Y16" s="166"/>
      <c r="Z16" s="166"/>
      <c r="AA16" s="166">
        <v>2023</v>
      </c>
      <c r="AB16" s="166"/>
      <c r="AC16" s="166"/>
      <c r="AD16" s="166"/>
      <c r="AE16" s="166"/>
      <c r="AF16" s="167">
        <v>2024</v>
      </c>
      <c r="AG16" s="160"/>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0"/>
      <c r="CD16" s="160"/>
      <c r="CE16" s="160"/>
      <c r="CF16" s="160"/>
      <c r="CG16" s="160"/>
      <c r="CH16" s="160"/>
      <c r="CI16" s="160"/>
      <c r="CJ16" s="160"/>
      <c r="CK16" s="160"/>
      <c r="CL16" s="160"/>
      <c r="CM16" s="160"/>
      <c r="CN16" s="160"/>
      <c r="CO16" s="160"/>
      <c r="CP16" s="160"/>
      <c r="CQ16" s="160"/>
      <c r="CR16" s="160"/>
      <c r="CS16" s="160"/>
      <c r="CT16" s="160"/>
      <c r="CU16" s="160"/>
      <c r="CV16" s="160"/>
      <c r="CW16" s="160"/>
      <c r="CX16" s="160"/>
      <c r="CY16" s="160"/>
      <c r="CZ16" s="160"/>
      <c r="DA16" s="160"/>
      <c r="DB16" s="160"/>
      <c r="DC16" s="160"/>
      <c r="DD16" s="160"/>
      <c r="DE16" s="160"/>
      <c r="DF16" s="160"/>
      <c r="DG16" s="160"/>
      <c r="DH16" s="160"/>
      <c r="DI16" s="160"/>
      <c r="DJ16" s="160"/>
      <c r="DK16" s="160"/>
      <c r="DL16" s="160"/>
      <c r="DM16" s="160"/>
      <c r="DN16" s="160"/>
      <c r="DO16" s="160"/>
      <c r="DP16" s="160"/>
      <c r="DQ16" s="160"/>
      <c r="DR16" s="160"/>
      <c r="DS16" s="160"/>
      <c r="DT16" s="160"/>
      <c r="DU16" s="160"/>
      <c r="DV16" s="160"/>
      <c r="DW16" s="160"/>
      <c r="DX16" s="160"/>
      <c r="DY16" s="160"/>
      <c r="DZ16" s="160"/>
      <c r="EA16" s="160"/>
      <c r="EB16" s="160"/>
      <c r="EC16" s="160"/>
      <c r="ED16" s="160"/>
      <c r="EE16" s="160"/>
      <c r="EF16" s="160"/>
      <c r="EG16" s="160"/>
      <c r="EH16" s="160"/>
      <c r="EI16" s="160"/>
      <c r="EJ16" s="160"/>
      <c r="EK16" s="160"/>
      <c r="EL16" s="160"/>
      <c r="EM16" s="160"/>
      <c r="EN16" s="160"/>
      <c r="EO16" s="160"/>
      <c r="EP16" s="160"/>
      <c r="EQ16" s="160"/>
      <c r="ER16" s="160"/>
      <c r="ES16" s="160"/>
      <c r="ET16" s="160"/>
      <c r="EU16" s="160"/>
      <c r="EV16" s="160"/>
      <c r="EW16" s="160"/>
      <c r="EX16" s="160"/>
      <c r="EY16" s="160"/>
      <c r="EZ16" s="160"/>
      <c r="FA16" s="160"/>
      <c r="FB16" s="160"/>
      <c r="FC16" s="160"/>
      <c r="FD16" s="160"/>
      <c r="FE16" s="160"/>
      <c r="FF16" s="160"/>
      <c r="FG16" s="160"/>
      <c r="FH16" s="160"/>
      <c r="FI16" s="160"/>
      <c r="FJ16" s="160"/>
      <c r="FK16" s="160"/>
      <c r="FL16" s="160"/>
      <c r="FM16" s="160"/>
      <c r="FN16" s="160"/>
      <c r="FO16" s="160"/>
      <c r="FP16" s="160"/>
      <c r="FQ16" s="160"/>
      <c r="FR16" s="160"/>
      <c r="FS16" s="160"/>
      <c r="FT16" s="160"/>
      <c r="FU16" s="160"/>
      <c r="FV16" s="160"/>
      <c r="FW16" s="160"/>
      <c r="FX16" s="160"/>
      <c r="FY16" s="160"/>
      <c r="FZ16" s="160"/>
      <c r="GA16" s="160"/>
      <c r="GB16" s="160"/>
      <c r="GC16" s="160"/>
      <c r="GD16" s="160"/>
      <c r="GE16" s="160"/>
      <c r="GF16" s="160"/>
      <c r="GG16" s="160"/>
      <c r="GH16" s="160"/>
      <c r="GI16" s="160"/>
      <c r="GJ16" s="160"/>
      <c r="GK16" s="160"/>
      <c r="GL16" s="160"/>
      <c r="GM16" s="160"/>
      <c r="GN16" s="160"/>
      <c r="GO16" s="160"/>
      <c r="GP16" s="160"/>
      <c r="GQ16" s="160"/>
      <c r="GR16" s="160"/>
      <c r="GS16" s="160"/>
      <c r="GT16" s="160"/>
      <c r="GU16" s="160"/>
      <c r="GV16" s="160"/>
      <c r="GW16" s="160"/>
      <c r="GX16" s="160"/>
      <c r="GY16" s="160"/>
      <c r="GZ16" s="160"/>
      <c r="HA16" s="160"/>
      <c r="HB16" s="160"/>
      <c r="HC16" s="160"/>
      <c r="HD16" s="160"/>
      <c r="HE16" s="160"/>
      <c r="HF16" s="160"/>
      <c r="HG16" s="160"/>
      <c r="HH16" s="160"/>
      <c r="HI16" s="160"/>
      <c r="HJ16" s="160"/>
      <c r="HK16" s="160"/>
      <c r="HL16" s="160"/>
      <c r="HM16" s="160"/>
      <c r="HN16" s="160"/>
      <c r="HO16" s="160"/>
      <c r="HP16" s="160"/>
      <c r="HQ16" s="160"/>
      <c r="HR16" s="160"/>
      <c r="HS16" s="160"/>
      <c r="HT16" s="160"/>
      <c r="HU16" s="160"/>
      <c r="HV16" s="160"/>
      <c r="HW16" s="160"/>
      <c r="HX16" s="160"/>
      <c r="HY16" s="160"/>
      <c r="HZ16" s="160"/>
      <c r="IA16" s="160"/>
      <c r="IB16" s="160"/>
      <c r="IC16" s="160"/>
      <c r="ID16" s="160"/>
      <c r="IE16" s="160"/>
      <c r="IF16" s="160"/>
      <c r="IG16" s="160"/>
      <c r="IH16" s="160"/>
      <c r="II16" s="160"/>
      <c r="IJ16" s="160"/>
      <c r="IK16" s="160"/>
      <c r="IL16" s="160"/>
      <c r="IM16" s="160"/>
      <c r="IN16" s="160"/>
      <c r="IO16" s="160"/>
      <c r="IP16" s="160"/>
      <c r="IQ16" s="160"/>
      <c r="IR16" s="160"/>
      <c r="IS16" s="160"/>
      <c r="IT16" s="160"/>
    </row>
    <row r="17" spans="1:32" s="162" customFormat="1" ht="30">
      <c r="A17" s="150" t="s">
        <v>34</v>
      </c>
      <c r="B17" s="131"/>
      <c r="C17" s="131" t="s">
        <v>169</v>
      </c>
      <c r="D17" s="131" t="s">
        <v>170</v>
      </c>
      <c r="E17" s="131" t="s">
        <v>171</v>
      </c>
      <c r="F17" s="131" t="s">
        <v>172</v>
      </c>
      <c r="G17" s="131" t="s">
        <v>26</v>
      </c>
      <c r="H17" s="131" t="s">
        <v>173</v>
      </c>
      <c r="I17" s="131" t="s">
        <v>174</v>
      </c>
      <c r="J17" s="131" t="s">
        <v>175</v>
      </c>
      <c r="K17" s="131" t="s">
        <v>176</v>
      </c>
      <c r="L17" s="131" t="s">
        <v>27</v>
      </c>
      <c r="M17" s="131" t="s">
        <v>177</v>
      </c>
      <c r="N17" s="131" t="s">
        <v>178</v>
      </c>
      <c r="O17" s="131" t="s">
        <v>179</v>
      </c>
      <c r="P17" s="131" t="s">
        <v>180</v>
      </c>
      <c r="Q17" s="131" t="s">
        <v>28</v>
      </c>
      <c r="R17" s="131" t="s">
        <v>181</v>
      </c>
      <c r="S17" s="131" t="s">
        <v>182</v>
      </c>
      <c r="T17" s="131" t="s">
        <v>183</v>
      </c>
      <c r="U17" s="131" t="s">
        <v>184</v>
      </c>
      <c r="V17" s="131" t="s">
        <v>29</v>
      </c>
      <c r="W17" s="131" t="s">
        <v>185</v>
      </c>
      <c r="X17" s="131" t="s">
        <v>186</v>
      </c>
      <c r="Y17" s="131" t="s">
        <v>187</v>
      </c>
      <c r="Z17" s="131" t="s">
        <v>188</v>
      </c>
      <c r="AA17" s="131" t="s">
        <v>30</v>
      </c>
      <c r="AB17" s="131" t="s">
        <v>189</v>
      </c>
      <c r="AC17" s="131" t="s">
        <v>190</v>
      </c>
      <c r="AD17" s="131" t="s">
        <v>191</v>
      </c>
      <c r="AE17" s="131" t="s">
        <v>192</v>
      </c>
      <c r="AF17" s="132" t="s">
        <v>31</v>
      </c>
    </row>
    <row r="18" spans="1:32">
      <c r="A18" s="151" t="s">
        <v>193</v>
      </c>
      <c r="B18" s="112"/>
      <c r="C18" s="11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8"/>
    </row>
    <row r="19" spans="1:32">
      <c r="A19" s="224"/>
      <c r="B19" s="225"/>
      <c r="C19" s="226"/>
      <c r="D19" s="226"/>
      <c r="E19" s="226"/>
      <c r="F19" s="226"/>
      <c r="G19" s="226"/>
      <c r="H19" s="226"/>
      <c r="I19" s="226"/>
      <c r="J19" s="226"/>
      <c r="K19" s="226"/>
      <c r="L19" s="226"/>
      <c r="M19" s="226"/>
      <c r="N19" s="226"/>
      <c r="O19" s="226"/>
      <c r="P19" s="226"/>
      <c r="Q19" s="226"/>
      <c r="R19" s="226"/>
      <c r="S19" s="226"/>
      <c r="T19" s="226"/>
      <c r="U19" s="226"/>
      <c r="V19" s="226"/>
      <c r="W19" s="226"/>
      <c r="X19" s="226"/>
      <c r="Y19" s="226"/>
      <c r="Z19" s="226"/>
      <c r="AA19" s="226"/>
      <c r="AB19" s="226"/>
      <c r="AC19" s="226"/>
      <c r="AD19" s="226"/>
      <c r="AE19" s="226"/>
      <c r="AF19" s="227"/>
    </row>
    <row r="20" spans="1:32">
      <c r="A20" s="152" t="s">
        <v>194</v>
      </c>
      <c r="B20" s="15"/>
      <c r="C20" s="228">
        <f>'3FS'!C21</f>
        <v>5698</v>
      </c>
      <c r="D20" s="228">
        <f>'3FS'!D21</f>
        <v>5758</v>
      </c>
      <c r="E20" s="228">
        <f>'3FS'!E21</f>
        <v>5589</v>
      </c>
      <c r="F20" s="228">
        <f>'3FS'!F21</f>
        <v>8695</v>
      </c>
      <c r="G20" s="228">
        <f>'3FS'!G21</f>
        <v>25739</v>
      </c>
      <c r="H20" s="228">
        <f>'3FS'!H21</f>
        <v>5676</v>
      </c>
      <c r="I20" s="228">
        <f>'3FS'!I21</f>
        <v>5722</v>
      </c>
      <c r="J20" s="228">
        <f>'3FS'!J21</f>
        <v>5356</v>
      </c>
      <c r="K20" s="228">
        <f>'3FS'!K21</f>
        <v>8577</v>
      </c>
      <c r="L20" s="228">
        <f>'3FS'!L21</f>
        <v>25331</v>
      </c>
      <c r="M20" s="228">
        <f>'3FS'!M21</f>
        <v>3148</v>
      </c>
      <c r="N20" s="228">
        <f>'3FS'!N21</f>
        <v>3727</v>
      </c>
      <c r="O20" s="228">
        <f>'3FS'!O21</f>
        <v>4185</v>
      </c>
      <c r="P20" s="228">
        <f>'3FS'!P21</f>
        <v>7037</v>
      </c>
      <c r="Q20" s="228">
        <f>'3FS'!Q21</f>
        <v>18097</v>
      </c>
      <c r="R20" s="228">
        <f>'3FS'!R21</f>
        <v>4865</v>
      </c>
      <c r="S20" s="228">
        <f>'3FS'!S21</f>
        <v>5844</v>
      </c>
      <c r="T20" s="228">
        <f>'3FS'!T21</f>
        <v>5653</v>
      </c>
      <c r="U20" s="228">
        <f>'3FS'!U21</f>
        <v>8930</v>
      </c>
      <c r="V20" s="228">
        <f>'3FS'!V21</f>
        <v>25399</v>
      </c>
      <c r="W20" s="228">
        <f>'3FS'!W21</f>
        <v>5565</v>
      </c>
      <c r="X20" s="228">
        <f>'3FS'!X21</f>
        <v>5834</v>
      </c>
      <c r="Y20" s="228">
        <f>'3FS'!Y21</f>
        <v>5467</v>
      </c>
      <c r="Z20" s="228">
        <f>'3FS'!Z21</f>
        <v>8583</v>
      </c>
      <c r="AA20" s="228">
        <f>'3FS'!AA21</f>
        <v>25449</v>
      </c>
      <c r="AB20" s="228">
        <f>'3FS'!AB21</f>
        <v>5173</v>
      </c>
      <c r="AC20" s="228">
        <f>'3FS'!AC21</f>
        <v>5280</v>
      </c>
      <c r="AD20" s="228">
        <f>'3FS'!AD21</f>
        <v>5038</v>
      </c>
      <c r="AE20" s="228">
        <f>'3FS'!AE21</f>
        <v>8375</v>
      </c>
      <c r="AF20" s="254">
        <f>'3FS'!AF21</f>
        <v>23866</v>
      </c>
    </row>
    <row r="21" spans="1:32">
      <c r="A21" s="152" t="s">
        <v>50</v>
      </c>
      <c r="B21" s="15"/>
      <c r="C21" s="228">
        <f>'3FS'!C34</f>
        <v>244</v>
      </c>
      <c r="D21" s="228">
        <f>'3FS'!D34</f>
        <v>285</v>
      </c>
      <c r="E21" s="228">
        <f>'3FS'!E34</f>
        <v>117</v>
      </c>
      <c r="F21" s="228">
        <f>'3FS'!F34</f>
        <v>885</v>
      </c>
      <c r="G21" s="228">
        <f>'3FS'!G34</f>
        <v>1532</v>
      </c>
      <c r="H21" s="228">
        <f>'3FS'!H34</f>
        <v>167</v>
      </c>
      <c r="I21" s="228">
        <f>'3FS'!I34</f>
        <v>157</v>
      </c>
      <c r="J21" s="228">
        <f>'3FS'!J34</f>
        <v>48</v>
      </c>
      <c r="K21" s="228">
        <f>'3FS'!K34</f>
        <v>820</v>
      </c>
      <c r="L21" s="228">
        <f>'3FS'!L34</f>
        <v>1159</v>
      </c>
      <c r="M21" s="228">
        <f>'3FS'!M34</f>
        <v>-651</v>
      </c>
      <c r="N21" s="228">
        <f>'3FS'!N34</f>
        <v>-435</v>
      </c>
      <c r="O21" s="228">
        <f>'3FS'!O34</f>
        <v>-106</v>
      </c>
      <c r="P21" s="228">
        <f>'3FS'!P34</f>
        <v>291</v>
      </c>
      <c r="Q21" s="228">
        <f>'3FS'!Q34</f>
        <v>-902</v>
      </c>
      <c r="R21" s="228">
        <f>'3FS'!R34</f>
        <v>243</v>
      </c>
      <c r="S21" s="228">
        <f>'3FS'!S34</f>
        <v>610</v>
      </c>
      <c r="T21" s="228">
        <f>'3FS'!T34</f>
        <v>490</v>
      </c>
      <c r="U21" s="228">
        <f>'3FS'!U34</f>
        <v>990</v>
      </c>
      <c r="V21" s="228">
        <f>'3FS'!V34</f>
        <v>2334</v>
      </c>
      <c r="W21" s="228">
        <f>'3FS'!W34</f>
        <v>436</v>
      </c>
      <c r="X21" s="228">
        <f>'3FS'!X34</f>
        <v>408</v>
      </c>
      <c r="Y21" s="228">
        <f>'3FS'!Y34</f>
        <v>182</v>
      </c>
      <c r="Z21" s="228">
        <f>'3FS'!Z34</f>
        <v>655</v>
      </c>
      <c r="AA21" s="228">
        <f>'3FS'!AA34</f>
        <v>1640</v>
      </c>
      <c r="AB21" s="228">
        <f>'3FS'!AB34</f>
        <v>239</v>
      </c>
      <c r="AC21" s="228">
        <f>'3FS'!AC34</f>
        <v>128</v>
      </c>
      <c r="AD21" s="228">
        <f>'3FS'!AD34</f>
        <v>95</v>
      </c>
      <c r="AE21" s="228">
        <f>'3FS'!AE34</f>
        <v>802</v>
      </c>
      <c r="AF21" s="254">
        <f>'3FS'!AF34</f>
        <v>1263</v>
      </c>
    </row>
    <row r="22" spans="1:32">
      <c r="A22" s="152"/>
      <c r="B22" s="15"/>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255"/>
    </row>
    <row r="23" spans="1:32" s="198" customFormat="1">
      <c r="A23" s="195" t="s">
        <v>195</v>
      </c>
      <c r="B23" s="196"/>
      <c r="C23" s="197">
        <f>'3FS'!C25/'3FS'!C21</f>
        <v>0.40645840645840647</v>
      </c>
      <c r="D23" s="197">
        <f>'3FS'!D25/'3FS'!D21</f>
        <v>0.42341090656477942</v>
      </c>
      <c r="E23" s="197">
        <f>'3FS'!E25/'3FS'!E21</f>
        <v>0.42279477545178029</v>
      </c>
      <c r="F23" s="197">
        <f>'3FS'!F25/'3FS'!F21</f>
        <v>0.39183438757906841</v>
      </c>
      <c r="G23" s="197">
        <f>'3FS'!G25/'3FS'!G21</f>
        <v>0.40887369361669063</v>
      </c>
      <c r="H23" s="197">
        <f>'3FS'!H25/'3FS'!H21</f>
        <v>0.40045806906272025</v>
      </c>
      <c r="I23" s="197">
        <f>'3FS'!I25/'3FS'!I21</f>
        <v>0.40667598741698707</v>
      </c>
      <c r="J23" s="197">
        <f>'3FS'!J25/'3FS'!J21</f>
        <v>0.42008961911874532</v>
      </c>
      <c r="K23" s="197">
        <f>'3FS'!K25/'3FS'!K21</f>
        <v>0.38603241226536084</v>
      </c>
      <c r="L23" s="197">
        <f>'3FS'!L25/'3FS'!L21</f>
        <v>0.40108957403971418</v>
      </c>
      <c r="M23" s="197">
        <f>'3FS'!M25/'3FS'!M21</f>
        <v>0.3008259212198221</v>
      </c>
      <c r="N23" s="197">
        <f>'3FS'!N25/'3FS'!N21</f>
        <v>0.2707271263751006</v>
      </c>
      <c r="O23" s="197">
        <f>'3FS'!O25/'3FS'!O21</f>
        <v>0.38614097968936678</v>
      </c>
      <c r="P23" s="197">
        <f>'3FS'!P25/'3FS'!P21</f>
        <v>0.318175358817678</v>
      </c>
      <c r="Q23" s="197">
        <f>'3FS'!Q25/'3FS'!Q21</f>
        <v>0.32110294523954247</v>
      </c>
      <c r="R23" s="197">
        <f>'3FS'!R25/'3FS'!R21</f>
        <v>0.40616649537512844</v>
      </c>
      <c r="S23" s="197">
        <f>'3FS'!S25/'3FS'!S21</f>
        <v>0.42624914442162903</v>
      </c>
      <c r="T23" s="197">
        <f>'3FS'!T25/'3FS'!T21</f>
        <v>0.43269060675747389</v>
      </c>
      <c r="U23" s="197">
        <f>'3FS'!U25/'3FS'!U21</f>
        <v>0.38331466965285554</v>
      </c>
      <c r="V23" s="197">
        <f>'3FS'!V25/'3FS'!V21</f>
        <v>0.41115791960313397</v>
      </c>
      <c r="W23" s="197">
        <f>'3FS'!W25/'3FS'!W21</f>
        <v>0.41940700808625336</v>
      </c>
      <c r="X23" s="197">
        <f>'3FS'!X25/'3FS'!X21</f>
        <v>0.41343846417552282</v>
      </c>
      <c r="Y23" s="197">
        <f>'3FS'!Y25/'3FS'!Y21</f>
        <v>0.41393817450155479</v>
      </c>
      <c r="Z23" s="197">
        <f>'3FS'!Z25/'3FS'!Z21</f>
        <v>0.36502388442269601</v>
      </c>
      <c r="AA23" s="197">
        <f>'3FS'!AA25/'3FS'!AA21</f>
        <v>0.39695076427364534</v>
      </c>
      <c r="AB23" s="197">
        <f>'3FS'!AB25/'3FS'!AB21</f>
        <v>0.42238546298086216</v>
      </c>
      <c r="AC23" s="197">
        <f>'3FS'!AC25/'3FS'!AC21</f>
        <v>0.3984848484848485</v>
      </c>
      <c r="AD23" s="197">
        <f>'3FS'!AD25/'3FS'!AD21</f>
        <v>0.42338229456133386</v>
      </c>
      <c r="AE23" s="197">
        <f>'3FS'!AE25/'3FS'!AE21</f>
        <v>0.38459701492537313</v>
      </c>
      <c r="AF23" s="212">
        <f>'3FS'!AF25/'3FS'!AF21</f>
        <v>0.40400569848319784</v>
      </c>
    </row>
    <row r="24" spans="1:32" s="211" customFormat="1">
      <c r="A24" s="208" t="s">
        <v>104</v>
      </c>
      <c r="B24" s="209"/>
      <c r="C24" s="210">
        <f>C23</f>
        <v>0.40645840645840647</v>
      </c>
      <c r="D24" s="210">
        <f t="shared" ref="D24:AF24" si="0">D23</f>
        <v>0.42341090656477942</v>
      </c>
      <c r="E24" s="210">
        <f t="shared" si="0"/>
        <v>0.42279477545178029</v>
      </c>
      <c r="F24" s="210">
        <f t="shared" si="0"/>
        <v>0.39183438757906841</v>
      </c>
      <c r="G24" s="210">
        <f t="shared" si="0"/>
        <v>0.40887369361669063</v>
      </c>
      <c r="H24" s="210">
        <f t="shared" si="0"/>
        <v>0.40045806906272025</v>
      </c>
      <c r="I24" s="210">
        <f t="shared" si="0"/>
        <v>0.40667598741698707</v>
      </c>
      <c r="J24" s="210">
        <f t="shared" si="0"/>
        <v>0.42008961911874532</v>
      </c>
      <c r="K24" s="210">
        <f t="shared" si="0"/>
        <v>0.38603241226536084</v>
      </c>
      <c r="L24" s="210">
        <f t="shared" si="0"/>
        <v>0.40108957403971418</v>
      </c>
      <c r="M24" s="210">
        <f t="shared" si="0"/>
        <v>0.3008259212198221</v>
      </c>
      <c r="N24" s="210">
        <f t="shared" si="0"/>
        <v>0.2707271263751006</v>
      </c>
      <c r="O24" s="210">
        <f t="shared" si="0"/>
        <v>0.38614097968936678</v>
      </c>
      <c r="P24" s="210">
        <f t="shared" si="0"/>
        <v>0.318175358817678</v>
      </c>
      <c r="Q24" s="210">
        <f t="shared" si="0"/>
        <v>0.32110294523954247</v>
      </c>
      <c r="R24" s="210">
        <f t="shared" si="0"/>
        <v>0.40616649537512844</v>
      </c>
      <c r="S24" s="210">
        <f t="shared" si="0"/>
        <v>0.42624914442162903</v>
      </c>
      <c r="T24" s="210">
        <f t="shared" si="0"/>
        <v>0.43269060675747389</v>
      </c>
      <c r="U24" s="210">
        <f t="shared" si="0"/>
        <v>0.38331466965285554</v>
      </c>
      <c r="V24" s="210">
        <f t="shared" si="0"/>
        <v>0.41115791960313397</v>
      </c>
      <c r="W24" s="210">
        <f t="shared" si="0"/>
        <v>0.41940700808625336</v>
      </c>
      <c r="X24" s="210">
        <f t="shared" si="0"/>
        <v>0.41343846417552282</v>
      </c>
      <c r="Y24" s="210">
        <f t="shared" si="0"/>
        <v>0.41393817450155479</v>
      </c>
      <c r="Z24" s="210">
        <f t="shared" si="0"/>
        <v>0.36502388442269601</v>
      </c>
      <c r="AA24" s="210">
        <f t="shared" si="0"/>
        <v>0.39695076427364534</v>
      </c>
      <c r="AB24" s="210">
        <f t="shared" si="0"/>
        <v>0.42238546298086216</v>
      </c>
      <c r="AC24" s="210">
        <f t="shared" si="0"/>
        <v>0.3984848484848485</v>
      </c>
      <c r="AD24" s="210">
        <f t="shared" si="0"/>
        <v>0.42338229456133386</v>
      </c>
      <c r="AE24" s="210">
        <f t="shared" si="0"/>
        <v>0.38459701492537313</v>
      </c>
      <c r="AF24" s="213">
        <f t="shared" si="0"/>
        <v>0.40400569848319784</v>
      </c>
    </row>
    <row r="25" spans="1:32" s="198" customFormat="1">
      <c r="A25" s="195" t="s">
        <v>196</v>
      </c>
      <c r="B25" s="196"/>
      <c r="C25" s="197">
        <f>'3FS'!C34/'3FS'!C21</f>
        <v>4.282204282204282E-2</v>
      </c>
      <c r="D25" s="197">
        <f>'3FS'!D34/'3FS'!D21</f>
        <v>4.949635290031261E-2</v>
      </c>
      <c r="E25" s="197">
        <f>'3FS'!E34/'3FS'!E21</f>
        <v>2.0933977455716585E-2</v>
      </c>
      <c r="F25" s="197">
        <f>'3FS'!F34/'3FS'!F21</f>
        <v>0.10178263369752731</v>
      </c>
      <c r="G25" s="197">
        <f>'3FS'!G34/'3FS'!G21</f>
        <v>5.9520571894790007E-2</v>
      </c>
      <c r="H25" s="197">
        <f>'3FS'!H34/'3FS'!H21</f>
        <v>2.9422128259337561E-2</v>
      </c>
      <c r="I25" s="197">
        <f>'3FS'!I34/'3FS'!I21</f>
        <v>2.7437958755679833E-2</v>
      </c>
      <c r="J25" s="197">
        <f>'3FS'!J34/'3FS'!J21</f>
        <v>8.9619118745332335E-3</v>
      </c>
      <c r="K25" s="197">
        <f>'3FS'!K34/'3FS'!K21</f>
        <v>9.5604523726244603E-2</v>
      </c>
      <c r="L25" s="197">
        <f>'3FS'!L34/'3FS'!L21</f>
        <v>4.5754214203939839E-2</v>
      </c>
      <c r="M25" s="197">
        <f>'3FS'!M34/'3FS'!M21</f>
        <v>-0.2067979669631512</v>
      </c>
      <c r="N25" s="197">
        <f>'3FS'!N34/'3FS'!N21</f>
        <v>-0.11671585725784814</v>
      </c>
      <c r="O25" s="197">
        <f>'3FS'!O34/'3FS'!O21</f>
        <v>-2.5328554360812425E-2</v>
      </c>
      <c r="P25" s="197">
        <f>'3FS'!P34/'3FS'!P21</f>
        <v>4.1352849225522237E-2</v>
      </c>
      <c r="Q25" s="197">
        <f>'3FS'!Q34/'3FS'!Q21</f>
        <v>-4.9842515334033263E-2</v>
      </c>
      <c r="R25" s="197">
        <f>'3FS'!R34/'3FS'!R21</f>
        <v>4.9948612538540597E-2</v>
      </c>
      <c r="S25" s="197">
        <f>'3FS'!S34/'3FS'!S21</f>
        <v>0.10438056125941136</v>
      </c>
      <c r="T25" s="197">
        <f>'3FS'!T34/'3FS'!T21</f>
        <v>8.667963912966567E-2</v>
      </c>
      <c r="U25" s="197">
        <f>'3FS'!U34/'3FS'!U21</f>
        <v>0.11086226203807391</v>
      </c>
      <c r="V25" s="197">
        <f>'3FS'!V34/'3FS'!V21</f>
        <v>9.1893381629197995E-2</v>
      </c>
      <c r="W25" s="197">
        <f>'3FS'!W34/'3FS'!W21</f>
        <v>7.8346810422282115E-2</v>
      </c>
      <c r="X25" s="197">
        <f>'3FS'!X34/'3FS'!X21</f>
        <v>6.9934864586904358E-2</v>
      </c>
      <c r="Y25" s="197">
        <f>'3FS'!Y34/'3FS'!Y21</f>
        <v>3.3290653008962869E-2</v>
      </c>
      <c r="Z25" s="197">
        <f>'3FS'!Z34/'3FS'!Z21</f>
        <v>7.6313643248281493E-2</v>
      </c>
      <c r="AA25" s="197">
        <f>'3FS'!AA34/'3FS'!AA21</f>
        <v>6.4442610711619316E-2</v>
      </c>
      <c r="AB25" s="197">
        <f>'3FS'!AB34/'3FS'!AB21</f>
        <v>4.6201430504542819E-2</v>
      </c>
      <c r="AC25" s="197">
        <f>'3FS'!AC34/'3FS'!AC21</f>
        <v>2.4242424242424242E-2</v>
      </c>
      <c r="AD25" s="197">
        <f>'3FS'!AD34/'3FS'!AD21</f>
        <v>1.8856689162366019E-2</v>
      </c>
      <c r="AE25" s="197">
        <f>'3FS'!AE34/'3FS'!AE21</f>
        <v>9.5761194029850741E-2</v>
      </c>
      <c r="AF25" s="212">
        <f>'3FS'!AF34/'3FS'!AF21</f>
        <v>5.2920472638900526E-2</v>
      </c>
    </row>
    <row r="26" spans="1:32" s="211" customFormat="1">
      <c r="A26" s="208" t="s">
        <v>109</v>
      </c>
      <c r="B26" s="209"/>
      <c r="C26" s="210">
        <f>C25</f>
        <v>4.282204282204282E-2</v>
      </c>
      <c r="D26" s="210">
        <f t="shared" ref="D26:AF26" si="1">D25</f>
        <v>4.949635290031261E-2</v>
      </c>
      <c r="E26" s="210">
        <f t="shared" si="1"/>
        <v>2.0933977455716585E-2</v>
      </c>
      <c r="F26" s="210">
        <f t="shared" si="1"/>
        <v>0.10178263369752731</v>
      </c>
      <c r="G26" s="210">
        <f t="shared" si="1"/>
        <v>5.9520571894790007E-2</v>
      </c>
      <c r="H26" s="210">
        <f t="shared" si="1"/>
        <v>2.9422128259337561E-2</v>
      </c>
      <c r="I26" s="210">
        <f t="shared" si="1"/>
        <v>2.7437958755679833E-2</v>
      </c>
      <c r="J26" s="210">
        <f t="shared" si="1"/>
        <v>8.9619118745332335E-3</v>
      </c>
      <c r="K26" s="210">
        <f t="shared" si="1"/>
        <v>9.5604523726244603E-2</v>
      </c>
      <c r="L26" s="210">
        <f t="shared" si="1"/>
        <v>4.5754214203939839E-2</v>
      </c>
      <c r="M26" s="210">
        <f t="shared" si="1"/>
        <v>-0.2067979669631512</v>
      </c>
      <c r="N26" s="210">
        <f t="shared" si="1"/>
        <v>-0.11671585725784814</v>
      </c>
      <c r="O26" s="210">
        <f t="shared" si="1"/>
        <v>-2.5328554360812425E-2</v>
      </c>
      <c r="P26" s="210">
        <f t="shared" si="1"/>
        <v>4.1352849225522237E-2</v>
      </c>
      <c r="Q26" s="210">
        <f t="shared" si="1"/>
        <v>-4.9842515334033263E-2</v>
      </c>
      <c r="R26" s="210">
        <f t="shared" si="1"/>
        <v>4.9948612538540597E-2</v>
      </c>
      <c r="S26" s="210">
        <f t="shared" si="1"/>
        <v>0.10438056125941136</v>
      </c>
      <c r="T26" s="210">
        <f t="shared" si="1"/>
        <v>8.667963912966567E-2</v>
      </c>
      <c r="U26" s="210">
        <f t="shared" si="1"/>
        <v>0.11086226203807391</v>
      </c>
      <c r="V26" s="210">
        <f t="shared" si="1"/>
        <v>9.1893381629197995E-2</v>
      </c>
      <c r="W26" s="210">
        <f t="shared" si="1"/>
        <v>7.8346810422282115E-2</v>
      </c>
      <c r="X26" s="210">
        <f t="shared" si="1"/>
        <v>6.9934864586904358E-2</v>
      </c>
      <c r="Y26" s="210">
        <f t="shared" si="1"/>
        <v>3.3290653008962869E-2</v>
      </c>
      <c r="Z26" s="210">
        <f t="shared" si="1"/>
        <v>7.6313643248281493E-2</v>
      </c>
      <c r="AA26" s="210">
        <f t="shared" si="1"/>
        <v>6.4442610711619316E-2</v>
      </c>
      <c r="AB26" s="210">
        <f t="shared" si="1"/>
        <v>4.6201430504542819E-2</v>
      </c>
      <c r="AC26" s="210">
        <f t="shared" si="1"/>
        <v>2.4242424242424242E-2</v>
      </c>
      <c r="AD26" s="210">
        <f t="shared" si="1"/>
        <v>1.8856689162366019E-2</v>
      </c>
      <c r="AE26" s="210">
        <f t="shared" si="1"/>
        <v>9.5761194029850741E-2</v>
      </c>
      <c r="AF26" s="213">
        <f t="shared" si="1"/>
        <v>5.2920472638900526E-2</v>
      </c>
    </row>
    <row r="27" spans="1:32" s="198" customFormat="1">
      <c r="A27" s="195" t="s">
        <v>197</v>
      </c>
      <c r="B27" s="196"/>
      <c r="C27" s="197">
        <f>'3FS'!C59/'3FS'!C21</f>
        <v>2.4394524394524393E-2</v>
      </c>
      <c r="D27" s="197">
        <f>'3FS'!D59/'3FS'!D21</f>
        <v>2.882945467176103E-2</v>
      </c>
      <c r="E27" s="197">
        <f>'3FS'!E59/'3FS'!E21</f>
        <v>1.1093218822687422E-2</v>
      </c>
      <c r="F27" s="197">
        <f>'3FS'!F59/'3FS'!F21</f>
        <v>8.5106382978723402E-2</v>
      </c>
      <c r="G27" s="197">
        <f>'3FS'!G59/'3FS'!G21</f>
        <v>4.3047515443490426E-2</v>
      </c>
      <c r="H27" s="197">
        <f>'3FS'!H59/'3FS'!H21</f>
        <v>2.3960535588442564E-2</v>
      </c>
      <c r="I27" s="197">
        <f>'3FS'!I59/'3FS'!I21</f>
        <v>1.5029709891646278E-2</v>
      </c>
      <c r="J27" s="197">
        <f>'3FS'!J59/'3FS'!J21</f>
        <v>3.734129947722181E-4</v>
      </c>
      <c r="K27" s="197">
        <f>'3FS'!K59/'3FS'!K21</f>
        <v>3.9640900081613618E-2</v>
      </c>
      <c r="L27" s="197">
        <f>'3FS'!L59/'3FS'!L21</f>
        <v>2.2265208637637677E-2</v>
      </c>
      <c r="M27" s="197">
        <f>'3FS'!M59/'3FS'!M21</f>
        <v>-1.1375476493011436</v>
      </c>
      <c r="N27" s="197">
        <f>'3FS'!N59/'3FS'!N21</f>
        <v>-0.115642607995707</v>
      </c>
      <c r="O27" s="197">
        <f>'3FS'!O59/'3FS'!O21</f>
        <v>-2.1744324970131422E-2</v>
      </c>
      <c r="P27" s="197">
        <f>'3FS'!P59/'3FS'!P21</f>
        <v>2.2736961773483017E-2</v>
      </c>
      <c r="Q27" s="197">
        <f>'3FS'!Q59/'3FS'!Q21</f>
        <v>-0.21793667458694813</v>
      </c>
      <c r="R27" s="197">
        <f>'3FS'!R59/'3FS'!R21</f>
        <v>2.1171634121274409E-2</v>
      </c>
      <c r="S27" s="197">
        <f>'3FS'!S59/'3FS'!S21</f>
        <v>5.9034907597535935E-2</v>
      </c>
      <c r="T27" s="197">
        <f>'3FS'!T59/'3FS'!T21</f>
        <v>4.2278436228551208E-2</v>
      </c>
      <c r="U27" s="197">
        <f>'3FS'!U59/'3FS'!U21</f>
        <v>8.3202687569988804E-2</v>
      </c>
      <c r="V27" s="197">
        <f>'3FS'!V59/'3FS'!V21</f>
        <v>5.6301429190125596E-2</v>
      </c>
      <c r="W27" s="197">
        <f>'3FS'!W59/'3FS'!W21</f>
        <v>5.1392632524708E-2</v>
      </c>
      <c r="X27" s="197">
        <f>'3FS'!X59/'3FS'!X21</f>
        <v>4.7137470003428182E-2</v>
      </c>
      <c r="Y27" s="197">
        <f>'3FS'!Y59/'3FS'!Y21</f>
        <v>1.9754892994329615E-2</v>
      </c>
      <c r="Z27" s="197">
        <f>'3FS'!Z59/'3FS'!Z21</f>
        <v>5.9303273913550038E-2</v>
      </c>
      <c r="AA27" s="197">
        <f>'3FS'!AA59/'3FS'!AA21</f>
        <v>4.5031238948485208E-2</v>
      </c>
      <c r="AB27" s="197">
        <f>'3FS'!AB59/'3FS'!AB21</f>
        <v>2.9963270829306013E-2</v>
      </c>
      <c r="AC27" s="197">
        <f>'3FS'!AC59/'3FS'!AC21</f>
        <v>-4.1666666666666666E-3</v>
      </c>
      <c r="AD27" s="197">
        <f>'3FS'!AD59/'3FS'!AD21</f>
        <v>8.1381500595474401E-3</v>
      </c>
      <c r="AE27" s="197">
        <f>'3FS'!AE59/'3FS'!AE21</f>
        <v>-1.5283582089552239E-2</v>
      </c>
      <c r="AF27" s="212">
        <f>'3FS'!AF59/'3FS'!AF21</f>
        <v>1.885527528701919E-3</v>
      </c>
    </row>
    <row r="28" spans="1:32" s="211" customFormat="1">
      <c r="A28" s="208" t="s">
        <v>113</v>
      </c>
      <c r="B28" s="209"/>
      <c r="C28" s="210">
        <f>C27</f>
        <v>2.4394524394524393E-2</v>
      </c>
      <c r="D28" s="210">
        <f t="shared" ref="D28:AF28" si="2">D27</f>
        <v>2.882945467176103E-2</v>
      </c>
      <c r="E28" s="210">
        <f t="shared" si="2"/>
        <v>1.1093218822687422E-2</v>
      </c>
      <c r="F28" s="210">
        <f t="shared" si="2"/>
        <v>8.5106382978723402E-2</v>
      </c>
      <c r="G28" s="210">
        <f t="shared" si="2"/>
        <v>4.3047515443490426E-2</v>
      </c>
      <c r="H28" s="210">
        <f t="shared" si="2"/>
        <v>2.3960535588442564E-2</v>
      </c>
      <c r="I28" s="210">
        <f t="shared" si="2"/>
        <v>1.5029709891646278E-2</v>
      </c>
      <c r="J28" s="210">
        <f t="shared" si="2"/>
        <v>3.734129947722181E-4</v>
      </c>
      <c r="K28" s="210">
        <f t="shared" si="2"/>
        <v>3.9640900081613618E-2</v>
      </c>
      <c r="L28" s="210">
        <f t="shared" si="2"/>
        <v>2.2265208637637677E-2</v>
      </c>
      <c r="M28" s="210">
        <f t="shared" si="2"/>
        <v>-1.1375476493011436</v>
      </c>
      <c r="N28" s="210">
        <f t="shared" si="2"/>
        <v>-0.115642607995707</v>
      </c>
      <c r="O28" s="210">
        <f t="shared" si="2"/>
        <v>-2.1744324970131422E-2</v>
      </c>
      <c r="P28" s="210">
        <f t="shared" si="2"/>
        <v>2.2736961773483017E-2</v>
      </c>
      <c r="Q28" s="210">
        <f t="shared" si="2"/>
        <v>-0.21793667458694813</v>
      </c>
      <c r="R28" s="210">
        <f t="shared" si="2"/>
        <v>2.1171634121274409E-2</v>
      </c>
      <c r="S28" s="210">
        <f t="shared" si="2"/>
        <v>5.9034907597535935E-2</v>
      </c>
      <c r="T28" s="210">
        <f t="shared" si="2"/>
        <v>4.2278436228551208E-2</v>
      </c>
      <c r="U28" s="210">
        <f t="shared" si="2"/>
        <v>8.3202687569988804E-2</v>
      </c>
      <c r="V28" s="210">
        <f t="shared" si="2"/>
        <v>5.6301429190125596E-2</v>
      </c>
      <c r="W28" s="210">
        <f t="shared" si="2"/>
        <v>5.1392632524708E-2</v>
      </c>
      <c r="X28" s="210">
        <f t="shared" si="2"/>
        <v>4.7137470003428182E-2</v>
      </c>
      <c r="Y28" s="210">
        <f t="shared" si="2"/>
        <v>1.9754892994329615E-2</v>
      </c>
      <c r="Z28" s="210">
        <f t="shared" si="2"/>
        <v>5.9303273913550038E-2</v>
      </c>
      <c r="AA28" s="210">
        <f t="shared" si="2"/>
        <v>4.5031238948485208E-2</v>
      </c>
      <c r="AB28" s="210">
        <f t="shared" si="2"/>
        <v>2.9963270829306013E-2</v>
      </c>
      <c r="AC28" s="210">
        <f t="shared" si="2"/>
        <v>-4.1666666666666666E-3</v>
      </c>
      <c r="AD28" s="210">
        <f t="shared" si="2"/>
        <v>8.1381500595474401E-3</v>
      </c>
      <c r="AE28" s="210">
        <f t="shared" si="2"/>
        <v>-1.5283582089552239E-2</v>
      </c>
      <c r="AF28" s="213">
        <f t="shared" si="2"/>
        <v>1.885527528701919E-3</v>
      </c>
    </row>
    <row r="29" spans="1:32" s="198" customFormat="1">
      <c r="A29" s="207"/>
      <c r="B29" s="196"/>
      <c r="C29" s="197"/>
      <c r="D29" s="197"/>
      <c r="E29" s="197"/>
      <c r="F29" s="197"/>
      <c r="G29" s="197"/>
      <c r="H29" s="197"/>
      <c r="I29" s="197"/>
      <c r="J29" s="197"/>
      <c r="K29" s="197"/>
      <c r="L29" s="197"/>
      <c r="M29" s="197"/>
      <c r="N29" s="197"/>
      <c r="O29" s="197"/>
      <c r="P29" s="197"/>
      <c r="Q29" s="197"/>
      <c r="R29" s="197"/>
      <c r="S29" s="197"/>
      <c r="T29" s="197"/>
      <c r="U29" s="197"/>
      <c r="V29" s="197"/>
      <c r="W29" s="197"/>
      <c r="X29" s="197"/>
      <c r="Y29" s="197"/>
      <c r="Z29" s="197"/>
      <c r="AA29" s="197"/>
      <c r="AB29" s="197"/>
      <c r="AC29" s="197"/>
      <c r="AD29" s="197"/>
      <c r="AE29" s="197"/>
      <c r="AF29" s="212"/>
    </row>
    <row r="30" spans="1:32" s="198" customFormat="1">
      <c r="A30" s="207" t="s">
        <v>198</v>
      </c>
      <c r="B30" s="196"/>
      <c r="C30" s="197">
        <f>'3FS'!C59/'3FS'!C95</f>
        <v>7.1034341782502041E-3</v>
      </c>
      <c r="D30" s="197">
        <f>'3FS'!D59/'3FS'!D95</f>
        <v>8.892221984143989E-3</v>
      </c>
      <c r="E30" s="197">
        <f>'3FS'!E59/'3FS'!E95</f>
        <v>3.0450370806934827E-3</v>
      </c>
      <c r="F30" s="197">
        <f>'3FS'!F59/'3FS'!F95</f>
        <v>3.8553714702511205E-2</v>
      </c>
      <c r="G30" s="257">
        <f>'3FS'!G59/'3FS'!G95</f>
        <v>5.7726372824841096E-2</v>
      </c>
      <c r="H30" s="257">
        <f>'3FS'!H59/'3FS'!H95</f>
        <v>6.386175807663411E-3</v>
      </c>
      <c r="I30" s="257">
        <f>'3FS'!I59/'3FS'!I95</f>
        <v>4.1463767417192999E-3</v>
      </c>
      <c r="J30" s="257">
        <f>'3FS'!J59/'3FS'!J95</f>
        <v>8.8703596930855543E-5</v>
      </c>
      <c r="K30" s="257">
        <f>'3FS'!K59/'3FS'!K95</f>
        <v>1.6058945777441904E-2</v>
      </c>
      <c r="L30" s="257">
        <f>'3FS'!L59/'3FS'!L95</f>
        <v>2.6638957113168337E-2</v>
      </c>
      <c r="M30" s="257">
        <f>'3FS'!M59/'3FS'!M95</f>
        <v>-0.19272375006727302</v>
      </c>
      <c r="N30" s="257">
        <f>'3FS'!N59/'3FS'!N95</f>
        <v>-2.446917224934711E-2</v>
      </c>
      <c r="O30" s="257">
        <f>'3FS'!O59/'3FS'!O95</f>
        <v>-4.736129905277402E-3</v>
      </c>
      <c r="P30" s="257">
        <f>'3FS'!P59/'3FS'!P95</f>
        <v>9.0364848074099176E-3</v>
      </c>
      <c r="Q30" s="257">
        <f>'3FS'!Q59/'3FS'!Q95</f>
        <v>-0.22274935050265446</v>
      </c>
      <c r="R30" s="257">
        <f>'3FS'!R59/'3FS'!R95</f>
        <v>5.6962725362238687E-3</v>
      </c>
      <c r="S30" s="257">
        <f>'3FS'!S59/'3FS'!S95</f>
        <v>1.8732692620948038E-2</v>
      </c>
      <c r="T30" s="257">
        <f>'3FS'!T59/'3FS'!T95</f>
        <v>1.3075113518244981E-2</v>
      </c>
      <c r="U30" s="257">
        <f>'3FS'!U59/'3FS'!U95</f>
        <v>4.2239909039226836E-2</v>
      </c>
      <c r="V30" s="257">
        <f>'3FS'!V59/'3FS'!V95</f>
        <v>8.1296191017623656E-2</v>
      </c>
      <c r="W30" s="257">
        <f>'3FS'!W59/'3FS'!W95</f>
        <v>1.6851284468536412E-2</v>
      </c>
      <c r="X30" s="257">
        <f>'3FS'!X59/'3FS'!X95</f>
        <v>1.68278056541427E-2</v>
      </c>
      <c r="Y30" s="257">
        <f>'3FS'!Y59/'3FS'!Y95</f>
        <v>5.9243006034009876E-3</v>
      </c>
      <c r="Z30" s="257">
        <f>'3FS'!Z59/'3FS'!Z95</f>
        <v>3.0179058460808726E-2</v>
      </c>
      <c r="AA30" s="257">
        <f>'3FS'!AA59/'3FS'!AA95</f>
        <v>6.794734969761651E-2</v>
      </c>
      <c r="AB30" s="257">
        <f>'3FS'!AB59/'3FS'!AB95</f>
        <v>9.1889969172397439E-3</v>
      </c>
      <c r="AC30" s="257">
        <f>'3FS'!AC59/'3FS'!AC95</f>
        <v>-1.3493621197252208E-3</v>
      </c>
      <c r="AD30" s="257">
        <f>'3FS'!AD59/'3FS'!AD95</f>
        <v>2.2638175694329413E-3</v>
      </c>
      <c r="AE30" s="257">
        <f>'3FS'!AE59/'3FS'!AE95</f>
        <v>-7.8788624892281185E-3</v>
      </c>
      <c r="AF30" s="258">
        <f>'3FS'!AF59/'3FS'!AF95</f>
        <v>2.76991259386926E-3</v>
      </c>
    </row>
    <row r="31" spans="1:32" s="198" customFormat="1">
      <c r="A31" s="207" t="s">
        <v>199</v>
      </c>
      <c r="B31" s="196"/>
      <c r="C31" s="197">
        <f>'3FS'!C59/'3FS'!C126</f>
        <v>2.3961385967936562E-2</v>
      </c>
      <c r="D31" s="197">
        <f>'3FS'!D59/'3FS'!D126</f>
        <v>2.8164234815066171E-2</v>
      </c>
      <c r="E31" s="197">
        <f>'3FS'!E59/'3FS'!E126</f>
        <v>1.0983170947741363E-2</v>
      </c>
      <c r="F31" s="197">
        <f>'3FS'!F59/'3FS'!F126</f>
        <v>0.11497824735860783</v>
      </c>
      <c r="G31" s="257">
        <f>'3FS'!G59/'3FS'!G126</f>
        <v>0.17215661901802362</v>
      </c>
      <c r="H31" s="257">
        <f>'3FS'!H59/'3FS'!H126</f>
        <v>1.8712162905888827E-2</v>
      </c>
      <c r="I31" s="257">
        <f>'3FS'!I59/'3FS'!I126</f>
        <v>1.1853893866299104E-2</v>
      </c>
      <c r="J31" s="257">
        <f>'3FS'!J59/'3FS'!J126</f>
        <v>2.8433323855558713E-4</v>
      </c>
      <c r="K31" s="257">
        <f>'3FS'!K59/'3FS'!K126</f>
        <v>5.3316606554806335E-2</v>
      </c>
      <c r="L31" s="257">
        <f>'3FS'!L59/'3FS'!L126</f>
        <v>8.8442841461502275E-2</v>
      </c>
      <c r="M31" s="257">
        <f>'3FS'!M59/'3FS'!M126</f>
        <v>-0.97336232671921719</v>
      </c>
      <c r="N31" s="257">
        <f>'3FS'!N59/'3FS'!N126</f>
        <v>-0.13241167434715823</v>
      </c>
      <c r="O31" s="257">
        <f>'3FS'!O59/'3FS'!O126</f>
        <v>-2.8688524590163935E-2</v>
      </c>
      <c r="P31" s="257">
        <f>'3FS'!P59/'3FS'!P126</f>
        <v>6.2671367019193111E-2</v>
      </c>
      <c r="Q31" s="257">
        <f>'3FS'!Q59/'3FS'!Q126</f>
        <v>-1.54484919702311</v>
      </c>
      <c r="R31" s="257">
        <f>'3FS'!R59/'3FS'!R126</f>
        <v>2.9811866859623733E-2</v>
      </c>
      <c r="S31" s="257">
        <f>'3FS'!S59/'3FS'!S126</f>
        <v>9.0527420624507998E-2</v>
      </c>
      <c r="T31" s="257">
        <f>'3FS'!T59/'3FS'!T126</f>
        <v>6.5140365222131374E-2</v>
      </c>
      <c r="U31" s="257">
        <f>'3FS'!U59/'3FS'!U126</f>
        <v>0.20519193592930129</v>
      </c>
      <c r="V31" s="257">
        <f>'3FS'!V59/'3FS'!V126</f>
        <v>0.39491853079259875</v>
      </c>
      <c r="W31" s="257">
        <f>'3FS'!W59/'3FS'!W126</f>
        <v>7.3408624229979472E-2</v>
      </c>
      <c r="X31" s="257">
        <f>'3FS'!X59/'3FS'!X126</f>
        <v>6.6328991799324652E-2</v>
      </c>
      <c r="Y31" s="257">
        <f>'3FS'!Y59/'3FS'!Y126</f>
        <v>2.5824964131994262E-2</v>
      </c>
      <c r="Z31" s="257">
        <f>'3FS'!Z59/'3FS'!Z126</f>
        <v>0.12469377756001959</v>
      </c>
      <c r="AA31" s="257">
        <f>'3FS'!AA59/'3FS'!AA126</f>
        <v>0.28074473297403235</v>
      </c>
      <c r="AB31" s="257">
        <f>'3FS'!AB59/'3FS'!AB126</f>
        <v>3.2379360768748693E-2</v>
      </c>
      <c r="AC31" s="257">
        <f>'3FS'!AC59/'3FS'!AC126</f>
        <v>-4.6452702702702705E-3</v>
      </c>
      <c r="AD31" s="257">
        <f>'3FS'!AD59/'3FS'!AD126</f>
        <v>8.7178396768020413E-3</v>
      </c>
      <c r="AE31" s="257">
        <f>'3FS'!AE59/'3FS'!AE126</f>
        <v>-3.1722428748451055E-2</v>
      </c>
      <c r="AF31" s="258">
        <f>'3FS'!AF59/'3FS'!AF126</f>
        <v>1.1152416356877323E-2</v>
      </c>
    </row>
    <row r="32" spans="1:32">
      <c r="A32" s="9"/>
      <c r="B32" s="1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82"/>
    </row>
    <row r="33" spans="1:254" s="161" customFormat="1" ht="28.25" customHeight="1">
      <c r="A33" s="194" t="s">
        <v>200</v>
      </c>
      <c r="B33" s="165"/>
      <c r="C33" s="166"/>
      <c r="D33" s="166"/>
      <c r="E33" s="166"/>
      <c r="F33" s="166"/>
      <c r="G33" s="166">
        <v>2019</v>
      </c>
      <c r="H33" s="166"/>
      <c r="I33" s="166"/>
      <c r="J33" s="166"/>
      <c r="K33" s="166"/>
      <c r="L33" s="166">
        <v>2020</v>
      </c>
      <c r="M33" s="166"/>
      <c r="N33" s="166"/>
      <c r="O33" s="166"/>
      <c r="P33" s="166"/>
      <c r="Q33" s="166">
        <v>2021</v>
      </c>
      <c r="R33" s="166"/>
      <c r="S33" s="166"/>
      <c r="T33" s="166"/>
      <c r="U33" s="166"/>
      <c r="V33" s="166">
        <v>2022</v>
      </c>
      <c r="W33" s="166"/>
      <c r="X33" s="166"/>
      <c r="Y33" s="166"/>
      <c r="Z33" s="166"/>
      <c r="AA33" s="166">
        <v>2023</v>
      </c>
      <c r="AB33" s="166"/>
      <c r="AC33" s="166"/>
      <c r="AD33" s="166"/>
      <c r="AE33" s="166"/>
      <c r="AF33" s="167">
        <v>2024</v>
      </c>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c r="CM33" s="160"/>
      <c r="CN33" s="160"/>
      <c r="CO33" s="160"/>
      <c r="CP33" s="160"/>
      <c r="CQ33" s="160"/>
      <c r="CR33" s="160"/>
      <c r="CS33" s="160"/>
      <c r="CT33" s="160"/>
      <c r="CU33" s="160"/>
      <c r="CV33" s="160"/>
      <c r="CW33" s="160"/>
      <c r="CX33" s="160"/>
      <c r="CY33" s="160"/>
      <c r="CZ33" s="160"/>
      <c r="DA33" s="160"/>
      <c r="DB33" s="160"/>
      <c r="DC33" s="160"/>
      <c r="DD33" s="160"/>
      <c r="DE33" s="160"/>
      <c r="DF33" s="160"/>
      <c r="DG33" s="160"/>
      <c r="DH33" s="160"/>
      <c r="DI33" s="160"/>
      <c r="DJ33" s="160"/>
      <c r="DK33" s="160"/>
      <c r="DL33" s="160"/>
      <c r="DM33" s="160"/>
      <c r="DN33" s="160"/>
      <c r="DO33" s="160"/>
      <c r="DP33" s="160"/>
      <c r="DQ33" s="160"/>
      <c r="DR33" s="160"/>
      <c r="DS33" s="160"/>
      <c r="DT33" s="160"/>
      <c r="DU33" s="160"/>
      <c r="DV33" s="160"/>
      <c r="DW33" s="160"/>
      <c r="DX33" s="160"/>
      <c r="DY33" s="160"/>
      <c r="DZ33" s="160"/>
      <c r="EA33" s="160"/>
      <c r="EB33" s="160"/>
      <c r="EC33" s="160"/>
      <c r="ED33" s="160"/>
      <c r="EE33" s="160"/>
      <c r="EF33" s="160"/>
      <c r="EG33" s="160"/>
      <c r="EH33" s="160"/>
      <c r="EI33" s="160"/>
      <c r="EJ33" s="160"/>
      <c r="EK33" s="160"/>
      <c r="EL33" s="160"/>
      <c r="EM33" s="160"/>
      <c r="EN33" s="160"/>
      <c r="EO33" s="160"/>
      <c r="EP33" s="160"/>
      <c r="EQ33" s="160"/>
      <c r="ER33" s="160"/>
      <c r="ES33" s="160"/>
      <c r="ET33" s="160"/>
      <c r="EU33" s="160"/>
      <c r="EV33" s="160"/>
      <c r="EW33" s="160"/>
      <c r="EX33" s="160"/>
      <c r="EY33" s="160"/>
      <c r="EZ33" s="160"/>
      <c r="FA33" s="160"/>
      <c r="FB33" s="160"/>
      <c r="FC33" s="160"/>
      <c r="FD33" s="160"/>
      <c r="FE33" s="160"/>
      <c r="FF33" s="160"/>
      <c r="FG33" s="160"/>
      <c r="FH33" s="160"/>
      <c r="FI33" s="160"/>
      <c r="FJ33" s="160"/>
      <c r="FK33" s="160"/>
      <c r="FL33" s="160"/>
      <c r="FM33" s="160"/>
      <c r="FN33" s="160"/>
      <c r="FO33" s="160"/>
      <c r="FP33" s="160"/>
      <c r="FQ33" s="160"/>
      <c r="FR33" s="160"/>
      <c r="FS33" s="160"/>
      <c r="FT33" s="160"/>
      <c r="FU33" s="160"/>
      <c r="FV33" s="160"/>
      <c r="FW33" s="160"/>
      <c r="FX33" s="160"/>
      <c r="FY33" s="160"/>
      <c r="FZ33" s="160"/>
      <c r="GA33" s="160"/>
      <c r="GB33" s="160"/>
      <c r="GC33" s="160"/>
      <c r="GD33" s="160"/>
      <c r="GE33" s="160"/>
      <c r="GF33" s="160"/>
      <c r="GG33" s="160"/>
      <c r="GH33" s="160"/>
      <c r="GI33" s="160"/>
      <c r="GJ33" s="160"/>
      <c r="GK33" s="160"/>
      <c r="GL33" s="160"/>
      <c r="GM33" s="160"/>
      <c r="GN33" s="160"/>
      <c r="GO33" s="160"/>
      <c r="GP33" s="160"/>
      <c r="GQ33" s="160"/>
      <c r="GR33" s="160"/>
      <c r="GS33" s="160"/>
      <c r="GT33" s="160"/>
      <c r="GU33" s="160"/>
      <c r="GV33" s="160"/>
      <c r="GW33" s="160"/>
      <c r="GX33" s="160"/>
      <c r="GY33" s="160"/>
      <c r="GZ33" s="160"/>
      <c r="HA33" s="160"/>
      <c r="HB33" s="160"/>
      <c r="HC33" s="160"/>
      <c r="HD33" s="160"/>
      <c r="HE33" s="160"/>
      <c r="HF33" s="160"/>
      <c r="HG33" s="160"/>
      <c r="HH33" s="160"/>
      <c r="HI33" s="160"/>
      <c r="HJ33" s="160"/>
      <c r="HK33" s="160"/>
      <c r="HL33" s="160"/>
      <c r="HM33" s="160"/>
      <c r="HN33" s="160"/>
      <c r="HO33" s="160"/>
      <c r="HP33" s="160"/>
      <c r="HQ33" s="160"/>
      <c r="HR33" s="160"/>
      <c r="HS33" s="160"/>
      <c r="HT33" s="160"/>
      <c r="HU33" s="160"/>
      <c r="HV33" s="160"/>
      <c r="HW33" s="160"/>
      <c r="HX33" s="160"/>
      <c r="HY33" s="160"/>
      <c r="HZ33" s="160"/>
      <c r="IA33" s="160"/>
      <c r="IB33" s="160"/>
      <c r="IC33" s="160"/>
      <c r="ID33" s="160"/>
      <c r="IE33" s="160"/>
      <c r="IF33" s="160"/>
      <c r="IG33" s="160"/>
      <c r="IH33" s="160"/>
      <c r="II33" s="160"/>
      <c r="IJ33" s="160"/>
      <c r="IK33" s="160"/>
      <c r="IL33" s="160"/>
      <c r="IM33" s="160"/>
      <c r="IN33" s="160"/>
      <c r="IO33" s="160"/>
      <c r="IP33" s="160"/>
      <c r="IQ33" s="160"/>
      <c r="IR33" s="160"/>
      <c r="IS33" s="160"/>
      <c r="IT33" s="160"/>
    </row>
    <row r="34" spans="1:254" s="162" customFormat="1" ht="30">
      <c r="A34" s="150" t="s">
        <v>34</v>
      </c>
      <c r="B34" s="131"/>
      <c r="C34" s="131" t="s">
        <v>169</v>
      </c>
      <c r="D34" s="131" t="s">
        <v>170</v>
      </c>
      <c r="E34" s="131" t="s">
        <v>171</v>
      </c>
      <c r="F34" s="131" t="s">
        <v>172</v>
      </c>
      <c r="G34" s="131" t="s">
        <v>26</v>
      </c>
      <c r="H34" s="131" t="s">
        <v>173</v>
      </c>
      <c r="I34" s="131" t="s">
        <v>174</v>
      </c>
      <c r="J34" s="131" t="s">
        <v>175</v>
      </c>
      <c r="K34" s="131" t="s">
        <v>176</v>
      </c>
      <c r="L34" s="131" t="s">
        <v>27</v>
      </c>
      <c r="M34" s="131" t="s">
        <v>177</v>
      </c>
      <c r="N34" s="131" t="s">
        <v>178</v>
      </c>
      <c r="O34" s="131" t="s">
        <v>179</v>
      </c>
      <c r="P34" s="131" t="s">
        <v>180</v>
      </c>
      <c r="Q34" s="131" t="s">
        <v>28</v>
      </c>
      <c r="R34" s="131" t="s">
        <v>181</v>
      </c>
      <c r="S34" s="131" t="s">
        <v>182</v>
      </c>
      <c r="T34" s="131" t="s">
        <v>183</v>
      </c>
      <c r="U34" s="131" t="s">
        <v>184</v>
      </c>
      <c r="V34" s="131" t="s">
        <v>29</v>
      </c>
      <c r="W34" s="131" t="s">
        <v>185</v>
      </c>
      <c r="X34" s="131" t="s">
        <v>186</v>
      </c>
      <c r="Y34" s="131" t="s">
        <v>187</v>
      </c>
      <c r="Z34" s="131" t="s">
        <v>188</v>
      </c>
      <c r="AA34" s="131" t="s">
        <v>30</v>
      </c>
      <c r="AB34" s="131" t="s">
        <v>189</v>
      </c>
      <c r="AC34" s="131" t="s">
        <v>190</v>
      </c>
      <c r="AD34" s="131" t="s">
        <v>191</v>
      </c>
      <c r="AE34" s="131" t="s">
        <v>192</v>
      </c>
      <c r="AF34" s="132" t="s">
        <v>31</v>
      </c>
    </row>
    <row r="35" spans="1:254">
      <c r="A35" s="151" t="s">
        <v>193</v>
      </c>
      <c r="B35" s="112"/>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8"/>
    </row>
    <row r="36" spans="1:254">
      <c r="A36" s="152" t="s">
        <v>57</v>
      </c>
      <c r="B36" s="15"/>
      <c r="C36" s="54"/>
      <c r="D36" s="54"/>
      <c r="E36" s="54"/>
      <c r="F36" s="54"/>
      <c r="G36" s="45"/>
      <c r="H36" s="54"/>
      <c r="I36" s="54"/>
      <c r="J36" s="54"/>
      <c r="K36" s="54"/>
      <c r="L36" s="45"/>
      <c r="M36" s="54"/>
      <c r="N36" s="54"/>
      <c r="O36" s="54"/>
      <c r="P36" s="54"/>
      <c r="Q36" s="45"/>
      <c r="R36" s="54"/>
      <c r="S36" s="54"/>
      <c r="T36" s="54"/>
      <c r="U36" s="54"/>
      <c r="V36" s="45"/>
      <c r="W36" s="45"/>
      <c r="X36" s="45"/>
      <c r="Y36" s="45"/>
      <c r="Z36" s="45"/>
      <c r="AA36" s="45"/>
      <c r="AB36" s="45"/>
      <c r="AC36" s="45"/>
      <c r="AD36" s="45"/>
      <c r="AE36" s="45"/>
      <c r="AF36" s="86"/>
    </row>
    <row r="37" spans="1:254" s="204" customFormat="1">
      <c r="A37" s="199" t="s">
        <v>201</v>
      </c>
      <c r="B37" s="200"/>
      <c r="C37" s="201">
        <f>'3FS'!C84/'3FS'!C106</f>
        <v>1.518613354343116</v>
      </c>
      <c r="D37" s="201">
        <f>'3FS'!D84/'3FS'!D106</f>
        <v>1.5320241017629994</v>
      </c>
      <c r="E37" s="201">
        <f>'3FS'!E84/'3FS'!E106</f>
        <v>1.3449720670391061</v>
      </c>
      <c r="F37" s="201">
        <f>'3FS'!F84/'3FS'!F106</f>
        <v>1.4229740061162079</v>
      </c>
      <c r="G37" s="259">
        <f>'3FS'!G84/'3FS'!G106</f>
        <v>1.4229740061162079</v>
      </c>
      <c r="H37" s="259">
        <f>'3FS'!H84/'3FS'!H106</f>
        <v>1.4156206415620642</v>
      </c>
      <c r="I37" s="259">
        <f>'3FS'!I84/'3FS'!I106</f>
        <v>1.4746564541563416</v>
      </c>
      <c r="J37" s="259">
        <f>'3FS'!J84/'3FS'!J106</f>
        <v>1.2812162370736224</v>
      </c>
      <c r="K37" s="259">
        <f>'3FS'!K84/'3FS'!K106</f>
        <v>1.1843478260869564</v>
      </c>
      <c r="L37" s="259">
        <f>'3FS'!L84/'3FS'!L106</f>
        <v>1.1843478260869564</v>
      </c>
      <c r="M37" s="259">
        <f>'3FS'!M84/'3FS'!M106</f>
        <v>1.2361399861399862</v>
      </c>
      <c r="N37" s="259">
        <f>'3FS'!N84/'3FS'!N106</f>
        <v>1.1600741656365883</v>
      </c>
      <c r="O37" s="259">
        <f>'3FS'!O84/'3FS'!O106</f>
        <v>1.1061494512103442</v>
      </c>
      <c r="P37" s="259">
        <f>'3FS'!P84/'3FS'!P106</f>
        <v>1.154377450065335</v>
      </c>
      <c r="Q37" s="259">
        <f>'3FS'!Q84/'3FS'!Q106</f>
        <v>1.154377450065335</v>
      </c>
      <c r="R37" s="259">
        <f>'3FS'!R84/'3FS'!R106</f>
        <v>1.3120695904313158</v>
      </c>
      <c r="S37" s="259">
        <f>'3FS'!S84/'3FS'!S106</f>
        <v>1.1359701492537313</v>
      </c>
      <c r="T37" s="259">
        <f>'3FS'!T84/'3FS'!T106</f>
        <v>1.1379103582671264</v>
      </c>
      <c r="U37" s="259">
        <f>'3FS'!U84/'3FS'!U106</f>
        <v>1.2477843426883308</v>
      </c>
      <c r="V37" s="259">
        <f>'3FS'!V84/'3FS'!V106</f>
        <v>1.2477843426883308</v>
      </c>
      <c r="W37" s="259">
        <f>'3FS'!W84/'3FS'!W106</f>
        <v>1.1244813278008299</v>
      </c>
      <c r="X37" s="259">
        <f>'3FS'!X84/'3FS'!X106</f>
        <v>1.1716227697536108</v>
      </c>
      <c r="Y37" s="259">
        <f>'3FS'!Y84/'3FS'!Y106</f>
        <v>1.0897226753670473</v>
      </c>
      <c r="Z37" s="259">
        <f>'3FS'!Z84/'3FS'!Z106</f>
        <v>1.2040732359596791</v>
      </c>
      <c r="AA37" s="259">
        <f>'3FS'!AA84/'3FS'!AA106</f>
        <v>1.2040732359596791</v>
      </c>
      <c r="AB37" s="259">
        <f>'3FS'!AB84/'3FS'!AB106</f>
        <v>1.2243831033040569</v>
      </c>
      <c r="AC37" s="259">
        <f>'3FS'!AC84/'3FS'!AC106</f>
        <v>1.2597992351816443</v>
      </c>
      <c r="AD37" s="259">
        <f>'3FS'!AD84/'3FS'!AD106</f>
        <v>1.1755902893249086</v>
      </c>
      <c r="AE37" s="259">
        <f>'3FS'!AE84/'3FS'!AE106</f>
        <v>1.3435569285083848</v>
      </c>
      <c r="AF37" s="260">
        <f>'3FS'!AF84/'3FS'!AF106</f>
        <v>1.3435569285083848</v>
      </c>
    </row>
    <row r="38" spans="1:254" s="204" customFormat="1">
      <c r="A38" s="199" t="s">
        <v>202</v>
      </c>
      <c r="B38" s="200"/>
      <c r="C38" s="201">
        <f>('3FS'!C84-'3FS'!C80)/'3FS'!C106</f>
        <v>0.47646247784124485</v>
      </c>
      <c r="D38" s="201">
        <f>('3FS'!D84-'3FS'!D80)/'3FS'!D106</f>
        <v>0.42602097746038831</v>
      </c>
      <c r="E38" s="201">
        <f>('3FS'!E84-'3FS'!E80)/'3FS'!E106</f>
        <v>0.23587833643699566</v>
      </c>
      <c r="F38" s="201">
        <f>('3FS'!F84-'3FS'!F80)/'3FS'!F106</f>
        <v>0.41704892966360857</v>
      </c>
      <c r="G38" s="259">
        <f>('3FS'!G84-'3FS'!G80)/'3FS'!G106</f>
        <v>0.41704892966360857</v>
      </c>
      <c r="H38" s="259">
        <f>('3FS'!H84-'3FS'!H80)/'3FS'!H106</f>
        <v>0.32018330344690177</v>
      </c>
      <c r="I38" s="259">
        <f>('3FS'!I84-'3FS'!I80)/'3FS'!I106</f>
        <v>0.34174363595404372</v>
      </c>
      <c r="J38" s="259">
        <f>('3FS'!J84-'3FS'!J80)/'3FS'!J106</f>
        <v>0.16129032258064516</v>
      </c>
      <c r="K38" s="259">
        <f>('3FS'!K84-'3FS'!K80)/'3FS'!K106</f>
        <v>0.28208695652173915</v>
      </c>
      <c r="L38" s="259">
        <f>('3FS'!L84-'3FS'!L80)/'3FS'!L106</f>
        <v>0.28208695652173915</v>
      </c>
      <c r="M38" s="259">
        <f>('3FS'!M84-'3FS'!M80)/'3FS'!M106</f>
        <v>0.38322938322938321</v>
      </c>
      <c r="N38" s="259">
        <f>('3FS'!N84-'3FS'!N80)/'3FS'!N106</f>
        <v>0.42212608158220027</v>
      </c>
      <c r="O38" s="259">
        <f>('3FS'!O84-'3FS'!O80)/'3FS'!O106</f>
        <v>0.33273192001202828</v>
      </c>
      <c r="P38" s="259">
        <f>('3FS'!P84-'3FS'!P80)/'3FS'!P106</f>
        <v>0.44987866343102484</v>
      </c>
      <c r="Q38" s="259">
        <f>('3FS'!Q84-'3FS'!Q80)/'3FS'!Q106</f>
        <v>0.44987866343102484</v>
      </c>
      <c r="R38" s="259">
        <f>('3FS'!R84-'3FS'!R80)/'3FS'!R106</f>
        <v>0.54548749546937292</v>
      </c>
      <c r="S38" s="259">
        <f>('3FS'!S84-'3FS'!S80)/'3FS'!S106</f>
        <v>0.49447761194029849</v>
      </c>
      <c r="T38" s="259">
        <f>('3FS'!T84-'3FS'!T80)/'3FS'!T106</f>
        <v>0.21735871683405786</v>
      </c>
      <c r="U38" s="259">
        <f>('3FS'!U84-'3FS'!U80)/'3FS'!U106</f>
        <v>0.43851550960118169</v>
      </c>
      <c r="V38" s="259">
        <f>('3FS'!V84-'3FS'!V80)/'3FS'!V106</f>
        <v>0.43851550960118169</v>
      </c>
      <c r="W38" s="259">
        <f>('3FS'!W84-'3FS'!W80)/'3FS'!W106</f>
        <v>0.23038066029226051</v>
      </c>
      <c r="X38" s="259">
        <f>('3FS'!X84-'3FS'!X80)/'3FS'!X106</f>
        <v>0.19243840271877655</v>
      </c>
      <c r="Y38" s="259">
        <f>('3FS'!Y84-'3FS'!Y80)/'3FS'!Y106</f>
        <v>0.14014533590390035</v>
      </c>
      <c r="Z38" s="259">
        <f>('3FS'!Z84-'3FS'!Z80)/'3FS'!Z106</f>
        <v>0.32627031475005142</v>
      </c>
      <c r="AA38" s="259">
        <f>('3FS'!AA84-'3FS'!AA80)/'3FS'!AA106</f>
        <v>0.32627031475005142</v>
      </c>
      <c r="AB38" s="259">
        <f>('3FS'!AB84-'3FS'!AB80)/'3FS'!AB106</f>
        <v>0.26097867001254704</v>
      </c>
      <c r="AC38" s="259">
        <f>('3FS'!AC84-'3FS'!AC80)/'3FS'!AC106</f>
        <v>0.27294455066921608</v>
      </c>
      <c r="AD38" s="259">
        <f>('3FS'!AD84-'3FS'!AD80)/'3FS'!AD106</f>
        <v>0.17376122381110742</v>
      </c>
      <c r="AE38" s="259">
        <f>('3FS'!AE84-'3FS'!AE80)/'3FS'!AE106</f>
        <v>0.38128861429832306</v>
      </c>
      <c r="AF38" s="260">
        <f>('3FS'!AF84-'3FS'!AF80)/'3FS'!AF106</f>
        <v>0.38128861429832306</v>
      </c>
    </row>
    <row r="39" spans="1:254">
      <c r="A39" s="192"/>
      <c r="B39" s="12"/>
      <c r="C39" s="52"/>
      <c r="D39" s="52"/>
      <c r="E39" s="52"/>
      <c r="F39" s="52"/>
      <c r="G39" s="51"/>
      <c r="H39" s="52"/>
      <c r="I39" s="52"/>
      <c r="J39" s="52"/>
      <c r="K39" s="52"/>
      <c r="L39" s="51"/>
      <c r="M39" s="52"/>
      <c r="N39" s="52"/>
      <c r="O39" s="52"/>
      <c r="P39" s="52"/>
      <c r="Q39" s="51"/>
      <c r="R39" s="52"/>
      <c r="S39" s="52"/>
      <c r="T39" s="52"/>
      <c r="U39" s="52"/>
      <c r="V39" s="51"/>
      <c r="W39" s="51"/>
      <c r="X39" s="51"/>
      <c r="Y39" s="51"/>
      <c r="Z39" s="51"/>
      <c r="AA39" s="51"/>
      <c r="AB39" s="51"/>
      <c r="AC39" s="51"/>
      <c r="AD39" s="51"/>
      <c r="AE39" s="51"/>
      <c r="AF39" s="78"/>
    </row>
    <row r="40" spans="1:254" s="161" customFormat="1" ht="40.25" customHeight="1">
      <c r="A40" s="193" t="s">
        <v>203</v>
      </c>
      <c r="B40" s="165"/>
      <c r="C40" s="166"/>
      <c r="D40" s="166"/>
      <c r="E40" s="166"/>
      <c r="F40" s="166"/>
      <c r="G40" s="166">
        <v>2019</v>
      </c>
      <c r="H40" s="166"/>
      <c r="I40" s="166"/>
      <c r="J40" s="166"/>
      <c r="K40" s="166"/>
      <c r="L40" s="166">
        <v>2020</v>
      </c>
      <c r="M40" s="166"/>
      <c r="N40" s="166"/>
      <c r="O40" s="166"/>
      <c r="P40" s="166"/>
      <c r="Q40" s="166">
        <v>2021</v>
      </c>
      <c r="R40" s="166"/>
      <c r="S40" s="166"/>
      <c r="T40" s="166"/>
      <c r="U40" s="166"/>
      <c r="V40" s="166">
        <v>2022</v>
      </c>
      <c r="W40" s="166"/>
      <c r="X40" s="166"/>
      <c r="Y40" s="166"/>
      <c r="Z40" s="166"/>
      <c r="AA40" s="166">
        <v>2023</v>
      </c>
      <c r="AB40" s="166"/>
      <c r="AC40" s="166"/>
      <c r="AD40" s="166"/>
      <c r="AE40" s="166"/>
      <c r="AF40" s="167">
        <v>2024</v>
      </c>
      <c r="AG40" s="160"/>
      <c r="AH40" s="160"/>
      <c r="AI40" s="160"/>
      <c r="AJ40" s="160"/>
      <c r="AK40" s="160"/>
      <c r="AL40" s="160"/>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0"/>
      <c r="BQ40" s="160"/>
      <c r="BR40" s="160"/>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160"/>
      <c r="CV40" s="160"/>
      <c r="CW40" s="160"/>
      <c r="CX40" s="160"/>
      <c r="CY40" s="160"/>
      <c r="CZ40" s="160"/>
      <c r="DA40" s="160"/>
      <c r="DB40" s="160"/>
      <c r="DC40" s="160"/>
      <c r="DD40" s="160"/>
      <c r="DE40" s="160"/>
      <c r="DF40" s="160"/>
      <c r="DG40" s="160"/>
      <c r="DH40" s="160"/>
      <c r="DI40" s="160"/>
      <c r="DJ40" s="160"/>
      <c r="DK40" s="160"/>
      <c r="DL40" s="160"/>
      <c r="DM40" s="160"/>
      <c r="DN40" s="160"/>
      <c r="DO40" s="160"/>
      <c r="DP40" s="160"/>
      <c r="DQ40" s="160"/>
      <c r="DR40" s="160"/>
      <c r="DS40" s="160"/>
      <c r="DT40" s="160"/>
      <c r="DU40" s="160"/>
      <c r="DV40" s="160"/>
      <c r="DW40" s="160"/>
      <c r="DX40" s="160"/>
      <c r="DY40" s="160"/>
      <c r="DZ40" s="160"/>
      <c r="EA40" s="160"/>
      <c r="EB40" s="160"/>
      <c r="EC40" s="160"/>
      <c r="ED40" s="160"/>
      <c r="EE40" s="160"/>
      <c r="EF40" s="160"/>
      <c r="EG40" s="160"/>
      <c r="EH40" s="160"/>
      <c r="EI40" s="160"/>
      <c r="EJ40" s="160"/>
      <c r="EK40" s="160"/>
      <c r="EL40" s="160"/>
      <c r="EM40" s="160"/>
      <c r="EN40" s="160"/>
      <c r="EO40" s="160"/>
      <c r="EP40" s="160"/>
      <c r="EQ40" s="160"/>
      <c r="ER40" s="160"/>
      <c r="ES40" s="160"/>
      <c r="ET40" s="160"/>
      <c r="EU40" s="160"/>
      <c r="EV40" s="160"/>
      <c r="EW40" s="160"/>
      <c r="EX40" s="160"/>
      <c r="EY40" s="160"/>
      <c r="EZ40" s="160"/>
      <c r="FA40" s="160"/>
      <c r="FB40" s="160"/>
      <c r="FC40" s="160"/>
      <c r="FD40" s="160"/>
      <c r="FE40" s="160"/>
      <c r="FF40" s="160"/>
      <c r="FG40" s="160"/>
      <c r="FH40" s="160"/>
      <c r="FI40" s="160"/>
      <c r="FJ40" s="160"/>
      <c r="FK40" s="160"/>
      <c r="FL40" s="160"/>
      <c r="FM40" s="160"/>
      <c r="FN40" s="160"/>
      <c r="FO40" s="160"/>
      <c r="FP40" s="160"/>
      <c r="FQ40" s="160"/>
      <c r="FR40" s="160"/>
      <c r="FS40" s="160"/>
      <c r="FT40" s="160"/>
      <c r="FU40" s="160"/>
      <c r="FV40" s="160"/>
      <c r="FW40" s="160"/>
      <c r="FX40" s="160"/>
      <c r="FY40" s="160"/>
      <c r="FZ40" s="160"/>
      <c r="GA40" s="160"/>
      <c r="GB40" s="160"/>
      <c r="GC40" s="160"/>
      <c r="GD40" s="160"/>
      <c r="GE40" s="160"/>
      <c r="GF40" s="160"/>
      <c r="GG40" s="160"/>
      <c r="GH40" s="160"/>
      <c r="GI40" s="160"/>
      <c r="GJ40" s="160"/>
      <c r="GK40" s="160"/>
      <c r="GL40" s="160"/>
      <c r="GM40" s="160"/>
      <c r="GN40" s="160"/>
      <c r="GO40" s="160"/>
      <c r="GP40" s="160"/>
      <c r="GQ40" s="160"/>
      <c r="GR40" s="160"/>
      <c r="GS40" s="160"/>
      <c r="GT40" s="160"/>
      <c r="GU40" s="160"/>
      <c r="GV40" s="160"/>
      <c r="GW40" s="160"/>
      <c r="GX40" s="160"/>
      <c r="GY40" s="160"/>
      <c r="GZ40" s="160"/>
      <c r="HA40" s="160"/>
      <c r="HB40" s="160"/>
      <c r="HC40" s="160"/>
      <c r="HD40" s="160"/>
      <c r="HE40" s="160"/>
      <c r="HF40" s="160"/>
      <c r="HG40" s="160"/>
      <c r="HH40" s="160"/>
      <c r="HI40" s="160"/>
      <c r="HJ40" s="160"/>
      <c r="HK40" s="160"/>
      <c r="HL40" s="160"/>
      <c r="HM40" s="160"/>
      <c r="HN40" s="160"/>
      <c r="HO40" s="160"/>
      <c r="HP40" s="160"/>
      <c r="HQ40" s="160"/>
      <c r="HR40" s="160"/>
      <c r="HS40" s="160"/>
      <c r="HT40" s="160"/>
      <c r="HU40" s="160"/>
      <c r="HV40" s="160"/>
      <c r="HW40" s="160"/>
      <c r="HX40" s="160"/>
      <c r="HY40" s="160"/>
      <c r="HZ40" s="160"/>
      <c r="IA40" s="160"/>
      <c r="IB40" s="160"/>
      <c r="IC40" s="160"/>
      <c r="ID40" s="160"/>
      <c r="IE40" s="160"/>
      <c r="IF40" s="160"/>
      <c r="IG40" s="160"/>
      <c r="IH40" s="160"/>
      <c r="II40" s="160"/>
      <c r="IJ40" s="160"/>
      <c r="IK40" s="160"/>
      <c r="IL40" s="160"/>
      <c r="IM40" s="160"/>
      <c r="IN40" s="160"/>
      <c r="IO40" s="160"/>
      <c r="IP40" s="160"/>
      <c r="IQ40" s="160"/>
      <c r="IR40" s="160"/>
      <c r="IS40" s="160"/>
      <c r="IT40" s="160"/>
    </row>
    <row r="41" spans="1:254" s="162" customFormat="1" ht="30">
      <c r="A41" s="150" t="s">
        <v>34</v>
      </c>
      <c r="B41" s="131"/>
      <c r="C41" s="131" t="s">
        <v>169</v>
      </c>
      <c r="D41" s="131" t="s">
        <v>170</v>
      </c>
      <c r="E41" s="131" t="s">
        <v>171</v>
      </c>
      <c r="F41" s="131" t="s">
        <v>172</v>
      </c>
      <c r="G41" s="131" t="s">
        <v>26</v>
      </c>
      <c r="H41" s="131" t="s">
        <v>173</v>
      </c>
      <c r="I41" s="131" t="s">
        <v>174</v>
      </c>
      <c r="J41" s="131" t="s">
        <v>175</v>
      </c>
      <c r="K41" s="131" t="s">
        <v>176</v>
      </c>
      <c r="L41" s="131" t="s">
        <v>27</v>
      </c>
      <c r="M41" s="131" t="s">
        <v>177</v>
      </c>
      <c r="N41" s="131" t="s">
        <v>178</v>
      </c>
      <c r="O41" s="131" t="s">
        <v>179</v>
      </c>
      <c r="P41" s="131" t="s">
        <v>180</v>
      </c>
      <c r="Q41" s="131" t="s">
        <v>28</v>
      </c>
      <c r="R41" s="131" t="s">
        <v>181</v>
      </c>
      <c r="S41" s="131" t="s">
        <v>182</v>
      </c>
      <c r="T41" s="131" t="s">
        <v>183</v>
      </c>
      <c r="U41" s="131" t="s">
        <v>184</v>
      </c>
      <c r="V41" s="131" t="s">
        <v>29</v>
      </c>
      <c r="W41" s="131" t="s">
        <v>185</v>
      </c>
      <c r="X41" s="131" t="s">
        <v>186</v>
      </c>
      <c r="Y41" s="131" t="s">
        <v>187</v>
      </c>
      <c r="Z41" s="131" t="s">
        <v>188</v>
      </c>
      <c r="AA41" s="131" t="s">
        <v>30</v>
      </c>
      <c r="AB41" s="131" t="s">
        <v>189</v>
      </c>
      <c r="AC41" s="131" t="s">
        <v>190</v>
      </c>
      <c r="AD41" s="131" t="s">
        <v>191</v>
      </c>
      <c r="AE41" s="131" t="s">
        <v>192</v>
      </c>
      <c r="AF41" s="132" t="s">
        <v>31</v>
      </c>
    </row>
    <row r="42" spans="1:254">
      <c r="A42" s="151" t="s">
        <v>193</v>
      </c>
      <c r="B42" s="112"/>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8"/>
    </row>
    <row r="43" spans="1:254">
      <c r="A43" s="152" t="s">
        <v>57</v>
      </c>
      <c r="B43" s="15"/>
      <c r="C43" s="54"/>
      <c r="D43" s="54"/>
      <c r="E43" s="54"/>
      <c r="F43" s="54"/>
      <c r="G43" s="45"/>
      <c r="H43" s="54"/>
      <c r="I43" s="54"/>
      <c r="J43" s="54"/>
      <c r="K43" s="54"/>
      <c r="L43" s="45"/>
      <c r="M43" s="54"/>
      <c r="N43" s="54"/>
      <c r="O43" s="54"/>
      <c r="P43" s="54"/>
      <c r="Q43" s="45"/>
      <c r="R43" s="54"/>
      <c r="S43" s="54"/>
      <c r="T43" s="54"/>
      <c r="U43" s="54"/>
      <c r="V43" s="45"/>
      <c r="W43" s="45"/>
      <c r="X43" s="45"/>
      <c r="Y43" s="45"/>
      <c r="Z43" s="45"/>
      <c r="AA43" s="45"/>
      <c r="AB43" s="45"/>
      <c r="AC43" s="45"/>
      <c r="AD43" s="45"/>
      <c r="AE43" s="45"/>
      <c r="AF43" s="86"/>
    </row>
    <row r="44" spans="1:254" s="204" customFormat="1">
      <c r="A44" s="199" t="s">
        <v>204</v>
      </c>
      <c r="B44" s="200"/>
      <c r="C44" s="201">
        <f>'3FS'!C115/'3FS'!C126</f>
        <v>2.3732115152559903</v>
      </c>
      <c r="D44" s="201">
        <f>'3FS'!D115/'3FS'!D126</f>
        <v>2.1672887682388868</v>
      </c>
      <c r="E44" s="201">
        <f>'3FS'!E115/'3FS'!E126</f>
        <v>2.6069087688219663</v>
      </c>
      <c r="F44" s="201">
        <f>'3FS'!F115/'3FS'!F126</f>
        <v>1.9822871348663766</v>
      </c>
      <c r="G44" s="259">
        <f>'3FS'!G115/'3FS'!G126</f>
        <v>1.9822871348663766</v>
      </c>
      <c r="H44" s="259">
        <f>'3FS'!H115/'3FS'!H126</f>
        <v>2.0601265822784809</v>
      </c>
      <c r="I44" s="259">
        <f>'3FS'!I115/'3FS'!I126</f>
        <v>1.98842177808408</v>
      </c>
      <c r="J44" s="259">
        <f>'3FS'!J115/'3FS'!J126</f>
        <v>2.344327551890816</v>
      </c>
      <c r="K44" s="259">
        <f>'3FS'!K115/'3FS'!K126</f>
        <v>2.3200564528775285</v>
      </c>
      <c r="L44" s="259">
        <f>'3FS'!L115/'3FS'!L126</f>
        <v>2.3200564528775285</v>
      </c>
      <c r="M44" s="259">
        <f>'3FS'!M115/'3FS'!M126</f>
        <v>4.3174775754281054</v>
      </c>
      <c r="N44" s="259">
        <f>'3FS'!N115/'3FS'!N126</f>
        <v>4.6973886328725039</v>
      </c>
      <c r="O44" s="259">
        <f>'3FS'!O115/'3FS'!O126</f>
        <v>5.3502522068095839</v>
      </c>
      <c r="P44" s="259">
        <f>'3FS'!P115/'3FS'!P126</f>
        <v>5.9353701527614575</v>
      </c>
      <c r="Q44" s="259">
        <f>'3FS'!Q115/'3FS'!Q126</f>
        <v>5.9353701527614575</v>
      </c>
      <c r="R44" s="259">
        <f>'3FS'!R115/'3FS'!R126</f>
        <v>4.4593342981186685</v>
      </c>
      <c r="S44" s="259">
        <f>'3FS'!S115/'3FS'!S126</f>
        <v>4.0070847546575701</v>
      </c>
      <c r="T44" s="259">
        <f>'3FS'!T115/'3FS'!T126</f>
        <v>4.1621695284818756</v>
      </c>
      <c r="U44" s="259">
        <f>'3FS'!U115/'3FS'!U126</f>
        <v>3.8577740955537143</v>
      </c>
      <c r="V44" s="259">
        <f>'3FS'!V115/'3FS'!V126</f>
        <v>3.8577740955537143</v>
      </c>
      <c r="W44" s="259">
        <f>'3FS'!W115/'3FS'!W126</f>
        <v>3.5148870636550309</v>
      </c>
      <c r="X44" s="259">
        <f>'3FS'!X115/'3FS'!X126</f>
        <v>3.089966232513266</v>
      </c>
      <c r="Y44" s="259">
        <f>'3FS'!Y115/'3FS'!Y126</f>
        <v>3.5282161645145864</v>
      </c>
      <c r="Z44" s="259">
        <f>'3FS'!Z115/'3FS'!Z126</f>
        <v>3.1317981381675648</v>
      </c>
      <c r="AA44" s="259">
        <f>'3FS'!AA115/'3FS'!AA126</f>
        <v>3.1317981381675648</v>
      </c>
      <c r="AB44" s="259">
        <f>'3FS'!AB115/'3FS'!AB126</f>
        <v>2.6526007938165868</v>
      </c>
      <c r="AC44" s="259">
        <f>'3FS'!AC115/'3FS'!AC126</f>
        <v>2.5536317567567566</v>
      </c>
      <c r="AD44" s="259">
        <f>'3FS'!AD115/'3FS'!AD126</f>
        <v>2.9698065064852224</v>
      </c>
      <c r="AE44" s="259">
        <f>'3FS'!AE115/'3FS'!AE126</f>
        <v>3.026270136307311</v>
      </c>
      <c r="AF44" s="260">
        <f>'3FS'!AF115/'3FS'!AF126</f>
        <v>3.026270136307311</v>
      </c>
    </row>
    <row r="45" spans="1:254" s="204" customFormat="1">
      <c r="A45" s="199" t="s">
        <v>205</v>
      </c>
      <c r="B45" s="200"/>
      <c r="C45" s="201">
        <f>'3FS'!C115/'3FS'!C95</f>
        <v>0.70354660670482416</v>
      </c>
      <c r="D45" s="201">
        <f>'3FS'!D115/'3FS'!D95</f>
        <v>0.68427255196057424</v>
      </c>
      <c r="E45" s="201">
        <f>'3FS'!E115/'3FS'!E95</f>
        <v>0.72275428515298856</v>
      </c>
      <c r="F45" s="201">
        <f>'3FS'!F115/'3FS'!F95</f>
        <v>0.6646868813170782</v>
      </c>
      <c r="G45" s="259">
        <f>'3FS'!G115/'3FS'!G95</f>
        <v>0.6646868813170782</v>
      </c>
      <c r="H45" s="259">
        <f>'3FS'!H115/'3FS'!H95</f>
        <v>0.70308978211870776</v>
      </c>
      <c r="I45" s="259">
        <f>'3FS'!I115/'3FS'!I95</f>
        <v>0.6955305915818909</v>
      </c>
      <c r="J45" s="259">
        <f>'3FS'!J115/'3FS'!J95</f>
        <v>0.73136115669490398</v>
      </c>
      <c r="K45" s="259">
        <f>'3FS'!K115/'3FS'!K95</f>
        <v>0.69880030228603818</v>
      </c>
      <c r="L45" s="259">
        <f>'3FS'!L115/'3FS'!L95</f>
        <v>0.69880030228603818</v>
      </c>
      <c r="M45" s="259">
        <f>'3FS'!M115/'3FS'!M95</f>
        <v>0.85485173026209571</v>
      </c>
      <c r="N45" s="259">
        <f>'3FS'!N115/'3FS'!N95</f>
        <v>0.8680594981264903</v>
      </c>
      <c r="O45" s="259">
        <f>'3FS'!O115/'3FS'!O95</f>
        <v>0.8832622046424482</v>
      </c>
      <c r="P45" s="259">
        <f>'3FS'!P115/'3FS'!P95</f>
        <v>0.85581158929176548</v>
      </c>
      <c r="Q45" s="259">
        <f>'3FS'!Q115/'3FS'!Q95</f>
        <v>0.85581158929176548</v>
      </c>
      <c r="R45" s="259">
        <f>'3FS'!R115/'3FS'!R95</f>
        <v>0.85206282490874907</v>
      </c>
      <c r="S45" s="259">
        <f>'3FS'!S115/'3FS'!S95</f>
        <v>0.82917956236086221</v>
      </c>
      <c r="T45" s="259">
        <f>'3FS'!T115/'3FS'!T95</f>
        <v>0.83543957546911751</v>
      </c>
      <c r="U45" s="259">
        <f>'3FS'!U115/'3FS'!U95</f>
        <v>0.79414440022740196</v>
      </c>
      <c r="V45" s="259">
        <f>'3FS'!V115/'3FS'!V95</f>
        <v>0.79414440022740196</v>
      </c>
      <c r="W45" s="259">
        <f>'3FS'!W115/'3FS'!W95</f>
        <v>0.80685835493754421</v>
      </c>
      <c r="X45" s="259">
        <f>'3FS'!X115/'3FS'!X95</f>
        <v>0.78393097540080769</v>
      </c>
      <c r="Y45" s="259">
        <f>'3FS'!Y115/'3FS'!Y95</f>
        <v>0.8093801426220516</v>
      </c>
      <c r="Z45" s="259">
        <f>'3FS'!Z115/'3FS'!Z95</f>
        <v>0.75797462350290523</v>
      </c>
      <c r="AA45" s="259">
        <f>'3FS'!AA115/'3FS'!AA95</f>
        <v>0.75797462350290523</v>
      </c>
      <c r="AB45" s="259">
        <f>'3FS'!AB115/'3FS'!AB95</f>
        <v>0.7527863410007114</v>
      </c>
      <c r="AC45" s="259">
        <f>'3FS'!AC115/'3FS'!AC95</f>
        <v>0.74178115799803734</v>
      </c>
      <c r="AD45" s="259">
        <f>'3FS'!AD115/'3FS'!AD95</f>
        <v>0.77118878029926563</v>
      </c>
      <c r="AE45" s="259">
        <f>'3FS'!AE115/'3FS'!AE95</f>
        <v>0.75163117074972297</v>
      </c>
      <c r="AF45" s="260">
        <f>'3FS'!AF115/'3FS'!AF95</f>
        <v>0.75163117074972297</v>
      </c>
    </row>
    <row r="46" spans="1:254" s="204" customFormat="1">
      <c r="A46" s="199" t="s">
        <v>206</v>
      </c>
      <c r="B46" s="200"/>
      <c r="C46" s="201">
        <f>'3FS'!C34/'3FS'!C39</f>
        <v>-3.6969696969696968</v>
      </c>
      <c r="D46" s="201">
        <f>'3FS'!D34/'3FS'!D39</f>
        <v>-4.596774193548387</v>
      </c>
      <c r="E46" s="201">
        <f>'3FS'!E34/'3FS'!E39</f>
        <v>-1.9830508474576272</v>
      </c>
      <c r="F46" s="201">
        <f>'3FS'!F34/'3FS'!F39</f>
        <v>-18.061224489795919</v>
      </c>
      <c r="G46" s="259">
        <f>'3FS'!G34/'3FS'!G39</f>
        <v>-6.4915254237288131</v>
      </c>
      <c r="H46" s="259">
        <f>'3FS'!H34/'3FS'!H39</f>
        <v>-3.5531914893617023</v>
      </c>
      <c r="I46" s="259">
        <f>'3FS'!I34/'3FS'!I39</f>
        <v>-3.3404255319148937</v>
      </c>
      <c r="J46" s="259">
        <f>'3FS'!J34/'3FS'!J39</f>
        <v>-1</v>
      </c>
      <c r="K46" s="259">
        <f>'3FS'!K34/'3FS'!K39</f>
        <v>-19.523809523809526</v>
      </c>
      <c r="L46" s="259">
        <f>'3FS'!L34/'3FS'!L39</f>
        <v>-6.2648648648648653</v>
      </c>
      <c r="M46" s="259">
        <f>'3FS'!M34/'3FS'!M39</f>
        <v>13.851063829787234</v>
      </c>
      <c r="N46" s="259">
        <f>'3FS'!N34/'3FS'!N39</f>
        <v>6.3043478260869561</v>
      </c>
      <c r="O46" s="259">
        <f>'3FS'!O34/'3FS'!O39</f>
        <v>1.325</v>
      </c>
      <c r="P46" s="259">
        <f>'3FS'!P34/'3FS'!P39</f>
        <v>-3.4642857142857144</v>
      </c>
      <c r="Q46" s="259">
        <f>'3FS'!Q34/'3FS'!Q39</f>
        <v>3.2214285714285715</v>
      </c>
      <c r="R46" s="259">
        <f>'3FS'!R34/'3FS'!R39</f>
        <v>-3.0759493670886076</v>
      </c>
      <c r="S46" s="259">
        <f>'3FS'!S34/'3FS'!S39</f>
        <v>-7.625</v>
      </c>
      <c r="T46" s="259">
        <f>'3FS'!T34/'3FS'!T39</f>
        <v>-9.2452830188679247</v>
      </c>
      <c r="U46" s="259">
        <f>'3FS'!U34/'3FS'!U39</f>
        <v>-22.5</v>
      </c>
      <c r="V46" s="259">
        <f>'3FS'!V34/'3FS'!V39</f>
        <v>-9.1529411764705877</v>
      </c>
      <c r="W46" s="259">
        <f>'3FS'!W34/'3FS'!W39</f>
        <v>-9.2765957446808507</v>
      </c>
      <c r="X46" s="259">
        <f>'3FS'!X34/'3FS'!X39</f>
        <v>-9.7142857142857135</v>
      </c>
      <c r="Y46" s="259">
        <f>'3FS'!Y34/'3FS'!Y39</f>
        <v>-4.333333333333333</v>
      </c>
      <c r="Z46" s="259">
        <f>'3FS'!Z34/'3FS'!Z39</f>
        <v>-21.129032258064516</v>
      </c>
      <c r="AA46" s="259">
        <f>'3FS'!AA34/'3FS'!AA39</f>
        <v>-10.123456790123457</v>
      </c>
      <c r="AB46" s="259">
        <f>'3FS'!AB34/'3FS'!AB39</f>
        <v>-6.4594594594594597</v>
      </c>
      <c r="AC46" s="259">
        <f>'3FS'!AC34/'3FS'!AC39</f>
        <v>-3.5555555555555554</v>
      </c>
      <c r="AD46" s="259">
        <f>'3FS'!AD34/'3FS'!AD39</f>
        <v>-2.7142857142857144</v>
      </c>
      <c r="AE46" s="259">
        <f>'3FS'!AE34/'3FS'!AE39</f>
        <v>-29.703703703703702</v>
      </c>
      <c r="AF46" s="260">
        <f>'3FS'!AF34/'3FS'!AF39</f>
        <v>-9.3555555555555561</v>
      </c>
    </row>
    <row r="47" spans="1:254" s="204" customFormat="1" ht="20.25">
      <c r="A47" s="215" t="s">
        <v>207</v>
      </c>
      <c r="B47" s="622"/>
      <c r="C47" s="623">
        <f>'3FS'!C34/('3FS'!C39+'3FS'!C164)</f>
        <v>-3.0886075949367089</v>
      </c>
      <c r="D47" s="623">
        <f>'3FS'!D34/('3FS'!D39+'3FS'!D164)</f>
        <v>-0.57459677419354838</v>
      </c>
      <c r="E47" s="623">
        <f>'3FS'!E34/('3FS'!E39+'3FS'!E164)</f>
        <v>4.333333333333333</v>
      </c>
      <c r="F47" s="623">
        <f>'3FS'!F34/('3FS'!F39+'3FS'!F164)</f>
        <v>-1.0573476702508962</v>
      </c>
      <c r="G47" s="624">
        <f>'3FS'!G34/('3FS'!G39+'3FS'!G164)</f>
        <v>-1.1061371841155234</v>
      </c>
      <c r="H47" s="624">
        <f>'3FS'!H34/('3FS'!H39+'3FS'!H164)</f>
        <v>-1.7578947368421052</v>
      </c>
      <c r="I47" s="624">
        <f>'3FS'!I34/('3FS'!I39+'3FS'!I164)</f>
        <v>-0.94578313253012047</v>
      </c>
      <c r="J47" s="624">
        <f>'3FS'!J34/('3FS'!J39+'3FS'!J164)</f>
        <v>0.62337662337662336</v>
      </c>
      <c r="K47" s="624">
        <f>'3FS'!K34/('3FS'!K39+'3FS'!K164)</f>
        <v>-1.2443095599393019</v>
      </c>
      <c r="L47" s="624">
        <f>'3FS'!L34/('3FS'!L39+'3FS'!L164)</f>
        <v>-1.3732227488151658</v>
      </c>
      <c r="M47" s="624">
        <f>'3FS'!M34/('3FS'!M39+'3FS'!M164)</f>
        <v>2.3085106382978724</v>
      </c>
      <c r="N47" s="624">
        <f>'3FS'!N34/('3FS'!N39+'3FS'!N164)</f>
        <v>0.30020703933747411</v>
      </c>
      <c r="O47" s="624">
        <f>'3FS'!O34/('3FS'!O39+'3FS'!O164)</f>
        <v>1.6825396825396826</v>
      </c>
      <c r="P47" s="624">
        <f>'3FS'!P34/('3FS'!P39+'3FS'!P164)</f>
        <v>-0.55113636363636365</v>
      </c>
      <c r="Q47" s="624">
        <f>'3FS'!Q34/('3FS'!Q39+'3FS'!Q164)</f>
        <v>0.38845822566752797</v>
      </c>
      <c r="R47" s="624">
        <f>'3FS'!R34/('3FS'!R39+'3FS'!R164)</f>
        <v>-0.28321678321678323</v>
      </c>
      <c r="S47" s="624">
        <f>'3FS'!S34/('3FS'!S39+'3FS'!S164)</f>
        <v>-4.4525547445255471</v>
      </c>
      <c r="T47" s="624">
        <f>'3FS'!T34/('3FS'!T39+'3FS'!T164)</f>
        <v>-0.27809307604994327</v>
      </c>
      <c r="U47" s="624">
        <f>'3FS'!U34/('3FS'!U39+'3FS'!U164)</f>
        <v>-4.4796380090497738</v>
      </c>
      <c r="V47" s="624">
        <f>'3FS'!V34/('3FS'!V39+'3FS'!V164)</f>
        <v>-0.78401074907625123</v>
      </c>
      <c r="W47" s="624">
        <f>'3FS'!W34/('3FS'!W39+'3FS'!W164)</f>
        <v>-0.33231707317073172</v>
      </c>
      <c r="X47" s="624">
        <f>'3FS'!X34/('3FS'!X39+'3FS'!X164)</f>
        <v>-4.584269662921348</v>
      </c>
      <c r="Y47" s="624">
        <f>'3FS'!Y34/('3FS'!Y39+'3FS'!Y164)</f>
        <v>-0.2153846153846154</v>
      </c>
      <c r="Z47" s="624">
        <f>'3FS'!Z34/('3FS'!Z39+'3FS'!Z164)</f>
        <v>-0.54720133667502091</v>
      </c>
      <c r="AA47" s="624">
        <f>'3FS'!AA34/('3FS'!AA39+'3FS'!AA164)</f>
        <v>-0.47632878303804821</v>
      </c>
      <c r="AB47" s="624">
        <f>'3FS'!AB34/('3FS'!AB39+'3FS'!AB164)</f>
        <v>-4.6862745098039218</v>
      </c>
      <c r="AC47" s="624">
        <f>'3FS'!AC34/('3FS'!AC39+'3FS'!AC164)</f>
        <v>-2.2068965517241379</v>
      </c>
      <c r="AD47" s="624">
        <f>'3FS'!AD34/('3FS'!AD39+'3FS'!AD164)</f>
        <v>-0.625</v>
      </c>
      <c r="AE47" s="624">
        <f>'3FS'!AE34/('3FS'!AE39+'3FS'!AE164)</f>
        <v>-0.95818399044205493</v>
      </c>
      <c r="AF47" s="625">
        <f>'3FS'!AF34/('3FS'!AF39+'3FS'!AF164)</f>
        <v>-1.1502732240437159</v>
      </c>
    </row>
    <row r="48" spans="1:254">
      <c r="A48" s="192"/>
      <c r="B48" s="12"/>
      <c r="C48" s="50"/>
      <c r="D48" s="50"/>
      <c r="E48" s="50"/>
      <c r="F48" s="50"/>
      <c r="G48" s="53"/>
      <c r="H48" s="50"/>
      <c r="I48" s="50"/>
      <c r="J48" s="50"/>
      <c r="K48" s="50"/>
      <c r="L48" s="50"/>
      <c r="M48" s="50"/>
      <c r="N48" s="50"/>
      <c r="O48" s="50"/>
      <c r="P48" s="50"/>
      <c r="Q48" s="53"/>
      <c r="R48" s="50"/>
      <c r="S48" s="50"/>
      <c r="T48" s="50"/>
      <c r="U48" s="50"/>
      <c r="V48" s="53"/>
      <c r="W48" s="50"/>
      <c r="X48" s="50"/>
      <c r="Y48" s="50"/>
      <c r="Z48" s="50"/>
      <c r="AA48" s="53"/>
      <c r="AB48" s="50"/>
      <c r="AC48" s="50"/>
      <c r="AD48" s="50"/>
      <c r="AE48" s="50"/>
      <c r="AF48" s="83"/>
    </row>
    <row r="49" spans="1:254" s="161" customFormat="1" ht="40.25" customHeight="1">
      <c r="A49" s="193" t="s">
        <v>208</v>
      </c>
      <c r="B49" s="165"/>
      <c r="C49" s="166"/>
      <c r="D49" s="166"/>
      <c r="E49" s="166"/>
      <c r="F49" s="166"/>
      <c r="G49" s="166">
        <v>2019</v>
      </c>
      <c r="H49" s="166"/>
      <c r="I49" s="166"/>
      <c r="J49" s="166"/>
      <c r="K49" s="166"/>
      <c r="L49" s="166">
        <v>2020</v>
      </c>
      <c r="M49" s="166"/>
      <c r="N49" s="166"/>
      <c r="O49" s="166"/>
      <c r="P49" s="166"/>
      <c r="Q49" s="166">
        <v>2021</v>
      </c>
      <c r="R49" s="166"/>
      <c r="S49" s="166"/>
      <c r="T49" s="166"/>
      <c r="U49" s="166"/>
      <c r="V49" s="166">
        <v>2022</v>
      </c>
      <c r="W49" s="166"/>
      <c r="X49" s="166"/>
      <c r="Y49" s="166"/>
      <c r="Z49" s="166"/>
      <c r="AA49" s="166">
        <v>2023</v>
      </c>
      <c r="AB49" s="166"/>
      <c r="AC49" s="166"/>
      <c r="AD49" s="166"/>
      <c r="AE49" s="166"/>
      <c r="AF49" s="167">
        <v>2024</v>
      </c>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0"/>
      <c r="CD49" s="160"/>
      <c r="CE49" s="160"/>
      <c r="CF49" s="160"/>
      <c r="CG49" s="160"/>
      <c r="CH49" s="160"/>
      <c r="CI49" s="160"/>
      <c r="CJ49" s="160"/>
      <c r="CK49" s="160"/>
      <c r="CL49" s="160"/>
      <c r="CM49" s="160"/>
      <c r="CN49" s="160"/>
      <c r="CO49" s="160"/>
      <c r="CP49" s="160"/>
      <c r="CQ49" s="160"/>
      <c r="CR49" s="160"/>
      <c r="CS49" s="160"/>
      <c r="CT49" s="160"/>
      <c r="CU49" s="160"/>
      <c r="CV49" s="160"/>
      <c r="CW49" s="160"/>
      <c r="CX49" s="160"/>
      <c r="CY49" s="160"/>
      <c r="CZ49" s="160"/>
      <c r="DA49" s="160"/>
      <c r="DB49" s="160"/>
      <c r="DC49" s="160"/>
      <c r="DD49" s="160"/>
      <c r="DE49" s="160"/>
      <c r="DF49" s="160"/>
      <c r="DG49" s="160"/>
      <c r="DH49" s="160"/>
      <c r="DI49" s="160"/>
      <c r="DJ49" s="160"/>
      <c r="DK49" s="160"/>
      <c r="DL49" s="160"/>
      <c r="DM49" s="160"/>
      <c r="DN49" s="160"/>
      <c r="DO49" s="160"/>
      <c r="DP49" s="160"/>
      <c r="DQ49" s="160"/>
      <c r="DR49" s="160"/>
      <c r="DS49" s="160"/>
      <c r="DT49" s="160"/>
      <c r="DU49" s="160"/>
      <c r="DV49" s="160"/>
      <c r="DW49" s="160"/>
      <c r="DX49" s="160"/>
      <c r="DY49" s="160"/>
      <c r="DZ49" s="160"/>
      <c r="EA49" s="160"/>
      <c r="EB49" s="160"/>
      <c r="EC49" s="160"/>
      <c r="ED49" s="160"/>
      <c r="EE49" s="160"/>
      <c r="EF49" s="160"/>
      <c r="EG49" s="160"/>
      <c r="EH49" s="160"/>
      <c r="EI49" s="160"/>
      <c r="EJ49" s="160"/>
      <c r="EK49" s="160"/>
      <c r="EL49" s="160"/>
      <c r="EM49" s="160"/>
      <c r="EN49" s="160"/>
      <c r="EO49" s="160"/>
      <c r="EP49" s="160"/>
      <c r="EQ49" s="160"/>
      <c r="ER49" s="160"/>
      <c r="ES49" s="160"/>
      <c r="ET49" s="160"/>
      <c r="EU49" s="160"/>
      <c r="EV49" s="160"/>
      <c r="EW49" s="160"/>
      <c r="EX49" s="160"/>
      <c r="EY49" s="160"/>
      <c r="EZ49" s="160"/>
      <c r="FA49" s="160"/>
      <c r="FB49" s="160"/>
      <c r="FC49" s="160"/>
      <c r="FD49" s="160"/>
      <c r="FE49" s="160"/>
      <c r="FF49" s="160"/>
      <c r="FG49" s="160"/>
      <c r="FH49" s="160"/>
      <c r="FI49" s="160"/>
      <c r="FJ49" s="160"/>
      <c r="FK49" s="160"/>
      <c r="FL49" s="160"/>
      <c r="FM49" s="160"/>
      <c r="FN49" s="160"/>
      <c r="FO49" s="160"/>
      <c r="FP49" s="160"/>
      <c r="FQ49" s="160"/>
      <c r="FR49" s="160"/>
      <c r="FS49" s="160"/>
      <c r="FT49" s="160"/>
      <c r="FU49" s="160"/>
      <c r="FV49" s="160"/>
      <c r="FW49" s="160"/>
      <c r="FX49" s="160"/>
      <c r="FY49" s="160"/>
      <c r="FZ49" s="160"/>
      <c r="GA49" s="160"/>
      <c r="GB49" s="160"/>
      <c r="GC49" s="160"/>
      <c r="GD49" s="160"/>
      <c r="GE49" s="160"/>
      <c r="GF49" s="160"/>
      <c r="GG49" s="160"/>
      <c r="GH49" s="160"/>
      <c r="GI49" s="160"/>
      <c r="GJ49" s="160"/>
      <c r="GK49" s="160"/>
      <c r="GL49" s="160"/>
      <c r="GM49" s="160"/>
      <c r="GN49" s="160"/>
      <c r="GO49" s="160"/>
      <c r="GP49" s="160"/>
      <c r="GQ49" s="160"/>
      <c r="GR49" s="160"/>
      <c r="GS49" s="160"/>
      <c r="GT49" s="160"/>
      <c r="GU49" s="160"/>
      <c r="GV49" s="160"/>
      <c r="GW49" s="160"/>
      <c r="GX49" s="160"/>
      <c r="GY49" s="160"/>
      <c r="GZ49" s="160"/>
      <c r="HA49" s="160"/>
      <c r="HB49" s="160"/>
      <c r="HC49" s="160"/>
      <c r="HD49" s="160"/>
      <c r="HE49" s="160"/>
      <c r="HF49" s="160"/>
      <c r="HG49" s="160"/>
      <c r="HH49" s="160"/>
      <c r="HI49" s="160"/>
      <c r="HJ49" s="160"/>
      <c r="HK49" s="160"/>
      <c r="HL49" s="160"/>
      <c r="HM49" s="160"/>
      <c r="HN49" s="160"/>
      <c r="HO49" s="160"/>
      <c r="HP49" s="160"/>
      <c r="HQ49" s="160"/>
      <c r="HR49" s="160"/>
      <c r="HS49" s="160"/>
      <c r="HT49" s="160"/>
      <c r="HU49" s="160"/>
      <c r="HV49" s="160"/>
      <c r="HW49" s="160"/>
      <c r="HX49" s="160"/>
      <c r="HY49" s="160"/>
      <c r="HZ49" s="160"/>
      <c r="IA49" s="160"/>
      <c r="IB49" s="160"/>
      <c r="IC49" s="160"/>
      <c r="ID49" s="160"/>
      <c r="IE49" s="160"/>
      <c r="IF49" s="160"/>
      <c r="IG49" s="160"/>
      <c r="IH49" s="160"/>
      <c r="II49" s="160"/>
      <c r="IJ49" s="160"/>
      <c r="IK49" s="160"/>
      <c r="IL49" s="160"/>
      <c r="IM49" s="160"/>
      <c r="IN49" s="160"/>
      <c r="IO49" s="160"/>
      <c r="IP49" s="160"/>
      <c r="IQ49" s="160"/>
      <c r="IR49" s="160"/>
      <c r="IS49" s="160"/>
      <c r="IT49" s="160"/>
    </row>
    <row r="50" spans="1:254" s="162" customFormat="1" ht="30">
      <c r="A50" s="150" t="s">
        <v>34</v>
      </c>
      <c r="B50" s="131"/>
      <c r="C50" s="131" t="s">
        <v>169</v>
      </c>
      <c r="D50" s="131" t="s">
        <v>170</v>
      </c>
      <c r="E50" s="131" t="s">
        <v>171</v>
      </c>
      <c r="F50" s="131" t="s">
        <v>172</v>
      </c>
      <c r="G50" s="131" t="s">
        <v>26</v>
      </c>
      <c r="H50" s="131" t="s">
        <v>173</v>
      </c>
      <c r="I50" s="131" t="s">
        <v>174</v>
      </c>
      <c r="J50" s="131" t="s">
        <v>175</v>
      </c>
      <c r="K50" s="131" t="s">
        <v>176</v>
      </c>
      <c r="L50" s="131" t="s">
        <v>27</v>
      </c>
      <c r="M50" s="131" t="s">
        <v>177</v>
      </c>
      <c r="N50" s="131" t="s">
        <v>178</v>
      </c>
      <c r="O50" s="131" t="s">
        <v>179</v>
      </c>
      <c r="P50" s="131" t="s">
        <v>180</v>
      </c>
      <c r="Q50" s="131" t="s">
        <v>28</v>
      </c>
      <c r="R50" s="131" t="s">
        <v>181</v>
      </c>
      <c r="S50" s="131" t="s">
        <v>182</v>
      </c>
      <c r="T50" s="131" t="s">
        <v>183</v>
      </c>
      <c r="U50" s="131" t="s">
        <v>184</v>
      </c>
      <c r="V50" s="131" t="s">
        <v>29</v>
      </c>
      <c r="W50" s="131" t="s">
        <v>185</v>
      </c>
      <c r="X50" s="131" t="s">
        <v>186</v>
      </c>
      <c r="Y50" s="131" t="s">
        <v>187</v>
      </c>
      <c r="Z50" s="131" t="s">
        <v>209</v>
      </c>
      <c r="AA50" s="131" t="s">
        <v>30</v>
      </c>
      <c r="AB50" s="131" t="s">
        <v>189</v>
      </c>
      <c r="AC50" s="131" t="s">
        <v>190</v>
      </c>
      <c r="AD50" s="131" t="s">
        <v>191</v>
      </c>
      <c r="AE50" s="131" t="s">
        <v>210</v>
      </c>
      <c r="AF50" s="132" t="s">
        <v>31</v>
      </c>
    </row>
    <row r="51" spans="1:254">
      <c r="A51" s="151" t="s">
        <v>193</v>
      </c>
      <c r="B51" s="112"/>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8"/>
    </row>
    <row r="52" spans="1:254">
      <c r="A52" s="152" t="s">
        <v>57</v>
      </c>
      <c r="B52" s="15"/>
      <c r="C52" s="54"/>
      <c r="D52" s="54"/>
      <c r="E52" s="54"/>
      <c r="F52" s="54"/>
      <c r="G52" s="45"/>
      <c r="H52" s="54"/>
      <c r="I52" s="54"/>
      <c r="J52" s="54"/>
      <c r="K52" s="54"/>
      <c r="L52" s="45"/>
      <c r="M52" s="54"/>
      <c r="N52" s="54"/>
      <c r="O52" s="54"/>
      <c r="P52" s="54"/>
      <c r="Q52" s="45"/>
      <c r="R52" s="54"/>
      <c r="S52" s="54"/>
      <c r="T52" s="54"/>
      <c r="U52" s="54"/>
      <c r="V52" s="45"/>
      <c r="W52" s="45"/>
      <c r="X52" s="45"/>
      <c r="Y52" s="45"/>
      <c r="Z52" s="45"/>
      <c r="AA52" s="45"/>
      <c r="AB52" s="45"/>
      <c r="AC52" s="45"/>
      <c r="AD52" s="45"/>
      <c r="AE52" s="45"/>
      <c r="AF52" s="86"/>
    </row>
    <row r="53" spans="1:254" s="295" customFormat="1">
      <c r="A53" s="293" t="s">
        <v>211</v>
      </c>
      <c r="B53" s="294"/>
      <c r="C53" s="242">
        <f>C54/C55</f>
        <v>0.29118969746524936</v>
      </c>
      <c r="D53" s="242">
        <f t="shared" ref="D53:F53" si="3">D54/D55</f>
        <v>0.30844225412470538</v>
      </c>
      <c r="E53" s="242">
        <f t="shared" si="3"/>
        <v>0.27449535877412701</v>
      </c>
      <c r="F53" s="242">
        <f t="shared" si="3"/>
        <v>0.45300614775450659</v>
      </c>
      <c r="G53" s="249">
        <f>G54/G55</f>
        <v>1.3409919766593728</v>
      </c>
      <c r="H53" s="242">
        <f>H54/AVERAGE(C55,H55)</f>
        <v>0.26938136256851997</v>
      </c>
      <c r="I53" s="242">
        <f t="shared" ref="I53:AE53" si="4">I54/AVERAGE(D55,I55)</f>
        <v>0.29039051993199522</v>
      </c>
      <c r="J53" s="242">
        <f t="shared" si="4"/>
        <v>0.24965041484105527</v>
      </c>
      <c r="K53" s="242">
        <f t="shared" si="4"/>
        <v>0.4249616013476688</v>
      </c>
      <c r="L53" s="249">
        <f>L54/AVERAGE(G55,L55)</f>
        <v>1.2465441212901947</v>
      </c>
      <c r="M53" s="242">
        <f>M54/AVERAGE(H55,M55)</f>
        <v>0.15788549790606113</v>
      </c>
      <c r="N53" s="242">
        <f t="shared" si="4"/>
        <v>0.19434232824925043</v>
      </c>
      <c r="O53" s="242">
        <f t="shared" si="4"/>
        <v>0.20042623500395104</v>
      </c>
      <c r="P53" s="242">
        <f t="shared" si="4"/>
        <v>0.36200421832398788</v>
      </c>
      <c r="Q53" s="249">
        <f t="shared" si="4"/>
        <v>0.93096352693039763</v>
      </c>
      <c r="R53" s="242">
        <f t="shared" si="4"/>
        <v>0.26539017538117449</v>
      </c>
      <c r="S53" s="242">
        <f t="shared" si="4"/>
        <v>0.32438733312980489</v>
      </c>
      <c r="T53" s="242">
        <f t="shared" si="4"/>
        <v>0.30154962259621798</v>
      </c>
      <c r="U53" s="242">
        <f>U54/AVERAGE(P55,U55)</f>
        <v>0.50600634632819586</v>
      </c>
      <c r="V53" s="249">
        <f t="shared" si="4"/>
        <v>1.4391999093381687</v>
      </c>
      <c r="W53" s="242">
        <f t="shared" si="4"/>
        <v>0.31751012723227023</v>
      </c>
      <c r="X53" s="242">
        <f t="shared" si="4"/>
        <v>0.33568284473086107</v>
      </c>
      <c r="Y53" s="242">
        <f>Y54/AVERAGE(T55,Y55)</f>
        <v>0.29948779752937632</v>
      </c>
      <c r="Z53" s="242">
        <f t="shared" si="4"/>
        <v>0.49820060366844671</v>
      </c>
      <c r="AA53" s="249">
        <f t="shared" si="4"/>
        <v>1.4771882981193407</v>
      </c>
      <c r="AB53" s="242">
        <f t="shared" si="4"/>
        <v>0.30573286052009457</v>
      </c>
      <c r="AC53" s="242">
        <f t="shared" si="4"/>
        <v>0.32346995037676896</v>
      </c>
      <c r="AD53" s="242">
        <f t="shared" si="4"/>
        <v>0.27726259596598885</v>
      </c>
      <c r="AE53" s="242">
        <f t="shared" si="4"/>
        <v>0.5058589031166949</v>
      </c>
      <c r="AF53" s="250">
        <f>AF54/AVERAGE(AA55,AF55)</f>
        <v>1.4415317709591688</v>
      </c>
    </row>
    <row r="54" spans="1:254" s="204" customFormat="1">
      <c r="A54" s="229" t="s">
        <v>45</v>
      </c>
      <c r="B54" s="200"/>
      <c r="C54" s="218">
        <v>5698</v>
      </c>
      <c r="D54" s="218">
        <v>5758</v>
      </c>
      <c r="E54" s="218">
        <v>5589</v>
      </c>
      <c r="F54" s="218">
        <v>8695</v>
      </c>
      <c r="G54" s="218">
        <v>25739</v>
      </c>
      <c r="H54" s="218">
        <v>5504</v>
      </c>
      <c r="I54" s="218">
        <v>5722</v>
      </c>
      <c r="J54" s="218">
        <v>5356</v>
      </c>
      <c r="K54" s="218">
        <v>8577</v>
      </c>
      <c r="L54" s="218">
        <v>25159</v>
      </c>
      <c r="M54" s="218">
        <v>3148</v>
      </c>
      <c r="N54" s="218">
        <v>3727</v>
      </c>
      <c r="O54" s="218">
        <v>4185</v>
      </c>
      <c r="P54" s="218">
        <v>7037</v>
      </c>
      <c r="Q54" s="218">
        <v>18097</v>
      </c>
      <c r="R54" s="218">
        <v>4865</v>
      </c>
      <c r="S54" s="218">
        <v>5844</v>
      </c>
      <c r="T54" s="218">
        <v>5653</v>
      </c>
      <c r="U54" s="218">
        <v>8930</v>
      </c>
      <c r="V54" s="218">
        <v>25399</v>
      </c>
      <c r="W54" s="218">
        <v>5565</v>
      </c>
      <c r="X54" s="218">
        <v>5834</v>
      </c>
      <c r="Y54" s="218">
        <v>5467</v>
      </c>
      <c r="Z54" s="218">
        <v>8583</v>
      </c>
      <c r="AA54" s="218">
        <v>25449</v>
      </c>
      <c r="AB54" s="218">
        <v>5173</v>
      </c>
      <c r="AC54" s="218">
        <v>5280</v>
      </c>
      <c r="AD54" s="218">
        <v>5038</v>
      </c>
      <c r="AE54" s="218">
        <v>8375</v>
      </c>
      <c r="AF54" s="222">
        <v>23866</v>
      </c>
    </row>
    <row r="55" spans="1:254" s="67" customFormat="1">
      <c r="A55" s="237" t="s">
        <v>212</v>
      </c>
      <c r="B55" s="217"/>
      <c r="C55" s="218">
        <v>19568</v>
      </c>
      <c r="D55" s="218">
        <v>18668</v>
      </c>
      <c r="E55" s="218">
        <v>20361</v>
      </c>
      <c r="F55" s="218">
        <v>19194</v>
      </c>
      <c r="G55" s="218">
        <v>19194</v>
      </c>
      <c r="H55" s="218">
        <v>21296</v>
      </c>
      <c r="I55" s="218">
        <v>20741</v>
      </c>
      <c r="J55" s="218">
        <v>22547</v>
      </c>
      <c r="K55" s="218">
        <v>21172</v>
      </c>
      <c r="L55" s="218">
        <v>21172</v>
      </c>
      <c r="M55" s="218">
        <v>18581</v>
      </c>
      <c r="N55" s="218">
        <v>17614</v>
      </c>
      <c r="O55" s="218">
        <v>19214</v>
      </c>
      <c r="P55" s="218">
        <v>17706</v>
      </c>
      <c r="Q55" s="218">
        <v>17706</v>
      </c>
      <c r="R55" s="218">
        <v>18082</v>
      </c>
      <c r="S55" s="218">
        <v>18417</v>
      </c>
      <c r="T55" s="218">
        <v>18279</v>
      </c>
      <c r="U55" s="218">
        <v>17590</v>
      </c>
      <c r="V55" s="218">
        <v>17590</v>
      </c>
      <c r="W55" s="218">
        <v>16972</v>
      </c>
      <c r="X55" s="218">
        <v>16342</v>
      </c>
      <c r="Y55" s="218">
        <v>18230</v>
      </c>
      <c r="Z55" s="218">
        <v>16866</v>
      </c>
      <c r="AA55" s="218">
        <v>16866</v>
      </c>
      <c r="AB55" s="218">
        <v>16868</v>
      </c>
      <c r="AC55" s="218">
        <v>16304</v>
      </c>
      <c r="AD55" s="218">
        <v>18111</v>
      </c>
      <c r="AE55" s="218">
        <v>16246</v>
      </c>
      <c r="AF55" s="222">
        <v>16246</v>
      </c>
    </row>
    <row r="56" spans="1:254" s="67" customFormat="1">
      <c r="A56" s="237"/>
      <c r="B56" s="217"/>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22"/>
    </row>
    <row r="57" spans="1:254" s="295" customFormat="1">
      <c r="A57" s="296" t="s">
        <v>213</v>
      </c>
      <c r="B57" s="294"/>
      <c r="C57" s="289">
        <f>C58/C59</f>
        <v>0.63919863919863917</v>
      </c>
      <c r="D57" s="289">
        <f t="shared" ref="D57:F57" si="5">D58/D59</f>
        <v>0.66989507667473769</v>
      </c>
      <c r="E57" s="289">
        <f t="shared" si="5"/>
        <v>0.45137820064362671</v>
      </c>
      <c r="F57" s="289">
        <f t="shared" si="5"/>
        <v>1.0047501425042751</v>
      </c>
      <c r="G57" s="297">
        <f>G58/G59</f>
        <v>2.8911267338020141</v>
      </c>
      <c r="H57" s="289">
        <f>H58/AVERAGE(C59,H59)</f>
        <v>0.63082769487440915</v>
      </c>
      <c r="I57" s="289">
        <f>I58/AVERAGE(D59,I59)</f>
        <v>0.68002003004506761</v>
      </c>
      <c r="J57" s="289">
        <f t="shared" ref="J57:K57" si="6">J58/AVERAGE(E59,J59)</f>
        <v>0.43129903492327987</v>
      </c>
      <c r="K57" s="289">
        <f t="shared" si="6"/>
        <v>1.0077504545019615</v>
      </c>
      <c r="L57" s="297">
        <f>L58/AVERAGE(G59,L59)</f>
        <v>2.9030714764137402</v>
      </c>
      <c r="M57" s="289">
        <f>M58/AVERAGE(H59,M59)</f>
        <v>0.42241627482967087</v>
      </c>
      <c r="N57" s="289">
        <f t="shared" ref="N57:P57" si="7">N58/AVERAGE(I59,N59)</f>
        <v>0.63128556497503197</v>
      </c>
      <c r="O57" s="289">
        <f t="shared" si="7"/>
        <v>0.41435483870967743</v>
      </c>
      <c r="P57" s="289">
        <f t="shared" si="7"/>
        <v>1.0707431376924794</v>
      </c>
      <c r="Q57" s="297">
        <f>Q58/AVERAGE(L59,Q59)</f>
        <v>2.7417987056460613</v>
      </c>
      <c r="R57" s="289">
        <f>R58/AVERAGE(M59,R59)</f>
        <v>0.63126843657817111</v>
      </c>
      <c r="S57" s="289">
        <f t="shared" ref="S57:T57" si="8">S58/AVERAGE(N59,S59)</f>
        <v>0.85101522842639599</v>
      </c>
      <c r="T57" s="289">
        <f t="shared" si="8"/>
        <v>0.56836508639787331</v>
      </c>
      <c r="U57" s="289">
        <f>U58/AVERAGE(P59,U59)</f>
        <v>1.3502513178864779</v>
      </c>
      <c r="V57" s="297">
        <f>V58/AVERAGE(Q59,V59)</f>
        <v>3.6670344489395612</v>
      </c>
      <c r="W57" s="289">
        <f>W58/AVERAGE(R59,W59)</f>
        <v>0.70346178967994777</v>
      </c>
      <c r="X57" s="289">
        <f>X58/AVERAGE(S59,X59)</f>
        <v>0.76829815895823983</v>
      </c>
      <c r="Y57" s="289">
        <f t="shared" ref="Y57" si="9">Y58/AVERAGE(T59,Y59)</f>
        <v>0.51084183673469385</v>
      </c>
      <c r="Z57" s="289">
        <f>Z58/AVERAGE(U59,Z59)</f>
        <v>1.2601156069364161</v>
      </c>
      <c r="AA57" s="297">
        <f>AA58/AVERAGE(V59,AA59)</f>
        <v>3.5391907514450867</v>
      </c>
      <c r="AB57" s="289">
        <f>AB58/AVERAGE(W59,AB59)</f>
        <v>0.62490850151626054</v>
      </c>
      <c r="AC57" s="289">
        <f>AC58/AVERAGE(X59,AC59)</f>
        <v>0.7268566197505435</v>
      </c>
      <c r="AD57" s="289">
        <f t="shared" ref="AD57:AE57" si="10">AD58/AVERAGE(Y59,AD59)</f>
        <v>0.46749275828773734</v>
      </c>
      <c r="AE57" s="289">
        <f t="shared" si="10"/>
        <v>1.1947148817802504</v>
      </c>
      <c r="AF57" s="298">
        <f>AF58/AVERAGE(AA59,AF59)</f>
        <v>3.2969401947148818</v>
      </c>
    </row>
    <row r="58" spans="1:254" s="204" customFormat="1">
      <c r="A58" s="237" t="s">
        <v>214</v>
      </c>
      <c r="B58" s="217"/>
      <c r="C58" s="238">
        <v>3382</v>
      </c>
      <c r="D58" s="238">
        <v>3320</v>
      </c>
      <c r="E58" s="238">
        <v>3226</v>
      </c>
      <c r="F58" s="238">
        <v>5288</v>
      </c>
      <c r="G58" s="238">
        <v>15216</v>
      </c>
      <c r="H58" s="238">
        <v>3403</v>
      </c>
      <c r="I58" s="238">
        <v>3395</v>
      </c>
      <c r="J58" s="238">
        <v>3106</v>
      </c>
      <c r="K58" s="238">
        <v>5266</v>
      </c>
      <c r="L58" s="238">
        <v>15170</v>
      </c>
      <c r="M58" s="238">
        <v>2201</v>
      </c>
      <c r="N58" s="238">
        <v>2718</v>
      </c>
      <c r="O58" s="238">
        <v>2569</v>
      </c>
      <c r="P58" s="238">
        <v>4798</v>
      </c>
      <c r="Q58" s="238">
        <v>12286</v>
      </c>
      <c r="R58" s="238">
        <v>2889</v>
      </c>
      <c r="S58" s="238">
        <v>3353</v>
      </c>
      <c r="T58" s="238">
        <v>3207</v>
      </c>
      <c r="U58" s="238">
        <v>5507</v>
      </c>
      <c r="V58" s="238">
        <v>14956</v>
      </c>
      <c r="W58" s="238">
        <v>3231</v>
      </c>
      <c r="X58" s="238">
        <v>3422</v>
      </c>
      <c r="Y58" s="238">
        <v>3204</v>
      </c>
      <c r="Z58" s="238">
        <v>5450</v>
      </c>
      <c r="AA58" s="238">
        <v>15307</v>
      </c>
      <c r="AB58" s="238">
        <v>2988</v>
      </c>
      <c r="AC58" s="238">
        <v>3176</v>
      </c>
      <c r="AD58" s="238">
        <v>2905</v>
      </c>
      <c r="AE58" s="238">
        <v>5154</v>
      </c>
      <c r="AF58" s="256">
        <v>14223</v>
      </c>
    </row>
    <row r="59" spans="1:254" s="204" customFormat="1">
      <c r="A59" s="237" t="s">
        <v>215</v>
      </c>
      <c r="B59" s="217"/>
      <c r="C59" s="238">
        <v>5291</v>
      </c>
      <c r="D59" s="238">
        <v>4956</v>
      </c>
      <c r="E59" s="238">
        <v>7147</v>
      </c>
      <c r="F59" s="238">
        <v>5263</v>
      </c>
      <c r="G59" s="238">
        <v>5263</v>
      </c>
      <c r="H59" s="238">
        <v>5498</v>
      </c>
      <c r="I59" s="238">
        <v>5029</v>
      </c>
      <c r="J59" s="238">
        <v>7256</v>
      </c>
      <c r="K59" s="238">
        <v>5188</v>
      </c>
      <c r="L59" s="238">
        <v>5188</v>
      </c>
      <c r="M59" s="238">
        <v>4923</v>
      </c>
      <c r="N59" s="238">
        <v>3582</v>
      </c>
      <c r="O59" s="238">
        <v>5144</v>
      </c>
      <c r="P59" s="238">
        <v>3774</v>
      </c>
      <c r="Q59" s="238">
        <v>3774</v>
      </c>
      <c r="R59" s="238">
        <v>4230</v>
      </c>
      <c r="S59" s="238">
        <v>4298</v>
      </c>
      <c r="T59" s="238">
        <v>6141</v>
      </c>
      <c r="U59" s="238">
        <v>4383</v>
      </c>
      <c r="V59" s="238">
        <v>4383</v>
      </c>
      <c r="W59" s="238">
        <v>4956</v>
      </c>
      <c r="X59" s="238">
        <v>4610</v>
      </c>
      <c r="Y59" s="238">
        <v>6403</v>
      </c>
      <c r="Z59" s="238">
        <v>4267</v>
      </c>
      <c r="AA59" s="238">
        <v>4267</v>
      </c>
      <c r="AB59" s="238">
        <v>4607</v>
      </c>
      <c r="AC59" s="238">
        <v>4129</v>
      </c>
      <c r="AD59" s="238">
        <v>6025</v>
      </c>
      <c r="AE59" s="238">
        <v>4361</v>
      </c>
      <c r="AF59" s="256">
        <v>4361</v>
      </c>
    </row>
    <row r="60" spans="1:254" s="204" customFormat="1">
      <c r="A60" s="237"/>
      <c r="B60" s="217"/>
      <c r="C60" s="238"/>
      <c r="D60" s="238"/>
      <c r="E60" s="238"/>
      <c r="F60" s="238"/>
      <c r="G60" s="238"/>
      <c r="H60" s="238"/>
      <c r="I60" s="238"/>
      <c r="J60" s="238"/>
      <c r="K60" s="238"/>
      <c r="L60" s="238"/>
      <c r="M60" s="238"/>
      <c r="N60" s="238"/>
      <c r="O60" s="238"/>
      <c r="P60" s="238"/>
      <c r="Q60" s="238"/>
      <c r="R60" s="238"/>
      <c r="S60" s="238"/>
      <c r="T60" s="238"/>
      <c r="U60" s="238"/>
      <c r="V60" s="238"/>
      <c r="W60" s="238"/>
      <c r="X60" s="238"/>
      <c r="Y60" s="238"/>
      <c r="Z60" s="238"/>
      <c r="AA60" s="238"/>
      <c r="AB60" s="238"/>
      <c r="AC60" s="238"/>
      <c r="AD60" s="238"/>
      <c r="AE60" s="238"/>
      <c r="AF60" s="256"/>
    </row>
    <row r="61" spans="1:254" s="204" customFormat="1">
      <c r="A61" s="199" t="s">
        <v>216</v>
      </c>
      <c r="B61" s="200"/>
      <c r="C61" s="241">
        <f>C62/C63</f>
        <v>22.792000000000002</v>
      </c>
      <c r="D61" s="241">
        <f t="shared" ref="D61:F61" si="11">D62/D63</f>
        <v>22.061302681992338</v>
      </c>
      <c r="E61" s="241">
        <f t="shared" si="11"/>
        <v>31.05</v>
      </c>
      <c r="F61" s="241">
        <f t="shared" si="11"/>
        <v>21.737500000000001</v>
      </c>
      <c r="G61" s="228">
        <f>G62/G63</f>
        <v>64.347499999999997</v>
      </c>
      <c r="H61" s="241">
        <f>H62/AVERAGE(C63,H63)</f>
        <v>22.603696098562629</v>
      </c>
      <c r="I61" s="241">
        <f>I62/AVERAGE(D63,I63)</f>
        <v>22.842315369261478</v>
      </c>
      <c r="J61" s="241">
        <f t="shared" ref="J61:AE61" si="12">J62/AVERAGE(E63,J63)</f>
        <v>30.174647887323943</v>
      </c>
      <c r="K61" s="241">
        <f t="shared" si="12"/>
        <v>21.203955500618047</v>
      </c>
      <c r="L61" s="228">
        <f>L62/AVERAGE(G63,L63)</f>
        <v>62.197775030902349</v>
      </c>
      <c r="M61" s="241">
        <f t="shared" si="12"/>
        <v>15.469287469287469</v>
      </c>
      <c r="N61" s="241">
        <f t="shared" si="12"/>
        <v>17.580188679245282</v>
      </c>
      <c r="O61" s="241">
        <f t="shared" si="12"/>
        <v>23.25</v>
      </c>
      <c r="P61" s="241">
        <f t="shared" si="12"/>
        <v>20.545985401459856</v>
      </c>
      <c r="Q61" s="228">
        <f t="shared" si="12"/>
        <v>52.837956204379559</v>
      </c>
      <c r="R61" s="241">
        <f t="shared" si="12"/>
        <v>25.946666666666665</v>
      </c>
      <c r="S61" s="241">
        <f t="shared" si="12"/>
        <v>28.859259259259261</v>
      </c>
      <c r="T61" s="241">
        <f t="shared" si="12"/>
        <v>28.478589420654913</v>
      </c>
      <c r="U61" s="241">
        <f>U62/AVERAGE(P63,U63)</f>
        <v>31.169284467713787</v>
      </c>
      <c r="V61" s="228">
        <f t="shared" si="12"/>
        <v>88.652705061082031</v>
      </c>
      <c r="W61" s="241">
        <f t="shared" si="12"/>
        <v>25.410958904109588</v>
      </c>
      <c r="X61" s="241">
        <f t="shared" si="12"/>
        <v>26.518181818181819</v>
      </c>
      <c r="Y61" s="241">
        <f t="shared" si="12"/>
        <v>26.283653846153847</v>
      </c>
      <c r="Z61" s="241">
        <f t="shared" si="12"/>
        <v>28.753768844221106</v>
      </c>
      <c r="AA61" s="228">
        <f t="shared" si="12"/>
        <v>85.256281407035175</v>
      </c>
      <c r="AB61" s="241">
        <f t="shared" si="12"/>
        <v>21.200819672131146</v>
      </c>
      <c r="AC61" s="241">
        <f t="shared" si="12"/>
        <v>23.891402714932127</v>
      </c>
      <c r="AD61" s="241">
        <f t="shared" si="12"/>
        <v>23.876777251184834</v>
      </c>
      <c r="AE61" s="241">
        <f t="shared" si="12"/>
        <v>28.246205733558178</v>
      </c>
      <c r="AF61" s="254">
        <f>AF62/AVERAGE(AA63,AF63)</f>
        <v>80.492411467116355</v>
      </c>
    </row>
    <row r="62" spans="1:254" s="204" customFormat="1">
      <c r="A62" s="229" t="s">
        <v>45</v>
      </c>
      <c r="B62" s="200"/>
      <c r="C62" s="218">
        <v>5698</v>
      </c>
      <c r="D62" s="218">
        <v>5758</v>
      </c>
      <c r="E62" s="218">
        <v>5589</v>
      </c>
      <c r="F62" s="218">
        <v>8695</v>
      </c>
      <c r="G62" s="218">
        <v>25739</v>
      </c>
      <c r="H62" s="218">
        <v>5504</v>
      </c>
      <c r="I62" s="218">
        <v>5722</v>
      </c>
      <c r="J62" s="218">
        <v>5356</v>
      </c>
      <c r="K62" s="218">
        <v>8577</v>
      </c>
      <c r="L62" s="218">
        <v>25159</v>
      </c>
      <c r="M62" s="218">
        <v>3148</v>
      </c>
      <c r="N62" s="218">
        <v>3727</v>
      </c>
      <c r="O62" s="218">
        <v>4185</v>
      </c>
      <c r="P62" s="218">
        <v>7037</v>
      </c>
      <c r="Q62" s="218">
        <v>18097</v>
      </c>
      <c r="R62" s="218">
        <v>4865</v>
      </c>
      <c r="S62" s="218">
        <v>5844</v>
      </c>
      <c r="T62" s="218">
        <v>5653</v>
      </c>
      <c r="U62" s="218">
        <v>8930</v>
      </c>
      <c r="V62" s="218">
        <v>25399</v>
      </c>
      <c r="W62" s="218">
        <v>5565</v>
      </c>
      <c r="X62" s="218">
        <v>5834</v>
      </c>
      <c r="Y62" s="218">
        <v>5467</v>
      </c>
      <c r="Z62" s="218">
        <v>8583</v>
      </c>
      <c r="AA62" s="218">
        <v>25449</v>
      </c>
      <c r="AB62" s="218">
        <v>5173</v>
      </c>
      <c r="AC62" s="218">
        <v>5280</v>
      </c>
      <c r="AD62" s="218">
        <v>5038</v>
      </c>
      <c r="AE62" s="218">
        <v>8375</v>
      </c>
      <c r="AF62" s="222">
        <v>23866</v>
      </c>
    </row>
    <row r="63" spans="1:254" s="204" customFormat="1">
      <c r="A63" s="229" t="s">
        <v>217</v>
      </c>
      <c r="B63" s="200"/>
      <c r="C63" s="218">
        <v>250</v>
      </c>
      <c r="D63" s="218">
        <v>261</v>
      </c>
      <c r="E63" s="218">
        <v>180</v>
      </c>
      <c r="F63" s="218">
        <v>400</v>
      </c>
      <c r="G63" s="239">
        <v>400</v>
      </c>
      <c r="H63" s="218">
        <v>237</v>
      </c>
      <c r="I63" s="218">
        <v>240</v>
      </c>
      <c r="J63" s="218">
        <v>175</v>
      </c>
      <c r="K63" s="218">
        <v>409</v>
      </c>
      <c r="L63" s="239">
        <v>409</v>
      </c>
      <c r="M63" s="218">
        <v>170</v>
      </c>
      <c r="N63" s="218">
        <v>184</v>
      </c>
      <c r="O63" s="218">
        <v>185</v>
      </c>
      <c r="P63" s="218">
        <v>276</v>
      </c>
      <c r="Q63" s="239">
        <v>276</v>
      </c>
      <c r="R63" s="218">
        <v>205</v>
      </c>
      <c r="S63" s="218">
        <v>221</v>
      </c>
      <c r="T63" s="218">
        <v>212</v>
      </c>
      <c r="U63" s="218">
        <v>297</v>
      </c>
      <c r="V63" s="239">
        <v>297</v>
      </c>
      <c r="W63" s="239">
        <v>233</v>
      </c>
      <c r="X63" s="239">
        <v>219</v>
      </c>
      <c r="Y63" s="239">
        <v>204</v>
      </c>
      <c r="Z63" s="239">
        <v>300</v>
      </c>
      <c r="AA63" s="239">
        <v>300</v>
      </c>
      <c r="AB63" s="239">
        <v>255</v>
      </c>
      <c r="AC63" s="239">
        <v>223</v>
      </c>
      <c r="AD63" s="239">
        <v>218</v>
      </c>
      <c r="AE63" s="239">
        <v>293</v>
      </c>
      <c r="AF63" s="240">
        <v>293</v>
      </c>
    </row>
    <row r="64" spans="1:254" s="204" customFormat="1">
      <c r="A64" s="229"/>
      <c r="B64" s="200"/>
      <c r="C64" s="218"/>
      <c r="D64" s="218"/>
      <c r="E64" s="218"/>
      <c r="F64" s="218"/>
      <c r="G64" s="239"/>
      <c r="H64" s="218"/>
      <c r="I64" s="218"/>
      <c r="J64" s="218"/>
      <c r="K64" s="218"/>
      <c r="L64" s="239"/>
      <c r="M64" s="218"/>
      <c r="N64" s="218"/>
      <c r="O64" s="218"/>
      <c r="P64" s="218"/>
      <c r="Q64" s="239"/>
      <c r="R64" s="218"/>
      <c r="S64" s="218"/>
      <c r="T64" s="218"/>
      <c r="U64" s="218"/>
      <c r="V64" s="239"/>
      <c r="W64" s="239"/>
      <c r="X64" s="239"/>
      <c r="Y64" s="239"/>
      <c r="Z64" s="239"/>
      <c r="AA64" s="239"/>
      <c r="AB64" s="239"/>
      <c r="AC64" s="239"/>
      <c r="AD64" s="239"/>
      <c r="AE64" s="239"/>
      <c r="AF64" s="240"/>
    </row>
    <row r="65" spans="1:254" s="204" customFormat="1">
      <c r="A65" s="261" t="s">
        <v>218</v>
      </c>
      <c r="B65" s="200"/>
      <c r="C65" s="299">
        <f>C66/C67</f>
        <v>0.91036339165545088</v>
      </c>
      <c r="D65" s="299">
        <f t="shared" ref="D65:F65" si="13">D66/D67</f>
        <v>0.94911377930245855</v>
      </c>
      <c r="E65" s="299">
        <f t="shared" si="13"/>
        <v>0.59707569868591526</v>
      </c>
      <c r="F65" s="299">
        <f t="shared" si="13"/>
        <v>2.0045489006823352</v>
      </c>
      <c r="G65" s="300">
        <f>G66/G67</f>
        <v>5.7680060652009102</v>
      </c>
      <c r="H65" s="299">
        <f>H66/AVERAGE(C67,H67)</f>
        <v>0.95082425258452086</v>
      </c>
      <c r="I65" s="299">
        <f t="shared" ref="I65:AF65" si="14">I66/AVERAGE(D67,I67)</f>
        <v>1.0166192543793982</v>
      </c>
      <c r="J65" s="299">
        <f t="shared" si="14"/>
        <v>0.58537504711647192</v>
      </c>
      <c r="K65" s="299">
        <f>K66/AVERAGE(F67,K67)</f>
        <v>1.9882952614687559</v>
      </c>
      <c r="L65" s="300">
        <f>L66/AVERAGE(G67,L67)</f>
        <v>5.727770436095903</v>
      </c>
      <c r="M65" s="299">
        <f t="shared" si="14"/>
        <v>0.59390178089584456</v>
      </c>
      <c r="N65" s="299">
        <f t="shared" si="14"/>
        <v>0.81560390097524382</v>
      </c>
      <c r="O65" s="299">
        <f t="shared" si="14"/>
        <v>0.4894265574395123</v>
      </c>
      <c r="P65" s="299">
        <f t="shared" si="14"/>
        <v>1.7399818676337262</v>
      </c>
      <c r="Q65" s="300">
        <f t="shared" si="14"/>
        <v>4.4554850407978241</v>
      </c>
      <c r="R65" s="299">
        <f t="shared" si="14"/>
        <v>0.69430425378514782</v>
      </c>
      <c r="S65" s="299">
        <f t="shared" si="14"/>
        <v>0.85155555555555551</v>
      </c>
      <c r="T65" s="299">
        <f t="shared" si="14"/>
        <v>0.57908992416034666</v>
      </c>
      <c r="U65" s="299">
        <f t="shared" si="14"/>
        <v>1.7949804432855281</v>
      </c>
      <c r="V65" s="300">
        <f t="shared" si="14"/>
        <v>4.8748370273794004</v>
      </c>
      <c r="W65" s="299">
        <f t="shared" si="14"/>
        <v>0.7179202310854349</v>
      </c>
      <c r="X65" s="299">
        <f t="shared" si="14"/>
        <v>0.8047977422389464</v>
      </c>
      <c r="Y65" s="299">
        <f t="shared" si="14"/>
        <v>0.54591923666723463</v>
      </c>
      <c r="Z65" s="299">
        <f t="shared" si="14"/>
        <v>1.7712057198570035</v>
      </c>
      <c r="AA65" s="300">
        <f t="shared" si="14"/>
        <v>4.9746506337341563</v>
      </c>
      <c r="AB65" s="299">
        <f t="shared" si="14"/>
        <v>0.68516395322173818</v>
      </c>
      <c r="AC65" s="299">
        <f t="shared" si="14"/>
        <v>0.81342041234473039</v>
      </c>
      <c r="AD65" s="299">
        <f t="shared" si="14"/>
        <v>0.51511658835003105</v>
      </c>
      <c r="AE65" s="299">
        <f t="shared" si="14"/>
        <v>1.8626671485363209</v>
      </c>
      <c r="AF65" s="301">
        <f t="shared" si="14"/>
        <v>5.1402240693892303</v>
      </c>
    </row>
    <row r="66" spans="1:254" s="204" customFormat="1">
      <c r="A66" s="237" t="s">
        <v>214</v>
      </c>
      <c r="B66" s="217"/>
      <c r="C66" s="238">
        <v>3382</v>
      </c>
      <c r="D66" s="238">
        <v>3320</v>
      </c>
      <c r="E66" s="238">
        <v>3226</v>
      </c>
      <c r="F66" s="238">
        <v>5288</v>
      </c>
      <c r="G66" s="238">
        <v>15216</v>
      </c>
      <c r="H66" s="238">
        <v>3403</v>
      </c>
      <c r="I66" s="238">
        <v>3395</v>
      </c>
      <c r="J66" s="238">
        <v>3106</v>
      </c>
      <c r="K66" s="238">
        <v>5266</v>
      </c>
      <c r="L66" s="238">
        <v>15170</v>
      </c>
      <c r="M66" s="238">
        <v>2201</v>
      </c>
      <c r="N66" s="238">
        <v>2718</v>
      </c>
      <c r="O66" s="238">
        <v>2569</v>
      </c>
      <c r="P66" s="238">
        <v>4798</v>
      </c>
      <c r="Q66" s="238">
        <v>12286</v>
      </c>
      <c r="R66" s="238">
        <v>2889</v>
      </c>
      <c r="S66" s="238">
        <v>3353</v>
      </c>
      <c r="T66" s="238">
        <v>3207</v>
      </c>
      <c r="U66" s="238">
        <v>5507</v>
      </c>
      <c r="V66" s="238">
        <v>14956</v>
      </c>
      <c r="W66" s="238">
        <v>3231</v>
      </c>
      <c r="X66" s="238">
        <v>3422</v>
      </c>
      <c r="Y66" s="238">
        <v>3204</v>
      </c>
      <c r="Z66" s="238">
        <v>5450</v>
      </c>
      <c r="AA66" s="238">
        <v>15307</v>
      </c>
      <c r="AB66" s="238">
        <v>2988</v>
      </c>
      <c r="AC66" s="238">
        <v>3176</v>
      </c>
      <c r="AD66" s="238">
        <v>2905</v>
      </c>
      <c r="AE66" s="238">
        <v>5154</v>
      </c>
      <c r="AF66" s="256">
        <v>14223</v>
      </c>
    </row>
    <row r="67" spans="1:254" s="204" customFormat="1">
      <c r="A67" s="229" t="s">
        <v>219</v>
      </c>
      <c r="B67" s="200"/>
      <c r="C67" s="218">
        <v>3715</v>
      </c>
      <c r="D67" s="218">
        <v>3498</v>
      </c>
      <c r="E67" s="218">
        <v>5403</v>
      </c>
      <c r="F67" s="218">
        <v>2638</v>
      </c>
      <c r="G67" s="239">
        <v>2638</v>
      </c>
      <c r="H67" s="218">
        <v>3443</v>
      </c>
      <c r="I67" s="218">
        <v>3181</v>
      </c>
      <c r="J67" s="218">
        <v>5209</v>
      </c>
      <c r="K67" s="218">
        <v>2659</v>
      </c>
      <c r="L67" s="239">
        <v>2659</v>
      </c>
      <c r="M67" s="239">
        <v>3969</v>
      </c>
      <c r="N67" s="239">
        <v>3484</v>
      </c>
      <c r="O67" s="239">
        <v>5289</v>
      </c>
      <c r="P67" s="239">
        <v>2856</v>
      </c>
      <c r="Q67" s="239">
        <v>2856</v>
      </c>
      <c r="R67" s="239">
        <v>4353</v>
      </c>
      <c r="S67" s="239">
        <v>4391</v>
      </c>
      <c r="T67" s="239">
        <v>5787</v>
      </c>
      <c r="U67" s="239">
        <v>3280</v>
      </c>
      <c r="V67" s="239">
        <v>3280</v>
      </c>
      <c r="W67" s="239">
        <v>4648</v>
      </c>
      <c r="X67" s="239">
        <v>4113</v>
      </c>
      <c r="Y67" s="239">
        <v>5951</v>
      </c>
      <c r="Z67" s="239">
        <v>2874</v>
      </c>
      <c r="AA67" s="239">
        <v>2874</v>
      </c>
      <c r="AB67" s="239">
        <v>4074</v>
      </c>
      <c r="AC67" s="239">
        <v>3696</v>
      </c>
      <c r="AD67" s="239">
        <v>5328</v>
      </c>
      <c r="AE67" s="239">
        <v>2660</v>
      </c>
      <c r="AF67" s="240">
        <v>2660</v>
      </c>
    </row>
    <row r="68" spans="1:254" s="204" customFormat="1">
      <c r="A68" s="229"/>
      <c r="B68" s="200"/>
      <c r="C68" s="201"/>
      <c r="D68" s="201"/>
      <c r="E68" s="201"/>
      <c r="F68" s="201"/>
      <c r="G68" s="202"/>
      <c r="H68" s="201"/>
      <c r="I68" s="201"/>
      <c r="J68" s="201"/>
      <c r="K68" s="201"/>
      <c r="L68" s="202"/>
      <c r="M68" s="201"/>
      <c r="N68" s="201"/>
      <c r="O68" s="201"/>
      <c r="P68" s="201"/>
      <c r="Q68" s="202"/>
      <c r="R68" s="201"/>
      <c r="S68" s="201"/>
      <c r="T68" s="201"/>
      <c r="U68" s="201"/>
      <c r="V68" s="202"/>
      <c r="W68" s="202"/>
      <c r="X68" s="202"/>
      <c r="Y68" s="202"/>
      <c r="Z68" s="202"/>
      <c r="AA68" s="202"/>
      <c r="AB68" s="202"/>
      <c r="AC68" s="202"/>
      <c r="AD68" s="202"/>
      <c r="AE68" s="202"/>
      <c r="AF68" s="203"/>
    </row>
    <row r="69" spans="1:254" s="204" customFormat="1">
      <c r="A69" s="199" t="s">
        <v>220</v>
      </c>
      <c r="B69" s="200"/>
      <c r="C69" s="241">
        <f>(1/C61)*365</f>
        <v>16.014391014391013</v>
      </c>
      <c r="D69" s="241">
        <f t="shared" ref="D69:AF69" si="15">(1/D61)*365</f>
        <v>16.544807224730807</v>
      </c>
      <c r="E69" s="241">
        <f t="shared" si="15"/>
        <v>11.755233494363928</v>
      </c>
      <c r="F69" s="241">
        <f t="shared" si="15"/>
        <v>16.791259344450832</v>
      </c>
      <c r="G69" s="228">
        <f t="shared" si="15"/>
        <v>5.6723260421927817</v>
      </c>
      <c r="H69" s="241">
        <f t="shared" si="15"/>
        <v>16.147801598837209</v>
      </c>
      <c r="I69" s="241">
        <f t="shared" si="15"/>
        <v>15.979115693813352</v>
      </c>
      <c r="J69" s="241">
        <f t="shared" si="15"/>
        <v>12.096247199402539</v>
      </c>
      <c r="K69" s="241">
        <f t="shared" si="15"/>
        <v>17.213769383234233</v>
      </c>
      <c r="L69" s="228">
        <f t="shared" si="15"/>
        <v>5.8683771215072138</v>
      </c>
      <c r="M69" s="241">
        <f t="shared" si="15"/>
        <v>23.595139771283353</v>
      </c>
      <c r="N69" s="241">
        <f t="shared" si="15"/>
        <v>20.762006976120205</v>
      </c>
      <c r="O69" s="241">
        <f t="shared" si="15"/>
        <v>15.698924731182798</v>
      </c>
      <c r="P69" s="241">
        <f t="shared" si="15"/>
        <v>17.765027710672161</v>
      </c>
      <c r="Q69" s="228">
        <f t="shared" si="15"/>
        <v>6.9079129137426101</v>
      </c>
      <c r="R69" s="241">
        <f t="shared" si="15"/>
        <v>14.06731757451182</v>
      </c>
      <c r="S69" s="241">
        <f t="shared" si="15"/>
        <v>12.64758726899384</v>
      </c>
      <c r="T69" s="241">
        <f t="shared" si="15"/>
        <v>12.816646028657351</v>
      </c>
      <c r="U69" s="241">
        <f t="shared" si="15"/>
        <v>11.710246360582307</v>
      </c>
      <c r="V69" s="228">
        <f t="shared" si="15"/>
        <v>4.1171896531359495</v>
      </c>
      <c r="W69" s="241">
        <f t="shared" si="15"/>
        <v>14.363881401617252</v>
      </c>
      <c r="X69" s="241">
        <f t="shared" si="15"/>
        <v>13.764141241001028</v>
      </c>
      <c r="Y69" s="241">
        <f t="shared" si="15"/>
        <v>13.886958112310223</v>
      </c>
      <c r="Z69" s="241">
        <f t="shared" si="15"/>
        <v>12.693988116043341</v>
      </c>
      <c r="AA69" s="228">
        <f t="shared" si="15"/>
        <v>4.2812094777790879</v>
      </c>
      <c r="AB69" s="241">
        <f t="shared" si="15"/>
        <v>17.216315484245118</v>
      </c>
      <c r="AC69" s="241">
        <f t="shared" si="15"/>
        <v>15.277462121212121</v>
      </c>
      <c r="AD69" s="241">
        <f t="shared" si="15"/>
        <v>15.286820166732831</v>
      </c>
      <c r="AE69" s="241">
        <f t="shared" si="15"/>
        <v>12.922089552238806</v>
      </c>
      <c r="AF69" s="254">
        <f t="shared" si="15"/>
        <v>4.5345889549987435</v>
      </c>
    </row>
    <row r="70" spans="1:254" s="204" customFormat="1">
      <c r="A70" s="199" t="s">
        <v>221</v>
      </c>
      <c r="B70" s="221"/>
      <c r="C70" s="242">
        <f t="shared" ref="C70:AF70" si="16">(1/C57)*365</f>
        <v>571.0274985215849</v>
      </c>
      <c r="D70" s="242">
        <f t="shared" si="16"/>
        <v>544.86144578313258</v>
      </c>
      <c r="E70" s="242">
        <f t="shared" si="16"/>
        <v>808.63453192808424</v>
      </c>
      <c r="F70" s="242">
        <f t="shared" si="16"/>
        <v>363.27439485627838</v>
      </c>
      <c r="G70" s="249">
        <f t="shared" si="16"/>
        <v>126.24835699263933</v>
      </c>
      <c r="H70" s="242">
        <f t="shared" si="16"/>
        <v>578.60490743461651</v>
      </c>
      <c r="I70" s="242">
        <f t="shared" si="16"/>
        <v>536.74889543446238</v>
      </c>
      <c r="J70" s="242">
        <f t="shared" si="16"/>
        <v>846.28058596265294</v>
      </c>
      <c r="K70" s="242">
        <f t="shared" si="16"/>
        <v>362.1928408659324</v>
      </c>
      <c r="L70" s="249">
        <f t="shared" si="16"/>
        <v>125.72890573500329</v>
      </c>
      <c r="M70" s="242">
        <f t="shared" si="16"/>
        <v>864.07655611085863</v>
      </c>
      <c r="N70" s="242">
        <f t="shared" si="16"/>
        <v>578.18524650478287</v>
      </c>
      <c r="O70" s="242">
        <f t="shared" si="16"/>
        <v>880.88750486570643</v>
      </c>
      <c r="P70" s="242">
        <f t="shared" si="16"/>
        <v>340.88474364318461</v>
      </c>
      <c r="Q70" s="249">
        <f t="shared" si="16"/>
        <v>133.12428780726029</v>
      </c>
      <c r="R70" s="242">
        <f t="shared" si="16"/>
        <v>578.20093457943926</v>
      </c>
      <c r="S70" s="242">
        <f t="shared" si="16"/>
        <v>428.899492991351</v>
      </c>
      <c r="T70" s="242">
        <f t="shared" si="16"/>
        <v>642.19285937012785</v>
      </c>
      <c r="U70" s="242">
        <f t="shared" si="16"/>
        <v>270.32004721263849</v>
      </c>
      <c r="V70" s="249">
        <f t="shared" si="16"/>
        <v>99.535470714094686</v>
      </c>
      <c r="W70" s="242">
        <f t="shared" si="16"/>
        <v>518.8625812441968</v>
      </c>
      <c r="X70" s="242">
        <f t="shared" si="16"/>
        <v>475.07597895967268</v>
      </c>
      <c r="Y70" s="242">
        <f t="shared" si="16"/>
        <v>714.50686641697882</v>
      </c>
      <c r="Z70" s="242">
        <f t="shared" si="16"/>
        <v>289.6559633027523</v>
      </c>
      <c r="AA70" s="249">
        <f t="shared" si="16"/>
        <v>103.13092049389169</v>
      </c>
      <c r="AB70" s="242">
        <f t="shared" si="16"/>
        <v>584.08550870147258</v>
      </c>
      <c r="AC70" s="242">
        <f t="shared" si="16"/>
        <v>502.16231108312348</v>
      </c>
      <c r="AD70" s="242">
        <f t="shared" si="16"/>
        <v>780.76075731497417</v>
      </c>
      <c r="AE70" s="242">
        <f t="shared" si="16"/>
        <v>305.5122235157159</v>
      </c>
      <c r="AF70" s="250">
        <f t="shared" si="16"/>
        <v>110.70871124235393</v>
      </c>
      <c r="AH70" s="67"/>
    </row>
    <row r="71" spans="1:254" s="204" customFormat="1">
      <c r="A71" s="261" t="s">
        <v>222</v>
      </c>
      <c r="B71" s="221"/>
      <c r="C71" s="241">
        <f>(1/C65)*365</f>
        <v>400.93879361324662</v>
      </c>
      <c r="D71" s="241">
        <f t="shared" ref="D71:AF71" si="17">(1/D65)*365</f>
        <v>384.56927710843377</v>
      </c>
      <c r="E71" s="241">
        <f t="shared" si="17"/>
        <v>611.31277123372593</v>
      </c>
      <c r="F71" s="241">
        <f t="shared" si="17"/>
        <v>182.08585476550681</v>
      </c>
      <c r="G71" s="228">
        <f>(1/G65)*365</f>
        <v>63.280099894847524</v>
      </c>
      <c r="H71" s="241">
        <f t="shared" si="17"/>
        <v>383.87746106376721</v>
      </c>
      <c r="I71" s="241">
        <f t="shared" si="17"/>
        <v>359.03313696612662</v>
      </c>
      <c r="J71" s="241">
        <f t="shared" si="17"/>
        <v>623.53187379265944</v>
      </c>
      <c r="K71" s="241">
        <f t="shared" si="17"/>
        <v>183.57434485377894</v>
      </c>
      <c r="L71" s="228">
        <f t="shared" si="17"/>
        <v>63.724620962425846</v>
      </c>
      <c r="M71" s="241">
        <f t="shared" si="17"/>
        <v>614.5797364834167</v>
      </c>
      <c r="N71" s="241">
        <f t="shared" si="17"/>
        <v>447.52115526122151</v>
      </c>
      <c r="O71" s="241">
        <f t="shared" si="17"/>
        <v>745.77072790969237</v>
      </c>
      <c r="P71" s="241">
        <f t="shared" si="17"/>
        <v>209.77230095873281</v>
      </c>
      <c r="Q71" s="228">
        <f t="shared" si="17"/>
        <v>81.921496011720663</v>
      </c>
      <c r="R71" s="241">
        <f t="shared" si="17"/>
        <v>525.70612668743502</v>
      </c>
      <c r="S71" s="241">
        <f t="shared" si="17"/>
        <v>428.62734864300631</v>
      </c>
      <c r="T71" s="241">
        <f t="shared" si="17"/>
        <v>630.2993451824135</v>
      </c>
      <c r="U71" s="241">
        <f t="shared" si="17"/>
        <v>203.34483384783002</v>
      </c>
      <c r="V71" s="228">
        <f t="shared" si="17"/>
        <v>74.874297940625823</v>
      </c>
      <c r="W71" s="241">
        <f t="shared" si="17"/>
        <v>508.41303002166518</v>
      </c>
      <c r="X71" s="241">
        <f t="shared" si="17"/>
        <v>453.53009935710105</v>
      </c>
      <c r="Y71" s="241">
        <f t="shared" si="17"/>
        <v>668.59706616729079</v>
      </c>
      <c r="Z71" s="241">
        <f t="shared" si="17"/>
        <v>206.0743119266055</v>
      </c>
      <c r="AA71" s="228">
        <f t="shared" si="17"/>
        <v>73.371986672764095</v>
      </c>
      <c r="AB71" s="241">
        <f t="shared" si="17"/>
        <v>532.7192101740294</v>
      </c>
      <c r="AC71" s="241">
        <f t="shared" si="17"/>
        <v>448.72244962216627</v>
      </c>
      <c r="AD71" s="241">
        <f t="shared" si="17"/>
        <v>708.5774526678141</v>
      </c>
      <c r="AE71" s="241">
        <f t="shared" si="17"/>
        <v>195.95556849049282</v>
      </c>
      <c r="AF71" s="254">
        <f t="shared" si="17"/>
        <v>71.008577655909448</v>
      </c>
      <c r="AH71" s="67"/>
    </row>
    <row r="72" spans="1:254" s="204" customFormat="1">
      <c r="A72" s="261"/>
      <c r="B72" s="221"/>
      <c r="C72" s="241"/>
      <c r="D72" s="241"/>
      <c r="E72" s="241"/>
      <c r="F72" s="241"/>
      <c r="G72" s="228"/>
      <c r="H72" s="241"/>
      <c r="I72" s="241"/>
      <c r="J72" s="241"/>
      <c r="K72" s="241"/>
      <c r="L72" s="228"/>
      <c r="M72" s="241"/>
      <c r="N72" s="241"/>
      <c r="O72" s="241"/>
      <c r="P72" s="241"/>
      <c r="Q72" s="228"/>
      <c r="R72" s="241"/>
      <c r="S72" s="241"/>
      <c r="T72" s="241"/>
      <c r="U72" s="241"/>
      <c r="V72" s="228"/>
      <c r="W72" s="241"/>
      <c r="X72" s="241"/>
      <c r="Y72" s="241"/>
      <c r="Z72" s="241"/>
      <c r="AA72" s="228"/>
      <c r="AB72" s="241"/>
      <c r="AC72" s="241"/>
      <c r="AD72" s="241"/>
      <c r="AE72" s="241"/>
      <c r="AF72" s="254"/>
      <c r="AH72" s="67"/>
    </row>
    <row r="73" spans="1:254" s="204" customFormat="1">
      <c r="A73" s="199" t="s">
        <v>223</v>
      </c>
      <c r="B73" s="205"/>
      <c r="C73" s="241">
        <f>C69+C70-C71</f>
        <v>186.10309592272927</v>
      </c>
      <c r="D73" s="241">
        <f t="shared" ref="D73:AF73" si="18">D69+D70-D71</f>
        <v>176.8369758994296</v>
      </c>
      <c r="E73" s="241">
        <f t="shared" si="18"/>
        <v>209.07699418872221</v>
      </c>
      <c r="F73" s="241">
        <f t="shared" si="18"/>
        <v>197.97979943522242</v>
      </c>
      <c r="G73" s="228">
        <f t="shared" si="18"/>
        <v>68.640583139984585</v>
      </c>
      <c r="H73" s="241">
        <f t="shared" si="18"/>
        <v>210.87524796968648</v>
      </c>
      <c r="I73" s="241">
        <f t="shared" si="18"/>
        <v>193.69487416214912</v>
      </c>
      <c r="J73" s="241">
        <f t="shared" si="18"/>
        <v>234.84495936939607</v>
      </c>
      <c r="K73" s="241">
        <f t="shared" si="18"/>
        <v>195.83226539538771</v>
      </c>
      <c r="L73" s="228">
        <f t="shared" si="18"/>
        <v>67.872661894084658</v>
      </c>
      <c r="M73" s="241">
        <f t="shared" si="18"/>
        <v>273.09195939872529</v>
      </c>
      <c r="N73" s="241">
        <f t="shared" si="18"/>
        <v>151.42609821968159</v>
      </c>
      <c r="O73" s="241">
        <f t="shared" si="18"/>
        <v>150.81570168719691</v>
      </c>
      <c r="P73" s="241">
        <f t="shared" si="18"/>
        <v>148.87747039512394</v>
      </c>
      <c r="Q73" s="228">
        <f t="shared" si="18"/>
        <v>58.110704709282246</v>
      </c>
      <c r="R73" s="241">
        <f t="shared" si="18"/>
        <v>66.562125466516022</v>
      </c>
      <c r="S73" s="241">
        <f t="shared" si="18"/>
        <v>12.919731617338527</v>
      </c>
      <c r="T73" s="241">
        <f t="shared" si="18"/>
        <v>24.710160216371719</v>
      </c>
      <c r="U73" s="241">
        <f t="shared" si="18"/>
        <v>78.685459725390757</v>
      </c>
      <c r="V73" s="228">
        <f t="shared" si="18"/>
        <v>28.778362426604815</v>
      </c>
      <c r="W73" s="241">
        <f t="shared" si="18"/>
        <v>24.813432624148902</v>
      </c>
      <c r="X73" s="241">
        <f t="shared" si="18"/>
        <v>35.310020843572659</v>
      </c>
      <c r="Y73" s="241">
        <f t="shared" si="18"/>
        <v>59.796758361998286</v>
      </c>
      <c r="Z73" s="241">
        <f t="shared" si="18"/>
        <v>96.275639492190123</v>
      </c>
      <c r="AA73" s="228">
        <f t="shared" si="18"/>
        <v>34.040143298906685</v>
      </c>
      <c r="AB73" s="241">
        <f t="shared" si="18"/>
        <v>68.582614011688293</v>
      </c>
      <c r="AC73" s="241">
        <f t="shared" si="18"/>
        <v>68.717323582169286</v>
      </c>
      <c r="AD73" s="241">
        <f t="shared" si="18"/>
        <v>87.47012481389288</v>
      </c>
      <c r="AE73" s="241">
        <f t="shared" si="18"/>
        <v>122.47874457746187</v>
      </c>
      <c r="AF73" s="254">
        <f t="shared" si="18"/>
        <v>44.234722541443219</v>
      </c>
    </row>
    <row r="74" spans="1:254">
      <c r="A74" s="192"/>
      <c r="B74" s="15"/>
      <c r="C74" s="50"/>
      <c r="D74" s="50"/>
      <c r="E74" s="50"/>
      <c r="F74" s="50"/>
      <c r="G74" s="52"/>
      <c r="H74" s="50"/>
      <c r="I74" s="50"/>
      <c r="J74" s="50"/>
      <c r="K74" s="50"/>
      <c r="L74" s="52"/>
      <c r="M74" s="52"/>
      <c r="N74" s="52"/>
      <c r="O74" s="52"/>
      <c r="P74" s="52"/>
      <c r="Q74" s="52"/>
      <c r="R74" s="52"/>
      <c r="S74" s="52"/>
      <c r="T74" s="52"/>
      <c r="U74" s="52"/>
      <c r="V74" s="52"/>
      <c r="W74" s="52"/>
      <c r="X74" s="52"/>
      <c r="Y74" s="52"/>
      <c r="Z74" s="52"/>
      <c r="AA74" s="52"/>
      <c r="AB74" s="52"/>
      <c r="AC74" s="52"/>
      <c r="AD74" s="52"/>
      <c r="AE74" s="52"/>
      <c r="AF74" s="82"/>
    </row>
    <row r="75" spans="1:254" s="161" customFormat="1" ht="40.25" customHeight="1">
      <c r="A75" s="193" t="s">
        <v>224</v>
      </c>
      <c r="B75" s="165"/>
      <c r="C75" s="166"/>
      <c r="D75" s="166"/>
      <c r="E75" s="166"/>
      <c r="F75" s="166"/>
      <c r="G75" s="166">
        <v>2019</v>
      </c>
      <c r="H75" s="166"/>
      <c r="I75" s="166"/>
      <c r="J75" s="166"/>
      <c r="K75" s="166"/>
      <c r="L75" s="166">
        <v>2020</v>
      </c>
      <c r="M75" s="166"/>
      <c r="N75" s="166"/>
      <c r="O75" s="166"/>
      <c r="P75" s="166"/>
      <c r="Q75" s="166">
        <v>2021</v>
      </c>
      <c r="R75" s="166"/>
      <c r="S75" s="166"/>
      <c r="T75" s="166"/>
      <c r="U75" s="166"/>
      <c r="V75" s="166">
        <v>2022</v>
      </c>
      <c r="W75" s="166"/>
      <c r="X75" s="166"/>
      <c r="Y75" s="166"/>
      <c r="Z75" s="166"/>
      <c r="AA75" s="166">
        <v>2023</v>
      </c>
      <c r="AB75" s="166"/>
      <c r="AC75" s="166"/>
      <c r="AD75" s="166"/>
      <c r="AE75" s="166"/>
      <c r="AF75" s="167">
        <v>2024</v>
      </c>
      <c r="AG75" s="160"/>
      <c r="AH75" s="160"/>
      <c r="AI75" s="160"/>
      <c r="AJ75" s="160"/>
      <c r="AK75" s="160"/>
      <c r="AL75" s="160"/>
      <c r="AM75" s="160"/>
      <c r="AN75" s="160"/>
      <c r="AO75" s="160"/>
      <c r="AP75" s="160"/>
      <c r="AQ75" s="160"/>
      <c r="AR75" s="160"/>
      <c r="AS75" s="160"/>
      <c r="AT75" s="160"/>
      <c r="AU75" s="160"/>
      <c r="AV75" s="160"/>
      <c r="AW75" s="160"/>
      <c r="AX75" s="160"/>
      <c r="AY75" s="160"/>
      <c r="AZ75" s="160"/>
      <c r="BA75" s="160"/>
      <c r="BB75" s="160"/>
      <c r="BC75" s="160"/>
      <c r="BD75" s="160"/>
      <c r="BE75" s="160"/>
      <c r="BF75" s="160"/>
      <c r="BG75" s="160"/>
      <c r="BH75" s="160"/>
      <c r="BI75" s="160"/>
      <c r="BJ75" s="160"/>
      <c r="BK75" s="160"/>
      <c r="BL75" s="160"/>
      <c r="BM75" s="160"/>
      <c r="BN75" s="160"/>
      <c r="BO75" s="160"/>
      <c r="BP75" s="160"/>
      <c r="BQ75" s="160"/>
      <c r="BR75" s="160"/>
      <c r="BS75" s="160"/>
      <c r="BT75" s="160"/>
      <c r="BU75" s="160"/>
      <c r="BV75" s="160"/>
      <c r="BW75" s="160"/>
      <c r="BX75" s="160"/>
      <c r="BY75" s="160"/>
      <c r="BZ75" s="160"/>
      <c r="CA75" s="160"/>
      <c r="CB75" s="160"/>
      <c r="CC75" s="160"/>
      <c r="CD75" s="160"/>
      <c r="CE75" s="160"/>
      <c r="CF75" s="160"/>
      <c r="CG75" s="160"/>
      <c r="CH75" s="160"/>
      <c r="CI75" s="160"/>
      <c r="CJ75" s="160"/>
      <c r="CK75" s="160"/>
      <c r="CL75" s="160"/>
      <c r="CM75" s="160"/>
      <c r="CN75" s="160"/>
      <c r="CO75" s="160"/>
      <c r="CP75" s="160"/>
      <c r="CQ75" s="160"/>
      <c r="CR75" s="160"/>
      <c r="CS75" s="160"/>
      <c r="CT75" s="160"/>
      <c r="CU75" s="160"/>
      <c r="CV75" s="160"/>
      <c r="CW75" s="160"/>
      <c r="CX75" s="160"/>
      <c r="CY75" s="160"/>
      <c r="CZ75" s="160"/>
      <c r="DA75" s="160"/>
      <c r="DB75" s="160"/>
      <c r="DC75" s="160"/>
      <c r="DD75" s="160"/>
      <c r="DE75" s="160"/>
      <c r="DF75" s="160"/>
      <c r="DG75" s="160"/>
      <c r="DH75" s="160"/>
      <c r="DI75" s="160"/>
      <c r="DJ75" s="160"/>
      <c r="DK75" s="160"/>
      <c r="DL75" s="160"/>
      <c r="DM75" s="160"/>
      <c r="DN75" s="160"/>
      <c r="DO75" s="160"/>
      <c r="DP75" s="160"/>
      <c r="DQ75" s="160"/>
      <c r="DR75" s="160"/>
      <c r="DS75" s="160"/>
      <c r="DT75" s="160"/>
      <c r="DU75" s="160"/>
      <c r="DV75" s="160"/>
      <c r="DW75" s="160"/>
      <c r="DX75" s="160"/>
      <c r="DY75" s="160"/>
      <c r="DZ75" s="160"/>
      <c r="EA75" s="160"/>
      <c r="EB75" s="160"/>
      <c r="EC75" s="160"/>
      <c r="ED75" s="160"/>
      <c r="EE75" s="160"/>
      <c r="EF75" s="160"/>
      <c r="EG75" s="160"/>
      <c r="EH75" s="160"/>
      <c r="EI75" s="160"/>
      <c r="EJ75" s="160"/>
      <c r="EK75" s="160"/>
      <c r="EL75" s="160"/>
      <c r="EM75" s="160"/>
      <c r="EN75" s="160"/>
      <c r="EO75" s="160"/>
      <c r="EP75" s="160"/>
      <c r="EQ75" s="160"/>
      <c r="ER75" s="160"/>
      <c r="ES75" s="160"/>
      <c r="ET75" s="160"/>
      <c r="EU75" s="160"/>
      <c r="EV75" s="160"/>
      <c r="EW75" s="160"/>
      <c r="EX75" s="160"/>
      <c r="EY75" s="160"/>
      <c r="EZ75" s="160"/>
      <c r="FA75" s="160"/>
      <c r="FB75" s="160"/>
      <c r="FC75" s="160"/>
      <c r="FD75" s="160"/>
      <c r="FE75" s="160"/>
      <c r="FF75" s="160"/>
      <c r="FG75" s="160"/>
      <c r="FH75" s="160"/>
      <c r="FI75" s="160"/>
      <c r="FJ75" s="160"/>
      <c r="FK75" s="160"/>
      <c r="FL75" s="160"/>
      <c r="FM75" s="160"/>
      <c r="FN75" s="160"/>
      <c r="FO75" s="160"/>
      <c r="FP75" s="160"/>
      <c r="FQ75" s="160"/>
      <c r="FR75" s="160"/>
      <c r="FS75" s="160"/>
      <c r="FT75" s="160"/>
      <c r="FU75" s="160"/>
      <c r="FV75" s="160"/>
      <c r="FW75" s="160"/>
      <c r="FX75" s="160"/>
      <c r="FY75" s="160"/>
      <c r="FZ75" s="160"/>
      <c r="GA75" s="160"/>
      <c r="GB75" s="160"/>
      <c r="GC75" s="160"/>
      <c r="GD75" s="160"/>
      <c r="GE75" s="160"/>
      <c r="GF75" s="160"/>
      <c r="GG75" s="160"/>
      <c r="GH75" s="160"/>
      <c r="GI75" s="160"/>
      <c r="GJ75" s="160"/>
      <c r="GK75" s="160"/>
      <c r="GL75" s="160"/>
      <c r="GM75" s="160"/>
      <c r="GN75" s="160"/>
      <c r="GO75" s="160"/>
      <c r="GP75" s="160"/>
      <c r="GQ75" s="160"/>
      <c r="GR75" s="160"/>
      <c r="GS75" s="160"/>
      <c r="GT75" s="160"/>
      <c r="GU75" s="160"/>
      <c r="GV75" s="160"/>
      <c r="GW75" s="160"/>
      <c r="GX75" s="160"/>
      <c r="GY75" s="160"/>
      <c r="GZ75" s="160"/>
      <c r="HA75" s="160"/>
      <c r="HB75" s="160"/>
      <c r="HC75" s="160"/>
      <c r="HD75" s="160"/>
      <c r="HE75" s="160"/>
      <c r="HF75" s="160"/>
      <c r="HG75" s="160"/>
      <c r="HH75" s="160"/>
      <c r="HI75" s="160"/>
      <c r="HJ75" s="160"/>
      <c r="HK75" s="160"/>
      <c r="HL75" s="160"/>
      <c r="HM75" s="160"/>
      <c r="HN75" s="160"/>
      <c r="HO75" s="160"/>
      <c r="HP75" s="160"/>
      <c r="HQ75" s="160"/>
      <c r="HR75" s="160"/>
      <c r="HS75" s="160"/>
      <c r="HT75" s="160"/>
      <c r="HU75" s="160"/>
      <c r="HV75" s="160"/>
      <c r="HW75" s="160"/>
      <c r="HX75" s="160"/>
      <c r="HY75" s="160"/>
      <c r="HZ75" s="160"/>
      <c r="IA75" s="160"/>
      <c r="IB75" s="160"/>
      <c r="IC75" s="160"/>
      <c r="ID75" s="160"/>
      <c r="IE75" s="160"/>
      <c r="IF75" s="160"/>
      <c r="IG75" s="160"/>
      <c r="IH75" s="160"/>
      <c r="II75" s="160"/>
      <c r="IJ75" s="160"/>
      <c r="IK75" s="160"/>
      <c r="IL75" s="160"/>
      <c r="IM75" s="160"/>
      <c r="IN75" s="160"/>
      <c r="IO75" s="160"/>
      <c r="IP75" s="160"/>
      <c r="IQ75" s="160"/>
      <c r="IR75" s="160"/>
      <c r="IS75" s="160"/>
      <c r="IT75" s="160"/>
    </row>
    <row r="76" spans="1:254" s="162" customFormat="1" ht="30">
      <c r="A76" s="150" t="s">
        <v>34</v>
      </c>
      <c r="B76" s="131"/>
      <c r="C76" s="131" t="s">
        <v>169</v>
      </c>
      <c r="D76" s="131" t="s">
        <v>170</v>
      </c>
      <c r="E76" s="131" t="s">
        <v>171</v>
      </c>
      <c r="F76" s="131" t="s">
        <v>172</v>
      </c>
      <c r="G76" s="131" t="s">
        <v>26</v>
      </c>
      <c r="H76" s="131" t="s">
        <v>173</v>
      </c>
      <c r="I76" s="131" t="s">
        <v>174</v>
      </c>
      <c r="J76" s="131" t="s">
        <v>175</v>
      </c>
      <c r="K76" s="131" t="s">
        <v>176</v>
      </c>
      <c r="L76" s="131" t="s">
        <v>27</v>
      </c>
      <c r="M76" s="131" t="s">
        <v>177</v>
      </c>
      <c r="N76" s="131" t="s">
        <v>178</v>
      </c>
      <c r="O76" s="131" t="s">
        <v>179</v>
      </c>
      <c r="P76" s="131" t="s">
        <v>180</v>
      </c>
      <c r="Q76" s="131" t="s">
        <v>28</v>
      </c>
      <c r="R76" s="131" t="s">
        <v>181</v>
      </c>
      <c r="S76" s="131" t="s">
        <v>182</v>
      </c>
      <c r="T76" s="131" t="s">
        <v>183</v>
      </c>
      <c r="U76" s="131" t="s">
        <v>184</v>
      </c>
      <c r="V76" s="131" t="s">
        <v>29</v>
      </c>
      <c r="W76" s="131" t="s">
        <v>185</v>
      </c>
      <c r="X76" s="131" t="s">
        <v>186</v>
      </c>
      <c r="Y76" s="131" t="s">
        <v>187</v>
      </c>
      <c r="Z76" s="131" t="s">
        <v>188</v>
      </c>
      <c r="AA76" s="131" t="s">
        <v>30</v>
      </c>
      <c r="AB76" s="131" t="s">
        <v>189</v>
      </c>
      <c r="AC76" s="131" t="s">
        <v>190</v>
      </c>
      <c r="AD76" s="131" t="s">
        <v>191</v>
      </c>
      <c r="AE76" s="131" t="s">
        <v>192</v>
      </c>
      <c r="AF76" s="132" t="s">
        <v>31</v>
      </c>
    </row>
    <row r="77" spans="1:254">
      <c r="A77" s="151" t="s">
        <v>193</v>
      </c>
      <c r="B77" s="112"/>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8"/>
    </row>
    <row r="78" spans="1:254">
      <c r="A78" s="152" t="s">
        <v>57</v>
      </c>
      <c r="B78" s="15"/>
      <c r="C78" s="54"/>
      <c r="D78" s="54"/>
      <c r="E78" s="54"/>
      <c r="F78" s="54"/>
      <c r="G78" s="45"/>
      <c r="H78" s="54"/>
      <c r="I78" s="54"/>
      <c r="J78" s="54"/>
      <c r="K78" s="54"/>
      <c r="L78" s="45"/>
      <c r="M78" s="54"/>
      <c r="N78" s="54"/>
      <c r="O78" s="54"/>
      <c r="P78" s="54"/>
      <c r="Q78" s="45"/>
      <c r="R78" s="54"/>
      <c r="S78" s="54"/>
      <c r="T78" s="54"/>
      <c r="U78" s="54"/>
      <c r="V78" s="45"/>
      <c r="W78" s="45"/>
      <c r="X78" s="45"/>
      <c r="Y78" s="45"/>
      <c r="Z78" s="45"/>
      <c r="AA78" s="45"/>
      <c r="AB78" s="45"/>
      <c r="AC78" s="45"/>
      <c r="AD78" s="45"/>
      <c r="AE78" s="45"/>
      <c r="AF78" s="86"/>
    </row>
    <row r="79" spans="1:254" s="67" customFormat="1">
      <c r="A79" s="216" t="s">
        <v>225</v>
      </c>
      <c r="B79" s="217"/>
      <c r="C79" s="218">
        <f>'3FS'!C151</f>
        <v>322</v>
      </c>
      <c r="D79" s="218">
        <f>'3FS'!D151</f>
        <v>222</v>
      </c>
      <c r="E79" s="218">
        <f>'3FS'!E151</f>
        <v>-115</v>
      </c>
      <c r="F79" s="218">
        <f>'3FS'!F151</f>
        <v>1306</v>
      </c>
      <c r="G79" s="218">
        <f>'3FS'!G151</f>
        <v>1735</v>
      </c>
      <c r="H79" s="218">
        <f>'3FS'!H151</f>
        <v>-38</v>
      </c>
      <c r="I79" s="218">
        <f>'3FS'!I151</f>
        <v>388</v>
      </c>
      <c r="J79" s="218">
        <f>'3FS'!J151</f>
        <v>-178</v>
      </c>
      <c r="K79" s="218">
        <f>'3FS'!K151</f>
        <v>1436</v>
      </c>
      <c r="L79" s="218">
        <f>'3FS'!L151</f>
        <v>1608</v>
      </c>
      <c r="M79" s="218">
        <f>'3FS'!M151</f>
        <v>-164</v>
      </c>
      <c r="N79" s="218">
        <f>'3FS'!N151</f>
        <v>157</v>
      </c>
      <c r="O79" s="218">
        <f>'3FS'!O151</f>
        <v>251</v>
      </c>
      <c r="P79" s="218">
        <f>'3FS'!P151</f>
        <v>405</v>
      </c>
      <c r="Q79" s="218">
        <f>'3FS'!Q151</f>
        <v>649</v>
      </c>
      <c r="R79" s="218">
        <f>'3FS'!R151</f>
        <v>494</v>
      </c>
      <c r="S79" s="218">
        <f>'3FS'!S151</f>
        <v>471</v>
      </c>
      <c r="T79" s="218">
        <f>'3FS'!T151</f>
        <v>-124</v>
      </c>
      <c r="U79" s="218">
        <f>'3FS'!U151</f>
        <v>1871</v>
      </c>
      <c r="V79" s="218">
        <f>'3FS'!V151</f>
        <v>2712</v>
      </c>
      <c r="W79" s="218">
        <f>'3FS'!W151</f>
        <v>248</v>
      </c>
      <c r="X79" s="218">
        <f>'3FS'!X151</f>
        <v>55</v>
      </c>
      <c r="Y79" s="218">
        <f>'3FS'!Y151</f>
        <v>185</v>
      </c>
      <c r="Z79" s="218">
        <f>'3FS'!Z151</f>
        <v>1127</v>
      </c>
      <c r="AA79" s="218">
        <f>'3FS'!AA151</f>
        <v>1615</v>
      </c>
      <c r="AB79" s="218">
        <f>'3FS'!AB151</f>
        <v>105</v>
      </c>
      <c r="AC79" s="218">
        <f>'3FS'!AC151</f>
        <v>166</v>
      </c>
      <c r="AD79" s="218">
        <f>'3FS'!AD151</f>
        <v>-113</v>
      </c>
      <c r="AE79" s="218">
        <f>'3FS'!AE151</f>
        <v>1147</v>
      </c>
      <c r="AF79" s="222">
        <f>'3FS'!AF151</f>
        <v>1305</v>
      </c>
    </row>
    <row r="80" spans="1:254" s="67" customFormat="1">
      <c r="A80" s="216" t="s">
        <v>226</v>
      </c>
      <c r="B80" s="217"/>
      <c r="C80" s="218">
        <f>'3FS'!C161</f>
        <v>-156</v>
      </c>
      <c r="D80" s="218">
        <f>'3FS'!D161</f>
        <v>-156</v>
      </c>
      <c r="E80" s="218">
        <f>'3FS'!E161</f>
        <v>-237</v>
      </c>
      <c r="F80" s="218">
        <f>'3FS'!F161</f>
        <v>93</v>
      </c>
      <c r="G80" s="218">
        <f>'3FS'!G161</f>
        <v>-456</v>
      </c>
      <c r="H80" s="218">
        <f>'3FS'!H161</f>
        <v>-237</v>
      </c>
      <c r="I80" s="218">
        <f>'3FS'!I161</f>
        <v>-217</v>
      </c>
      <c r="J80" s="218">
        <f>'3FS'!J161</f>
        <v>-275</v>
      </c>
      <c r="K80" s="218">
        <f>'3FS'!K161</f>
        <v>-273</v>
      </c>
      <c r="L80" s="218">
        <f>'3FS'!L161</f>
        <v>-1002</v>
      </c>
      <c r="M80" s="218">
        <f>'3FS'!M161</f>
        <v>-113</v>
      </c>
      <c r="N80" s="218">
        <f>'3FS'!N161</f>
        <v>-159</v>
      </c>
      <c r="O80" s="218">
        <f>'3FS'!O161</f>
        <v>-42</v>
      </c>
      <c r="P80" s="218">
        <f>'3FS'!P161</f>
        <v>-11</v>
      </c>
      <c r="Q80" s="218">
        <f>'3FS'!Q161</f>
        <v>-325</v>
      </c>
      <c r="R80" s="218">
        <f>'3FS'!R161</f>
        <v>-74</v>
      </c>
      <c r="S80" s="218">
        <f>'3FS'!S161</f>
        <v>-70</v>
      </c>
      <c r="T80" s="218">
        <f>'3FS'!T161</f>
        <v>-59</v>
      </c>
      <c r="U80" s="218">
        <f>'3FS'!U161</f>
        <v>-167</v>
      </c>
      <c r="V80" s="218">
        <f>'3FS'!V161</f>
        <v>-370</v>
      </c>
      <c r="W80" s="218">
        <f>'3FS'!W161</f>
        <v>-194</v>
      </c>
      <c r="X80" s="218">
        <f>'3FS'!X161</f>
        <v>-321</v>
      </c>
      <c r="Y80" s="218">
        <f>'3FS'!Y161</f>
        <v>-354</v>
      </c>
      <c r="Z80" s="218">
        <f>'3FS'!Z161</f>
        <v>-300</v>
      </c>
      <c r="AA80" s="218">
        <f>'3FS'!AA161</f>
        <v>-1169</v>
      </c>
      <c r="AB80" s="218">
        <f>'3FS'!AB161</f>
        <v>-270</v>
      </c>
      <c r="AC80" s="218">
        <f>'3FS'!AC161</f>
        <v>-261</v>
      </c>
      <c r="AD80" s="218">
        <f>'3FS'!AD161</f>
        <v>-185</v>
      </c>
      <c r="AE80" s="218">
        <f>'3FS'!AE161</f>
        <v>-197</v>
      </c>
      <c r="AF80" s="222">
        <f>'3FS'!AF161</f>
        <v>-913</v>
      </c>
    </row>
    <row r="81" spans="1:32" s="67" customFormat="1" ht="20.25">
      <c r="A81" s="219" t="s">
        <v>227</v>
      </c>
      <c r="B81" s="217"/>
      <c r="C81" s="218">
        <f>'3FS'!C174</f>
        <v>-99</v>
      </c>
      <c r="D81" s="218">
        <f>'3FS'!D174</f>
        <v>-537</v>
      </c>
      <c r="E81" s="218">
        <f>'3FS'!E174</f>
        <v>20</v>
      </c>
      <c r="F81" s="218">
        <f>'3FS'!F174</f>
        <v>-928</v>
      </c>
      <c r="G81" s="218">
        <f>'3FS'!G174</f>
        <v>-1544</v>
      </c>
      <c r="H81" s="218">
        <f>'3FS'!H174</f>
        <v>-158</v>
      </c>
      <c r="I81" s="218">
        <f>'3FS'!I174</f>
        <v>-239</v>
      </c>
      <c r="J81" s="218">
        <f>'3FS'!J174</f>
        <v>57</v>
      </c>
      <c r="K81" s="218">
        <f>'3FS'!K174</f>
        <v>-783</v>
      </c>
      <c r="L81" s="218">
        <f>'3FS'!L174</f>
        <v>-1123</v>
      </c>
      <c r="M81" s="218">
        <f>'3FS'!M174</f>
        <v>1148</v>
      </c>
      <c r="N81" s="218">
        <f>'3FS'!N174</f>
        <v>-198</v>
      </c>
      <c r="O81" s="218">
        <f>'3FS'!O174</f>
        <v>13</v>
      </c>
      <c r="P81" s="218">
        <f>'3FS'!P174</f>
        <v>-264</v>
      </c>
      <c r="Q81" s="218">
        <f>'3FS'!Q174</f>
        <v>699</v>
      </c>
      <c r="R81" s="218">
        <f>'3FS'!R174</f>
        <v>-300</v>
      </c>
      <c r="S81" s="218">
        <f>'3FS'!S174</f>
        <v>-60</v>
      </c>
      <c r="T81" s="218">
        <f>'3FS'!T174</f>
        <v>-1711</v>
      </c>
      <c r="U81" s="218">
        <f>'3FS'!U174</f>
        <v>-310</v>
      </c>
      <c r="V81" s="218">
        <f>'3FS'!V174</f>
        <v>-2381</v>
      </c>
      <c r="W81" s="218">
        <f>'3FS'!W174</f>
        <v>-1094</v>
      </c>
      <c r="X81" s="218">
        <f>'3FS'!X174</f>
        <v>-106</v>
      </c>
      <c r="Y81" s="218">
        <f>'3FS'!Y174</f>
        <v>195</v>
      </c>
      <c r="Z81" s="218">
        <f>'3FS'!Z174</f>
        <v>-291</v>
      </c>
      <c r="AA81" s="218">
        <f>'3FS'!AA174</f>
        <v>-1296</v>
      </c>
      <c r="AB81" s="218">
        <f>'3FS'!AB174</f>
        <v>-94</v>
      </c>
      <c r="AC81" s="218">
        <f>'3FS'!AC174</f>
        <v>-70</v>
      </c>
      <c r="AD81" s="218">
        <f>'3FS'!AD174</f>
        <v>224</v>
      </c>
      <c r="AE81" s="218">
        <f>'3FS'!AE174</f>
        <v>-280</v>
      </c>
      <c r="AF81" s="222">
        <f>'3FS'!AF174</f>
        <v>-220</v>
      </c>
    </row>
    <row r="82" spans="1:32" s="67" customFormat="1">
      <c r="A82" s="219"/>
      <c r="B82" s="217"/>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c r="AA82" s="218"/>
      <c r="AB82" s="218"/>
      <c r="AC82" s="218"/>
      <c r="AD82" s="218"/>
      <c r="AE82" s="218"/>
      <c r="AF82" s="222"/>
    </row>
    <row r="83" spans="1:32" s="204" customFormat="1">
      <c r="A83" s="199" t="s">
        <v>228</v>
      </c>
      <c r="B83" s="200"/>
      <c r="C83" s="218">
        <f>'3FS'!C151-ABS('3FS'!C153)</f>
        <v>190</v>
      </c>
      <c r="D83" s="218">
        <f>'3FS'!D151-ABS('3FS'!D153)</f>
        <v>79</v>
      </c>
      <c r="E83" s="218">
        <f>'3FS'!E151-ABS('3FS'!E153)</f>
        <v>-308</v>
      </c>
      <c r="F83" s="218">
        <f>'3FS'!F151-ABS('3FS'!F153)</f>
        <v>1117</v>
      </c>
      <c r="G83" s="218">
        <f>'3FS'!G151-ABS('3FS'!G153)</f>
        <v>1078</v>
      </c>
      <c r="H83" s="218">
        <f>'3FS'!H151-ABS('3FS'!H153)</f>
        <v>-242</v>
      </c>
      <c r="I83" s="218">
        <f>'3FS'!I151-ABS('3FS'!I153)</f>
        <v>214</v>
      </c>
      <c r="J83" s="218">
        <f>'3FS'!J151-ABS('3FS'!J153)</f>
        <v>-423</v>
      </c>
      <c r="K83" s="218">
        <f>'3FS'!K151-ABS('3FS'!K153)</f>
        <v>1157</v>
      </c>
      <c r="L83" s="218">
        <f>'3FS'!L151-ABS('3FS'!L153)</f>
        <v>706</v>
      </c>
      <c r="M83" s="218">
        <f>'3FS'!M151-ABS('3FS'!M153)</f>
        <v>-286</v>
      </c>
      <c r="N83" s="218">
        <f>'3FS'!N151-ABS('3FS'!N153)</f>
        <v>51</v>
      </c>
      <c r="O83" s="218">
        <f>'3FS'!O151-ABS('3FS'!O153)</f>
        <v>189</v>
      </c>
      <c r="P83" s="218">
        <f>'3FS'!P151-ABS('3FS'!P153)</f>
        <v>357</v>
      </c>
      <c r="Q83" s="218">
        <f>'3FS'!Q151-ABS('3FS'!Q153)</f>
        <v>311</v>
      </c>
      <c r="R83" s="218">
        <f>'3FS'!R151-ABS('3FS'!R153)</f>
        <v>433</v>
      </c>
      <c r="S83" s="218">
        <f>'3FS'!S151-ABS('3FS'!S153)</f>
        <v>390</v>
      </c>
      <c r="T83" s="218">
        <f>'3FS'!T151-ABS('3FS'!T153)</f>
        <v>-212</v>
      </c>
      <c r="U83" s="218">
        <f>'3FS'!U151-ABS('3FS'!U153)</f>
        <v>1747</v>
      </c>
      <c r="V83" s="218">
        <f>'3FS'!V151-ABS('3FS'!V153)</f>
        <v>2358</v>
      </c>
      <c r="W83" s="218">
        <f>'3FS'!W151-ABS('3FS'!W153)</f>
        <v>77</v>
      </c>
      <c r="X83" s="218">
        <f>'3FS'!X151-ABS('3FS'!X153)</f>
        <v>-152</v>
      </c>
      <c r="Y83" s="218">
        <f>'3FS'!Y151-ABS('3FS'!Y153)</f>
        <v>-92</v>
      </c>
      <c r="Z83" s="218">
        <f>'3FS'!Z151-ABS('3FS'!Z153)</f>
        <v>894</v>
      </c>
      <c r="AA83" s="218">
        <f>'3FS'!AA151-ABS('3FS'!AA153)</f>
        <v>727</v>
      </c>
      <c r="AB83" s="218">
        <f>'3FS'!AB151-ABS('3FS'!AB153)</f>
        <v>-110</v>
      </c>
      <c r="AC83" s="218">
        <f>'3FS'!AC151-ABS('3FS'!AC153)</f>
        <v>-9</v>
      </c>
      <c r="AD83" s="218">
        <f>'3FS'!AD151-ABS('3FS'!AD153)</f>
        <v>-208</v>
      </c>
      <c r="AE83" s="218">
        <f>'3FS'!AE151-ABS('3FS'!AE153)</f>
        <v>1001</v>
      </c>
      <c r="AF83" s="218">
        <f>'3FS'!AF151-ABS('3FS'!AF153)</f>
        <v>674</v>
      </c>
    </row>
    <row r="84" spans="1:32" s="204" customFormat="1">
      <c r="A84" s="199"/>
      <c r="B84" s="200"/>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B84" s="201"/>
      <c r="AC84" s="201"/>
      <c r="AD84" s="201"/>
      <c r="AE84" s="201"/>
      <c r="AF84" s="206"/>
    </row>
    <row r="85" spans="1:32" s="204" customFormat="1">
      <c r="A85" s="199" t="s">
        <v>229</v>
      </c>
      <c r="B85" s="200"/>
      <c r="C85" s="220">
        <f>C83/'Key Stats'!$B$53</f>
        <v>5.1672818948981208E-2</v>
      </c>
      <c r="D85" s="220">
        <f>D83/'Key Stats'!$B$53</f>
        <v>2.1485014194576397E-2</v>
      </c>
      <c r="E85" s="220">
        <f>E83/'Key Stats'!$B$53</f>
        <v>-8.3764359138348482E-2</v>
      </c>
      <c r="F85" s="220">
        <f>F83/'Key Stats'!$B$53</f>
        <v>0.3037817829790106</v>
      </c>
      <c r="G85" s="220">
        <f>G83/'Key Stats'!$B$53</f>
        <v>0.2931752569842197</v>
      </c>
      <c r="H85" s="220">
        <f>H83/'Key Stats'!$B$53</f>
        <v>-6.5814853608702387E-2</v>
      </c>
      <c r="I85" s="220">
        <f>I83/'Key Stats'!$B$53</f>
        <v>5.8199911868852518E-2</v>
      </c>
      <c r="J85" s="220">
        <f>J83/'Key Stats'!$B$53</f>
        <v>-0.11504001271273184</v>
      </c>
      <c r="K85" s="220">
        <f>K83/'Key Stats'!$B$53</f>
        <v>0.31466027117879608</v>
      </c>
      <c r="L85" s="220">
        <f>L83/'Key Stats'!$B$53</f>
        <v>0.19200531672621438</v>
      </c>
      <c r="M85" s="220">
        <f>M83/'Key Stats'!$B$53</f>
        <v>-7.7781190628466446E-2</v>
      </c>
      <c r="N85" s="220">
        <f>N83/'Key Stats'!$B$53</f>
        <v>1.3870072454726535E-2</v>
      </c>
      <c r="O85" s="220">
        <f>O83/'Key Stats'!$B$53</f>
        <v>5.1400856743986569E-2</v>
      </c>
      <c r="P85" s="220">
        <f>P83/'Key Stats'!$B$53</f>
        <v>9.7090507183085747E-2</v>
      </c>
      <c r="Q85" s="220">
        <f>Q83/'Key Stats'!$B$53</f>
        <v>8.4580245753332395E-2</v>
      </c>
      <c r="R85" s="220">
        <f>R83/'Key Stats'!$B$53</f>
        <v>0.11775963476267823</v>
      </c>
      <c r="S85" s="220">
        <f>S83/'Key Stats'!$B$53</f>
        <v>0.10606525994790879</v>
      </c>
      <c r="T85" s="220">
        <f>T83/'Key Stats'!$B$53</f>
        <v>-5.7655987458863245E-2</v>
      </c>
      <c r="U85" s="220">
        <f>U83/'Key Stats'!$B$53</f>
        <v>0.47511797212563245</v>
      </c>
      <c r="V85" s="220">
        <f>V83/'Key Stats'!$B$53</f>
        <v>0.64128687937735629</v>
      </c>
      <c r="W85" s="220">
        <f>W83/'Key Stats'!$B$53</f>
        <v>2.0941089784587121E-2</v>
      </c>
      <c r="X85" s="220">
        <f>X83/'Key Stats'!$B$53</f>
        <v>-4.1338255159184968E-2</v>
      </c>
      <c r="Y85" s="220">
        <f>Y83/'Key Stats'!$B$53</f>
        <v>-2.5020522859506691E-2</v>
      </c>
      <c r="Z85" s="220">
        <f>Z83/'Key Stats'!$B$53</f>
        <v>0.24313421126520632</v>
      </c>
      <c r="AA85" s="220">
        <f>AA83/'Key Stats'!$B$53</f>
        <v>0.19771652303110177</v>
      </c>
      <c r="AB85" s="220">
        <f>AB83/'Key Stats'!$B$53</f>
        <v>-2.9915842549410172E-2</v>
      </c>
      <c r="AC85" s="220">
        <f>AC83/'Key Stats'!$B$53</f>
        <v>-2.4476598449517414E-3</v>
      </c>
      <c r="AD85" s="220">
        <f>AD83/'Key Stats'!$B$53</f>
        <v>-5.6568138638884692E-2</v>
      </c>
      <c r="AE85" s="220">
        <f>AE83/'Key Stats'!$B$53</f>
        <v>0.27223416719963256</v>
      </c>
      <c r="AF85" s="223">
        <f>AF83/'Key Stats'!$B$53</f>
        <v>0.18330252616638598</v>
      </c>
    </row>
    <row r="86" spans="1:32" s="204" customFormat="1">
      <c r="A86" s="199" t="s">
        <v>230</v>
      </c>
      <c r="B86" s="200"/>
      <c r="C86" s="201">
        <f>'3FS'!C151/'3FS'!C115</f>
        <v>2.3389264182465317E-2</v>
      </c>
      <c r="D86" s="201">
        <f>'3FS'!D151/'3FS'!D115</f>
        <v>1.737905119774542E-2</v>
      </c>
      <c r="E86" s="201">
        <f>'3FS'!E151/'3FS'!E115</f>
        <v>-7.8146235390051649E-3</v>
      </c>
      <c r="F86" s="201">
        <f>'3FS'!F151/'3FS'!F115</f>
        <v>0.1023671421852955</v>
      </c>
      <c r="G86" s="201">
        <f>'3FS'!G151/'3FS'!G115</f>
        <v>0.13599310236714218</v>
      </c>
      <c r="H86" s="201">
        <f>'3FS'!H151/'3FS'!H115</f>
        <v>-2.5379015561343751E-3</v>
      </c>
      <c r="I86" s="201">
        <f>'3FS'!I151/'3FS'!I115</f>
        <v>2.6895882434493278E-2</v>
      </c>
      <c r="J86" s="201">
        <f>'3FS'!J151/'3FS'!J115</f>
        <v>-1.0794420861127956E-2</v>
      </c>
      <c r="K86" s="201">
        <f>'3FS'!K151/'3FS'!K115</f>
        <v>9.7059817505914164E-2</v>
      </c>
      <c r="L86" s="201">
        <f>'3FS'!L151/'3FS'!L115</f>
        <v>0.10868536667793173</v>
      </c>
      <c r="M86" s="201">
        <f>'3FS'!M151/'3FS'!M115</f>
        <v>-1.032485520020146E-2</v>
      </c>
      <c r="N86" s="201">
        <f>'3FS'!N151/'3FS'!N115</f>
        <v>1.0268149117069981E-2</v>
      </c>
      <c r="O86" s="201">
        <f>'3FS'!O151/'3FS'!O115</f>
        <v>1.4789935772788875E-2</v>
      </c>
      <c r="P86" s="201">
        <f>'3FS'!P151/'3FS'!P115</f>
        <v>2.6727380716689765E-2</v>
      </c>
      <c r="Q86" s="201">
        <f>'3FS'!Q151/'3FS'!Q115</f>
        <v>4.2829802679337427E-2</v>
      </c>
      <c r="R86" s="201">
        <f>'3FS'!R151/'3FS'!R115</f>
        <v>3.206334782890894E-2</v>
      </c>
      <c r="S86" s="201">
        <f>'3FS'!S151/'3FS'!S115</f>
        <v>3.0842773885141773E-2</v>
      </c>
      <c r="T86" s="201">
        <f>'3FS'!T151/'3FS'!T115</f>
        <v>-8.1199659485298933E-3</v>
      </c>
      <c r="U86" s="201">
        <f>'3FS'!U151/'3FS'!U115</f>
        <v>0.13393943732550648</v>
      </c>
      <c r="V86" s="201">
        <f>'3FS'!V151/'3FS'!V115</f>
        <v>0.19414417639057913</v>
      </c>
      <c r="W86" s="201">
        <f>'3FS'!W151/'3FS'!W115</f>
        <v>1.8110121220972688E-2</v>
      </c>
      <c r="X86" s="201">
        <f>'3FS'!X151/'3FS'!X115</f>
        <v>4.2931855436734055E-3</v>
      </c>
      <c r="Y86" s="201">
        <f>'3FS'!Y151/'3FS'!Y115</f>
        <v>1.253812267028126E-2</v>
      </c>
      <c r="Z86" s="201">
        <f>'3FS'!Z151/'3FS'!Z115</f>
        <v>8.815707133917397E-2</v>
      </c>
      <c r="AA86" s="201">
        <f>'3FS'!AA151/'3FS'!AA115</f>
        <v>0.12632978723404256</v>
      </c>
      <c r="AB86" s="201">
        <f>'3FS'!AB151/'3FS'!AB115</f>
        <v>8.2690187431091518E-3</v>
      </c>
      <c r="AC86" s="201">
        <f>'3FS'!AC151/'3FS'!AC115</f>
        <v>1.372581445344799E-2</v>
      </c>
      <c r="AD86" s="201">
        <f>'3FS'!AD151/'3FS'!AD115</f>
        <v>-8.0904990334359564E-3</v>
      </c>
      <c r="AE86" s="201">
        <f>'3FS'!AE151/'3FS'!AE115</f>
        <v>9.3931700925395142E-2</v>
      </c>
      <c r="AF86" s="206">
        <f>'3FS'!AF151/'3FS'!AF115</f>
        <v>0.10687085414789943</v>
      </c>
    </row>
    <row r="87" spans="1:32">
      <c r="A87" s="192"/>
      <c r="B87" s="188"/>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c r="AA87" s="189"/>
      <c r="AB87" s="189"/>
      <c r="AC87" s="189"/>
      <c r="AD87" s="189"/>
      <c r="AE87" s="189"/>
      <c r="AF87" s="214"/>
    </row>
    <row r="88" spans="1:32">
      <c r="A88" s="192"/>
      <c r="B88" s="15"/>
      <c r="C88" s="50"/>
      <c r="D88" s="50"/>
      <c r="E88" s="50"/>
      <c r="F88" s="50"/>
      <c r="G88" s="52"/>
      <c r="H88" s="50"/>
      <c r="I88" s="50"/>
      <c r="J88" s="50"/>
      <c r="K88" s="50"/>
      <c r="L88" s="52"/>
      <c r="M88" s="50"/>
      <c r="N88" s="50"/>
      <c r="O88" s="50"/>
      <c r="P88" s="50"/>
      <c r="Q88" s="52"/>
      <c r="R88" s="50"/>
      <c r="S88" s="50"/>
      <c r="T88" s="50"/>
      <c r="U88" s="50"/>
      <c r="V88" s="52"/>
      <c r="W88" s="53"/>
      <c r="X88" s="53"/>
      <c r="Y88" s="53"/>
      <c r="Z88" s="53"/>
      <c r="AA88" s="52"/>
      <c r="AB88" s="53"/>
      <c r="AC88" s="53"/>
      <c r="AD88" s="53"/>
      <c r="AE88" s="53"/>
      <c r="AF88" s="82"/>
    </row>
    <row r="89" spans="1:32">
      <c r="A89" s="153"/>
      <c r="B89" s="12"/>
      <c r="C89" s="52"/>
      <c r="D89" s="52"/>
      <c r="E89" s="52"/>
      <c r="F89" s="52"/>
      <c r="G89" s="51"/>
      <c r="H89" s="52"/>
      <c r="I89" s="52"/>
      <c r="J89" s="52"/>
      <c r="K89" s="52"/>
      <c r="L89" s="51"/>
      <c r="M89" s="52"/>
      <c r="N89" s="52"/>
      <c r="O89" s="52"/>
      <c r="P89" s="52"/>
      <c r="Q89" s="51"/>
      <c r="R89" s="52"/>
      <c r="S89" s="52"/>
      <c r="T89" s="52"/>
      <c r="U89" s="52"/>
      <c r="V89" s="51"/>
      <c r="W89" s="51"/>
      <c r="X89" s="51"/>
      <c r="Y89" s="51"/>
      <c r="Z89" s="51"/>
      <c r="AA89" s="51"/>
      <c r="AB89" s="51"/>
      <c r="AC89" s="51"/>
      <c r="AD89" s="51"/>
      <c r="AE89" s="51"/>
      <c r="AF89" s="78"/>
    </row>
    <row r="90" spans="1:32">
      <c r="A90" s="153"/>
      <c r="B90" s="12"/>
      <c r="C90" s="52"/>
      <c r="D90" s="52"/>
      <c r="E90" s="52"/>
      <c r="F90" s="52"/>
      <c r="G90" s="51"/>
      <c r="H90" s="52"/>
      <c r="I90" s="52"/>
      <c r="J90" s="52"/>
      <c r="K90" s="52"/>
      <c r="L90" s="51"/>
      <c r="M90" s="52"/>
      <c r="N90" s="52"/>
      <c r="O90" s="52"/>
      <c r="P90" s="52"/>
      <c r="Q90" s="51"/>
      <c r="R90" s="52"/>
      <c r="S90" s="52"/>
      <c r="T90" s="52"/>
      <c r="U90" s="52"/>
      <c r="V90" s="51"/>
      <c r="W90" s="52"/>
      <c r="X90" s="52"/>
      <c r="Y90" s="52"/>
      <c r="Z90" s="52"/>
      <c r="AA90" s="51"/>
      <c r="AB90" s="52"/>
      <c r="AC90" s="52"/>
      <c r="AD90" s="52"/>
      <c r="AE90" s="52"/>
      <c r="AF90" s="78"/>
    </row>
    <row r="91" spans="1:32">
      <c r="A91" s="153"/>
      <c r="B91" s="12"/>
      <c r="C91" s="52"/>
      <c r="D91" s="52"/>
      <c r="E91" s="52"/>
      <c r="F91" s="52"/>
      <c r="G91" s="51"/>
      <c r="H91" s="52"/>
      <c r="I91" s="52"/>
      <c r="J91" s="52"/>
      <c r="K91" s="52"/>
      <c r="L91" s="51"/>
      <c r="M91" s="52"/>
      <c r="N91" s="52"/>
      <c r="O91" s="52"/>
      <c r="P91" s="52"/>
      <c r="Q91" s="51"/>
      <c r="R91" s="52"/>
      <c r="S91" s="52"/>
      <c r="T91" s="52"/>
      <c r="U91" s="52"/>
      <c r="V91" s="51"/>
      <c r="W91" s="52"/>
      <c r="X91" s="52"/>
      <c r="Y91" s="52"/>
      <c r="Z91" s="52"/>
      <c r="AA91" s="51"/>
      <c r="AB91" s="52"/>
      <c r="AC91" s="52"/>
      <c r="AD91" s="52"/>
      <c r="AE91" s="52"/>
      <c r="AF91" s="78"/>
    </row>
    <row r="92" spans="1:32">
      <c r="A92" s="153"/>
      <c r="B92" s="43"/>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78"/>
    </row>
    <row r="93" spans="1:32">
      <c r="A93" s="153"/>
      <c r="B93" s="39"/>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78"/>
    </row>
    <row r="94" spans="1:32">
      <c r="A94" s="152"/>
      <c r="B94" s="40"/>
      <c r="C94" s="50"/>
      <c r="D94" s="50"/>
      <c r="E94" s="50"/>
      <c r="F94" s="50"/>
      <c r="G94" s="626"/>
      <c r="H94" s="50"/>
      <c r="I94" s="50"/>
      <c r="J94" s="50"/>
      <c r="K94" s="50"/>
      <c r="L94" s="626"/>
      <c r="M94" s="50"/>
      <c r="N94" s="50"/>
      <c r="O94" s="50"/>
      <c r="P94" s="50"/>
      <c r="Q94" s="626"/>
      <c r="R94" s="50"/>
      <c r="S94" s="50"/>
      <c r="T94" s="50"/>
      <c r="U94" s="50"/>
      <c r="V94" s="626"/>
      <c r="W94" s="50"/>
      <c r="X94" s="50"/>
      <c r="Y94" s="50"/>
      <c r="Z94" s="50"/>
      <c r="AA94" s="627"/>
      <c r="AB94" s="50"/>
      <c r="AC94" s="50"/>
      <c r="AD94" s="50"/>
      <c r="AE94" s="50"/>
      <c r="AF94" s="628"/>
    </row>
    <row r="95" spans="1:32">
      <c r="A95" s="152"/>
      <c r="B95" s="40"/>
      <c r="C95" s="50"/>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74"/>
    </row>
    <row r="96" spans="1:32" ht="13.15">
      <c r="A96" s="158"/>
      <c r="B96" s="121"/>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2"/>
      <c r="AF96" s="139"/>
    </row>
    <row r="97" spans="1:32">
      <c r="A97" s="153"/>
      <c r="B97" s="43"/>
      <c r="C97" s="51"/>
      <c r="D97" s="51"/>
      <c r="E97" s="51"/>
      <c r="F97" s="51"/>
      <c r="G97" s="80"/>
      <c r="H97" s="51"/>
      <c r="I97" s="51"/>
      <c r="J97" s="51"/>
      <c r="K97" s="51"/>
      <c r="L97" s="51"/>
      <c r="M97" s="51"/>
      <c r="N97" s="51"/>
      <c r="O97" s="51"/>
      <c r="P97" s="51"/>
      <c r="Q97" s="51"/>
      <c r="R97" s="51"/>
      <c r="S97" s="51"/>
      <c r="T97" s="51"/>
      <c r="U97" s="51"/>
      <c r="V97" s="51"/>
      <c r="W97" s="51"/>
      <c r="X97" s="51"/>
      <c r="Y97" s="51"/>
      <c r="Z97" s="51"/>
      <c r="AA97" s="51"/>
      <c r="AB97" s="51"/>
      <c r="AC97" s="51"/>
      <c r="AD97" s="51"/>
      <c r="AE97" s="51"/>
      <c r="AF97" s="78"/>
    </row>
    <row r="98" spans="1:32">
      <c r="A98" s="153"/>
      <c r="B98" s="39"/>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78"/>
    </row>
    <row r="99" spans="1:32">
      <c r="A99" s="153"/>
      <c r="B99" s="12"/>
      <c r="C99" s="52"/>
      <c r="D99" s="52"/>
      <c r="E99" s="52"/>
      <c r="F99" s="52"/>
      <c r="G99" s="51"/>
      <c r="H99" s="52"/>
      <c r="I99" s="52"/>
      <c r="J99" s="52"/>
      <c r="K99" s="52"/>
      <c r="L99" s="51"/>
      <c r="M99" s="52"/>
      <c r="N99" s="52"/>
      <c r="O99" s="52"/>
      <c r="P99" s="52"/>
      <c r="Q99" s="51"/>
      <c r="R99" s="52"/>
      <c r="S99" s="52"/>
      <c r="T99" s="52"/>
      <c r="U99" s="52"/>
      <c r="V99" s="51"/>
      <c r="W99" s="52"/>
      <c r="X99" s="52"/>
      <c r="Y99" s="52"/>
      <c r="Z99" s="52"/>
      <c r="AA99" s="51"/>
      <c r="AB99" s="52"/>
      <c r="AC99" s="52"/>
      <c r="AD99" s="52"/>
      <c r="AE99" s="52"/>
      <c r="AF99" s="78"/>
    </row>
    <row r="100" spans="1:32">
      <c r="A100" s="153"/>
      <c r="B100" s="12"/>
      <c r="C100" s="52"/>
      <c r="D100" s="52"/>
      <c r="E100" s="52"/>
      <c r="F100" s="52"/>
      <c r="G100" s="51"/>
      <c r="H100" s="52"/>
      <c r="I100" s="52"/>
      <c r="J100" s="52"/>
      <c r="K100" s="52"/>
      <c r="L100" s="51"/>
      <c r="M100" s="52"/>
      <c r="N100" s="52"/>
      <c r="O100" s="52"/>
      <c r="P100" s="52"/>
      <c r="Q100" s="51"/>
      <c r="R100" s="52"/>
      <c r="S100" s="52"/>
      <c r="T100" s="52"/>
      <c r="U100" s="52"/>
      <c r="V100" s="51"/>
      <c r="W100" s="52"/>
      <c r="X100" s="52"/>
      <c r="Y100" s="52"/>
      <c r="Z100" s="52"/>
      <c r="AA100" s="51"/>
      <c r="AB100" s="52"/>
      <c r="AC100" s="52"/>
      <c r="AD100" s="52"/>
      <c r="AE100" s="52"/>
      <c r="AF100" s="78"/>
    </row>
    <row r="101" spans="1:32">
      <c r="A101" s="153"/>
      <c r="B101" s="12"/>
      <c r="C101" s="52"/>
      <c r="D101" s="52"/>
      <c r="E101" s="52"/>
      <c r="F101" s="52"/>
      <c r="G101" s="51"/>
      <c r="H101" s="52"/>
      <c r="I101" s="52"/>
      <c r="J101" s="52"/>
      <c r="K101" s="52"/>
      <c r="L101" s="51"/>
      <c r="M101" s="52"/>
      <c r="N101" s="52"/>
      <c r="O101" s="52"/>
      <c r="P101" s="52"/>
      <c r="Q101" s="51"/>
      <c r="R101" s="52"/>
      <c r="S101" s="52"/>
      <c r="T101" s="52"/>
      <c r="U101" s="52"/>
      <c r="V101" s="51"/>
      <c r="W101" s="52"/>
      <c r="X101" s="52"/>
      <c r="Y101" s="52"/>
      <c r="Z101" s="52"/>
      <c r="AA101" s="51"/>
      <c r="AB101" s="52"/>
      <c r="AC101" s="52"/>
      <c r="AD101" s="52"/>
      <c r="AE101" s="52"/>
      <c r="AF101" s="78"/>
    </row>
    <row r="102" spans="1:32">
      <c r="A102" s="153"/>
      <c r="B102" s="10"/>
      <c r="C102" s="79"/>
      <c r="D102" s="79"/>
      <c r="E102" s="79"/>
      <c r="F102" s="79"/>
      <c r="G102" s="51"/>
      <c r="H102" s="79"/>
      <c r="I102" s="79"/>
      <c r="J102" s="79"/>
      <c r="K102" s="79"/>
      <c r="L102" s="51"/>
      <c r="M102" s="79"/>
      <c r="N102" s="79"/>
      <c r="O102" s="79"/>
      <c r="P102" s="79"/>
      <c r="Q102" s="51"/>
      <c r="R102" s="79"/>
      <c r="S102" s="79"/>
      <c r="T102" s="79"/>
      <c r="U102" s="79"/>
      <c r="V102" s="51"/>
      <c r="W102" s="70"/>
      <c r="X102" s="70"/>
      <c r="Y102" s="70"/>
      <c r="Z102" s="70"/>
      <c r="AA102" s="51"/>
      <c r="AB102" s="70"/>
      <c r="AC102" s="70"/>
      <c r="AD102" s="70"/>
      <c r="AE102" s="70"/>
      <c r="AF102" s="78"/>
    </row>
    <row r="103" spans="1:32">
      <c r="A103" s="152"/>
      <c r="B103" s="30"/>
      <c r="C103" s="77"/>
      <c r="D103" s="77"/>
      <c r="E103" s="77"/>
      <c r="F103" s="77"/>
      <c r="G103" s="627"/>
      <c r="H103" s="77"/>
      <c r="I103" s="77"/>
      <c r="J103" s="77"/>
      <c r="K103" s="77"/>
      <c r="L103" s="627"/>
      <c r="M103" s="77"/>
      <c r="N103" s="77"/>
      <c r="O103" s="77"/>
      <c r="P103" s="77"/>
      <c r="Q103" s="627"/>
      <c r="R103" s="77"/>
      <c r="S103" s="77"/>
      <c r="T103" s="77"/>
      <c r="U103" s="77"/>
      <c r="V103" s="629"/>
      <c r="W103" s="77"/>
      <c r="X103" s="77"/>
      <c r="Y103" s="77"/>
      <c r="Z103" s="77"/>
      <c r="AA103" s="627"/>
      <c r="AB103" s="77"/>
      <c r="AC103" s="77"/>
      <c r="AD103" s="77"/>
      <c r="AE103" s="77"/>
      <c r="AF103" s="628"/>
    </row>
    <row r="104" spans="1:32">
      <c r="A104" s="152"/>
      <c r="C104" s="70"/>
      <c r="D104" s="70"/>
      <c r="E104" s="70"/>
      <c r="F104" s="70"/>
      <c r="G104" s="53"/>
      <c r="H104" s="70"/>
      <c r="I104" s="70"/>
      <c r="J104" s="70"/>
      <c r="K104" s="70"/>
      <c r="L104" s="53"/>
      <c r="M104" s="70"/>
      <c r="N104" s="70"/>
      <c r="O104" s="70"/>
      <c r="P104" s="70"/>
      <c r="Q104" s="53"/>
      <c r="R104" s="70"/>
      <c r="S104" s="70"/>
      <c r="T104" s="70"/>
      <c r="U104" s="70"/>
      <c r="V104" s="53"/>
      <c r="W104" s="70"/>
      <c r="X104" s="70"/>
      <c r="Y104" s="70"/>
      <c r="Z104" s="70"/>
      <c r="AA104" s="53"/>
      <c r="AB104" s="70"/>
      <c r="AC104" s="70"/>
      <c r="AD104" s="70"/>
      <c r="AE104" s="70"/>
      <c r="AF104" s="74"/>
    </row>
    <row r="105" spans="1:32">
      <c r="A105" s="153"/>
      <c r="C105" s="70"/>
      <c r="D105" s="70"/>
      <c r="E105" s="70"/>
      <c r="F105" s="70"/>
      <c r="G105" s="51"/>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140"/>
    </row>
    <row r="106" spans="1:32">
      <c r="A106" s="152"/>
      <c r="C106" s="70"/>
      <c r="D106" s="70"/>
      <c r="E106" s="70"/>
      <c r="F106" s="70"/>
      <c r="G106" s="73"/>
      <c r="H106" s="70"/>
      <c r="I106" s="70"/>
      <c r="J106" s="70"/>
      <c r="K106" s="70"/>
      <c r="L106" s="73"/>
      <c r="M106" s="70"/>
      <c r="N106" s="70"/>
      <c r="O106" s="70"/>
      <c r="P106" s="70"/>
      <c r="Q106" s="73"/>
      <c r="R106" s="70"/>
      <c r="S106" s="70"/>
      <c r="T106" s="70"/>
      <c r="U106" s="70"/>
      <c r="V106" s="73"/>
      <c r="W106" s="70"/>
      <c r="X106" s="70"/>
      <c r="Y106" s="70"/>
      <c r="Z106" s="70"/>
      <c r="AA106" s="73"/>
      <c r="AB106" s="70"/>
      <c r="AC106" s="70"/>
      <c r="AD106" s="70"/>
      <c r="AE106" s="70"/>
      <c r="AF106" s="72"/>
    </row>
    <row r="107" spans="1:32" ht="13.15">
      <c r="A107" s="158"/>
      <c r="B107" s="12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41"/>
    </row>
    <row r="108" spans="1:32">
      <c r="A108" s="153"/>
      <c r="C108" s="70"/>
      <c r="D108" s="70"/>
      <c r="E108" s="70"/>
      <c r="F108" s="70"/>
      <c r="G108" s="71"/>
      <c r="H108" s="70"/>
      <c r="I108" s="70"/>
      <c r="J108" s="70"/>
      <c r="K108" s="70"/>
      <c r="L108" s="71"/>
      <c r="M108" s="70"/>
      <c r="N108" s="70"/>
      <c r="O108" s="70"/>
      <c r="P108" s="70"/>
      <c r="Q108" s="71"/>
      <c r="R108" s="70"/>
      <c r="S108" s="70"/>
      <c r="T108" s="70"/>
      <c r="U108" s="70"/>
      <c r="V108" s="71"/>
      <c r="W108" s="70"/>
      <c r="X108" s="70"/>
      <c r="Y108" s="70"/>
      <c r="Z108" s="70"/>
      <c r="AA108" s="71"/>
      <c r="AB108" s="70"/>
      <c r="AC108" s="70"/>
      <c r="AD108" s="70"/>
      <c r="AE108" s="70"/>
      <c r="AF108" s="69"/>
    </row>
    <row r="109" spans="1:32" ht="13.15">
      <c r="A109" s="158"/>
      <c r="B109" s="12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41"/>
    </row>
    <row r="112" spans="1:32" s="185" customFormat="1">
      <c r="A112" s="184"/>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c r="AA112" s="186"/>
      <c r="AB112" s="186"/>
      <c r="AC112" s="186"/>
      <c r="AD112" s="186"/>
      <c r="AE112" s="186"/>
      <c r="AF112" s="187"/>
    </row>
    <row r="114" spans="1:32" s="169" customFormat="1" ht="27" customHeight="1">
      <c r="A114" s="170"/>
      <c r="B114" s="171"/>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c r="AA114" s="172"/>
      <c r="AB114" s="172"/>
      <c r="AC114" s="172"/>
      <c r="AD114" s="172"/>
      <c r="AE114" s="172"/>
      <c r="AF114" s="170"/>
    </row>
    <row r="115" spans="1:32" s="129" customFormat="1" ht="15">
      <c r="A115" s="130"/>
      <c r="B115" s="142"/>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c r="AE115" s="138"/>
      <c r="AF115" s="128"/>
    </row>
    <row r="116" spans="1:32">
      <c r="A116" s="151"/>
      <c r="B116" s="114"/>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8"/>
    </row>
    <row r="117" spans="1:32">
      <c r="A117" s="152"/>
      <c r="C117" s="54"/>
      <c r="D117" s="54"/>
      <c r="E117" s="54"/>
      <c r="F117" s="54"/>
      <c r="G117" s="45"/>
      <c r="H117" s="54"/>
      <c r="I117" s="54"/>
      <c r="J117" s="54"/>
      <c r="K117" s="54"/>
      <c r="L117" s="45"/>
      <c r="M117" s="54"/>
      <c r="N117" s="54"/>
      <c r="O117" s="54"/>
      <c r="P117" s="54"/>
      <c r="Q117" s="45"/>
      <c r="R117" s="54"/>
      <c r="S117" s="54"/>
      <c r="T117" s="54"/>
      <c r="U117" s="54"/>
      <c r="V117" s="45"/>
      <c r="W117" s="45"/>
      <c r="X117" s="45"/>
      <c r="Y117" s="45"/>
      <c r="Z117" s="45"/>
      <c r="AA117" s="45"/>
      <c r="AB117" s="45"/>
      <c r="AC117" s="45"/>
      <c r="AD117" s="45"/>
      <c r="AE117" s="45"/>
      <c r="AF117" s="86"/>
    </row>
    <row r="118" spans="1:32">
      <c r="A118" s="152"/>
      <c r="C118" s="50"/>
      <c r="D118" s="50"/>
      <c r="E118" s="50"/>
      <c r="F118" s="50"/>
      <c r="G118" s="53"/>
      <c r="H118" s="50"/>
      <c r="I118" s="50"/>
      <c r="J118" s="50"/>
      <c r="K118" s="50"/>
      <c r="L118" s="53"/>
      <c r="M118" s="50"/>
      <c r="N118" s="50"/>
      <c r="O118" s="50"/>
      <c r="P118" s="50"/>
      <c r="Q118" s="53"/>
      <c r="R118" s="50"/>
      <c r="S118" s="50"/>
      <c r="T118" s="50"/>
      <c r="U118" s="50"/>
      <c r="V118" s="53"/>
      <c r="W118" s="53"/>
      <c r="X118" s="53"/>
      <c r="Y118" s="53"/>
      <c r="Z118" s="53"/>
      <c r="AA118" s="53"/>
      <c r="AB118" s="53"/>
      <c r="AC118" s="53"/>
      <c r="AD118" s="53"/>
      <c r="AE118" s="53"/>
      <c r="AF118" s="143"/>
    </row>
    <row r="119" spans="1:32">
      <c r="A119" s="153"/>
      <c r="C119" s="52"/>
      <c r="D119" s="52"/>
      <c r="E119" s="52"/>
      <c r="F119" s="52"/>
      <c r="G119" s="51"/>
      <c r="H119" s="52"/>
      <c r="I119" s="52"/>
      <c r="J119" s="52"/>
      <c r="K119" s="52"/>
      <c r="L119" s="51"/>
      <c r="M119" s="52"/>
      <c r="N119" s="52"/>
      <c r="O119" s="52"/>
      <c r="P119" s="52"/>
      <c r="Q119" s="53"/>
      <c r="R119" s="52"/>
      <c r="S119" s="52"/>
      <c r="T119" s="52"/>
      <c r="U119" s="52"/>
      <c r="V119" s="51"/>
      <c r="W119" s="51"/>
      <c r="X119" s="51"/>
      <c r="Y119" s="51"/>
      <c r="Z119" s="51"/>
      <c r="AA119" s="51"/>
      <c r="AB119" s="51"/>
      <c r="AC119" s="51"/>
      <c r="AD119" s="51"/>
      <c r="AE119" s="51"/>
      <c r="AF119" s="144"/>
    </row>
    <row r="120" spans="1:32">
      <c r="A120" s="152"/>
      <c r="C120" s="50"/>
      <c r="D120" s="50"/>
      <c r="E120" s="50"/>
      <c r="F120" s="50"/>
      <c r="G120" s="626"/>
      <c r="H120" s="50"/>
      <c r="I120" s="50"/>
      <c r="J120" s="50"/>
      <c r="K120" s="50"/>
      <c r="L120" s="626"/>
      <c r="M120" s="50"/>
      <c r="N120" s="50"/>
      <c r="O120" s="50"/>
      <c r="P120" s="50"/>
      <c r="Q120" s="626"/>
      <c r="R120" s="50"/>
      <c r="S120" s="50"/>
      <c r="T120" s="50"/>
      <c r="U120" s="50"/>
      <c r="V120" s="626"/>
      <c r="W120" s="53"/>
      <c r="X120" s="53"/>
      <c r="Y120" s="53"/>
      <c r="Z120" s="53"/>
      <c r="AA120" s="626"/>
      <c r="AB120" s="53"/>
      <c r="AC120" s="53"/>
      <c r="AD120" s="53"/>
      <c r="AE120" s="53"/>
      <c r="AF120" s="630"/>
    </row>
    <row r="121" spans="1:32">
      <c r="A121" s="153"/>
      <c r="C121" s="52"/>
      <c r="D121" s="52"/>
      <c r="E121" s="52"/>
      <c r="F121" s="52"/>
      <c r="G121" s="51"/>
      <c r="H121" s="52"/>
      <c r="I121" s="52"/>
      <c r="J121" s="52"/>
      <c r="K121" s="52"/>
      <c r="L121" s="51"/>
      <c r="M121" s="52"/>
      <c r="N121" s="52"/>
      <c r="O121" s="52"/>
      <c r="P121" s="52"/>
      <c r="Q121" s="51"/>
      <c r="R121" s="52"/>
      <c r="S121" s="52"/>
      <c r="T121" s="52"/>
      <c r="U121" s="52"/>
      <c r="V121" s="51"/>
      <c r="W121" s="52"/>
      <c r="X121" s="52"/>
      <c r="Y121" s="52"/>
      <c r="Z121" s="52"/>
      <c r="AA121" s="51"/>
      <c r="AB121" s="52"/>
      <c r="AC121" s="52"/>
      <c r="AD121" s="52"/>
      <c r="AE121" s="52"/>
      <c r="AF121" s="145"/>
    </row>
    <row r="122" spans="1:32">
      <c r="A122" s="153"/>
      <c r="C122" s="52"/>
      <c r="D122" s="52"/>
      <c r="E122" s="52"/>
      <c r="F122" s="52"/>
      <c r="G122" s="51"/>
      <c r="H122" s="52"/>
      <c r="I122" s="52"/>
      <c r="J122" s="52"/>
      <c r="K122" s="52"/>
      <c r="L122" s="51"/>
      <c r="M122" s="52"/>
      <c r="N122" s="52"/>
      <c r="O122" s="52"/>
      <c r="P122" s="52"/>
      <c r="Q122" s="51"/>
      <c r="R122" s="52"/>
      <c r="S122" s="52"/>
      <c r="T122" s="52"/>
      <c r="U122" s="52"/>
      <c r="V122" s="51"/>
      <c r="W122" s="51"/>
      <c r="X122" s="51"/>
      <c r="Y122" s="51"/>
      <c r="Z122" s="51"/>
      <c r="AA122" s="51"/>
      <c r="AB122" s="51"/>
      <c r="AC122" s="51"/>
      <c r="AD122" s="51"/>
      <c r="AE122" s="51"/>
      <c r="AF122" s="144"/>
    </row>
    <row r="123" spans="1:32">
      <c r="A123" s="153"/>
      <c r="C123" s="52"/>
      <c r="D123" s="52"/>
      <c r="E123" s="52"/>
      <c r="F123" s="52"/>
      <c r="G123" s="51"/>
      <c r="H123" s="52"/>
      <c r="I123" s="52"/>
      <c r="J123" s="52"/>
      <c r="K123" s="52"/>
      <c r="L123" s="51"/>
      <c r="M123" s="52"/>
      <c r="N123" s="52"/>
      <c r="O123" s="52"/>
      <c r="P123" s="52"/>
      <c r="Q123" s="51"/>
      <c r="R123" s="52"/>
      <c r="S123" s="52"/>
      <c r="T123" s="52"/>
      <c r="U123" s="52"/>
      <c r="V123" s="51"/>
      <c r="W123" s="51"/>
      <c r="X123" s="51"/>
      <c r="Y123" s="51"/>
      <c r="Z123" s="51"/>
      <c r="AA123" s="51"/>
      <c r="AB123" s="51"/>
      <c r="AC123" s="51"/>
      <c r="AD123" s="51"/>
      <c r="AE123" s="51"/>
      <c r="AF123" s="144"/>
    </row>
    <row r="124" spans="1:32">
      <c r="A124" s="153"/>
      <c r="C124" s="52"/>
      <c r="D124" s="52"/>
      <c r="E124" s="52"/>
      <c r="F124" s="52"/>
      <c r="G124" s="51"/>
      <c r="H124" s="52"/>
      <c r="I124" s="52"/>
      <c r="J124" s="52"/>
      <c r="K124" s="52"/>
      <c r="L124" s="51"/>
      <c r="M124" s="52"/>
      <c r="N124" s="52"/>
      <c r="O124" s="52"/>
      <c r="P124" s="52"/>
      <c r="Q124" s="51"/>
      <c r="R124" s="52"/>
      <c r="S124" s="52"/>
      <c r="T124" s="52"/>
      <c r="U124" s="52"/>
      <c r="V124" s="51"/>
      <c r="W124" s="52"/>
      <c r="X124" s="52"/>
      <c r="Y124" s="52"/>
      <c r="Z124" s="52"/>
      <c r="AA124" s="51"/>
      <c r="AB124" s="52"/>
      <c r="AC124" s="52"/>
      <c r="AD124" s="52"/>
      <c r="AE124" s="52"/>
      <c r="AF124" s="144"/>
    </row>
    <row r="125" spans="1:32">
      <c r="A125" s="153"/>
      <c r="C125" s="52"/>
      <c r="D125" s="52"/>
      <c r="E125" s="52"/>
      <c r="F125" s="52"/>
      <c r="G125" s="51"/>
      <c r="H125" s="52"/>
      <c r="I125" s="52"/>
      <c r="J125" s="52"/>
      <c r="K125" s="52"/>
      <c r="L125" s="51"/>
      <c r="M125" s="52"/>
      <c r="N125" s="52"/>
      <c r="O125" s="52"/>
      <c r="P125" s="52"/>
      <c r="Q125" s="51"/>
      <c r="R125" s="52"/>
      <c r="S125" s="52"/>
      <c r="T125" s="52"/>
      <c r="U125" s="52"/>
      <c r="V125" s="51"/>
      <c r="W125" s="51"/>
      <c r="X125" s="51"/>
      <c r="Y125" s="51"/>
      <c r="Z125" s="51"/>
      <c r="AA125" s="51"/>
      <c r="AB125" s="51"/>
      <c r="AC125" s="51"/>
      <c r="AD125" s="51"/>
      <c r="AE125" s="51"/>
      <c r="AF125" s="144"/>
    </row>
    <row r="126" spans="1:32">
      <c r="A126" s="153"/>
      <c r="C126" s="52"/>
      <c r="D126" s="52"/>
      <c r="E126" s="52"/>
      <c r="F126" s="52"/>
      <c r="G126" s="51"/>
      <c r="H126" s="52"/>
      <c r="I126" s="52"/>
      <c r="J126" s="52"/>
      <c r="K126" s="52"/>
      <c r="L126" s="51"/>
      <c r="M126" s="52"/>
      <c r="N126" s="52"/>
      <c r="O126" s="52"/>
      <c r="P126" s="52"/>
      <c r="Q126" s="51"/>
      <c r="R126" s="52"/>
      <c r="S126" s="52"/>
      <c r="T126" s="52"/>
      <c r="U126" s="52"/>
      <c r="V126" s="51"/>
      <c r="W126" s="51"/>
      <c r="X126" s="51"/>
      <c r="Y126" s="51"/>
      <c r="Z126" s="51"/>
      <c r="AA126" s="51"/>
      <c r="AB126" s="51"/>
      <c r="AC126" s="51"/>
      <c r="AD126" s="51"/>
      <c r="AE126" s="51"/>
      <c r="AF126" s="144"/>
    </row>
    <row r="127" spans="1:32">
      <c r="A127" s="153"/>
      <c r="C127" s="52"/>
      <c r="D127" s="52"/>
      <c r="E127" s="52"/>
      <c r="F127" s="52"/>
      <c r="G127" s="51"/>
      <c r="H127" s="52"/>
      <c r="I127" s="52"/>
      <c r="J127" s="52"/>
      <c r="K127" s="52"/>
      <c r="L127" s="51"/>
      <c r="M127" s="52"/>
      <c r="N127" s="52"/>
      <c r="O127" s="52"/>
      <c r="P127" s="52"/>
      <c r="Q127" s="51"/>
      <c r="R127" s="52"/>
      <c r="S127" s="52"/>
      <c r="T127" s="52"/>
      <c r="U127" s="52"/>
      <c r="V127" s="51"/>
      <c r="W127" s="51"/>
      <c r="X127" s="51"/>
      <c r="Y127" s="51"/>
      <c r="Z127" s="51"/>
      <c r="AA127" s="51"/>
      <c r="AB127" s="51"/>
      <c r="AC127" s="51"/>
      <c r="AD127" s="51"/>
      <c r="AE127" s="51"/>
      <c r="AF127" s="144"/>
    </row>
    <row r="128" spans="1:32">
      <c r="A128" s="153"/>
      <c r="C128" s="52"/>
      <c r="D128" s="52"/>
      <c r="E128" s="52"/>
      <c r="F128" s="52"/>
      <c r="G128" s="51"/>
      <c r="H128" s="52"/>
      <c r="I128" s="52"/>
      <c r="J128" s="52"/>
      <c r="K128" s="52"/>
      <c r="L128" s="51"/>
      <c r="M128" s="52"/>
      <c r="N128" s="52"/>
      <c r="O128" s="52"/>
      <c r="P128" s="52"/>
      <c r="Q128" s="51"/>
      <c r="R128" s="52"/>
      <c r="S128" s="52"/>
      <c r="T128" s="52"/>
      <c r="U128" s="52"/>
      <c r="V128" s="51"/>
      <c r="W128" s="51"/>
      <c r="X128" s="51"/>
      <c r="Y128" s="51"/>
      <c r="Z128" s="51"/>
      <c r="AA128" s="51"/>
      <c r="AB128" s="51"/>
      <c r="AC128" s="51"/>
      <c r="AD128" s="51"/>
      <c r="AE128" s="51"/>
      <c r="AF128" s="144"/>
    </row>
    <row r="129" spans="1:32">
      <c r="A129" s="153"/>
      <c r="C129" s="52"/>
      <c r="D129" s="52"/>
      <c r="E129" s="52"/>
      <c r="F129" s="52"/>
      <c r="G129" s="51"/>
      <c r="H129" s="52"/>
      <c r="I129" s="52"/>
      <c r="J129" s="52"/>
      <c r="K129" s="52"/>
      <c r="L129" s="51"/>
      <c r="M129" s="52"/>
      <c r="N129" s="52"/>
      <c r="O129" s="52"/>
      <c r="P129" s="52"/>
      <c r="Q129" s="51"/>
      <c r="R129" s="52"/>
      <c r="S129" s="52"/>
      <c r="T129" s="52"/>
      <c r="U129" s="52"/>
      <c r="V129" s="51"/>
      <c r="W129" s="52"/>
      <c r="X129" s="52"/>
      <c r="Y129" s="52"/>
      <c r="Z129" s="52"/>
      <c r="AA129" s="51"/>
      <c r="AB129" s="52"/>
      <c r="AC129" s="52"/>
      <c r="AD129" s="52"/>
      <c r="AE129" s="52"/>
      <c r="AF129" s="144"/>
    </row>
    <row r="130" spans="1:32">
      <c r="A130" s="153"/>
      <c r="C130" s="52"/>
      <c r="D130" s="52"/>
      <c r="E130" s="52"/>
      <c r="F130" s="52"/>
      <c r="G130" s="51"/>
      <c r="H130" s="52"/>
      <c r="I130" s="52"/>
      <c r="J130" s="52"/>
      <c r="K130" s="52"/>
      <c r="L130" s="51"/>
      <c r="M130" s="52"/>
      <c r="N130" s="52"/>
      <c r="O130" s="52"/>
      <c r="P130" s="52"/>
      <c r="Q130" s="51"/>
      <c r="R130" s="52"/>
      <c r="S130" s="52"/>
      <c r="T130" s="52"/>
      <c r="U130" s="52"/>
      <c r="V130" s="51"/>
      <c r="W130" s="51"/>
      <c r="X130" s="51"/>
      <c r="Y130" s="51"/>
      <c r="Z130" s="51"/>
      <c r="AA130" s="51"/>
      <c r="AB130" s="51"/>
      <c r="AC130" s="51"/>
      <c r="AD130" s="51"/>
      <c r="AE130" s="51"/>
      <c r="AF130" s="144"/>
    </row>
    <row r="131" spans="1:32">
      <c r="A131" s="153"/>
      <c r="C131" s="52"/>
      <c r="D131" s="52"/>
      <c r="E131" s="52"/>
      <c r="F131" s="52"/>
      <c r="G131" s="51"/>
      <c r="H131" s="52"/>
      <c r="I131" s="52"/>
      <c r="J131" s="52"/>
      <c r="K131" s="52"/>
      <c r="L131" s="51"/>
      <c r="M131" s="52"/>
      <c r="N131" s="52"/>
      <c r="O131" s="52"/>
      <c r="P131" s="52"/>
      <c r="Q131" s="51"/>
      <c r="R131" s="52"/>
      <c r="S131" s="52"/>
      <c r="T131" s="52"/>
      <c r="U131" s="52"/>
      <c r="V131" s="51"/>
      <c r="W131" s="52"/>
      <c r="X131" s="52"/>
      <c r="Y131" s="52"/>
      <c r="Z131" s="52"/>
      <c r="AA131" s="51"/>
      <c r="AB131" s="52"/>
      <c r="AC131" s="52"/>
      <c r="AD131" s="52"/>
      <c r="AE131" s="52"/>
      <c r="AF131" s="144"/>
    </row>
    <row r="132" spans="1:32">
      <c r="A132" s="152"/>
      <c r="C132" s="53"/>
      <c r="D132" s="53"/>
      <c r="E132" s="53"/>
      <c r="F132" s="53"/>
      <c r="G132" s="631"/>
      <c r="H132" s="53"/>
      <c r="I132" s="53"/>
      <c r="J132" s="53"/>
      <c r="K132" s="53"/>
      <c r="L132" s="627"/>
      <c r="M132" s="53"/>
      <c r="N132" s="53"/>
      <c r="O132" s="53"/>
      <c r="P132" s="53"/>
      <c r="Q132" s="627"/>
      <c r="R132" s="53"/>
      <c r="S132" s="53"/>
      <c r="T132" s="53"/>
      <c r="U132" s="53"/>
      <c r="V132" s="627"/>
      <c r="W132" s="53"/>
      <c r="X132" s="53"/>
      <c r="Y132" s="53"/>
      <c r="Z132" s="53"/>
      <c r="AA132" s="627"/>
      <c r="AB132" s="53"/>
      <c r="AC132" s="53"/>
      <c r="AD132" s="53"/>
      <c r="AE132" s="53"/>
      <c r="AF132" s="628"/>
    </row>
    <row r="133" spans="1:32">
      <c r="A133" s="153"/>
      <c r="C133" s="52"/>
      <c r="D133" s="52"/>
      <c r="E133" s="52"/>
      <c r="F133" s="52"/>
      <c r="G133" s="51"/>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145"/>
    </row>
    <row r="134" spans="1:32">
      <c r="A134" s="153"/>
      <c r="C134" s="52"/>
      <c r="D134" s="52"/>
      <c r="E134" s="52"/>
      <c r="F134" s="52"/>
      <c r="G134" s="52"/>
      <c r="H134" s="52"/>
      <c r="I134" s="52"/>
      <c r="J134" s="52"/>
      <c r="K134" s="52"/>
      <c r="L134" s="52"/>
      <c r="M134" s="52"/>
      <c r="N134" s="52"/>
      <c r="O134" s="52"/>
      <c r="P134" s="52"/>
      <c r="Q134" s="52"/>
      <c r="R134" s="52"/>
      <c r="S134" s="52"/>
      <c r="T134" s="52"/>
      <c r="U134" s="52"/>
      <c r="V134" s="52"/>
      <c r="W134" s="51"/>
      <c r="X134" s="51"/>
      <c r="Y134" s="51"/>
      <c r="Z134" s="51"/>
      <c r="AA134" s="52"/>
      <c r="AB134" s="51"/>
      <c r="AC134" s="51"/>
      <c r="AD134" s="51"/>
      <c r="AE134" s="51"/>
      <c r="AF134" s="144"/>
    </row>
    <row r="135" spans="1:32">
      <c r="A135" s="153"/>
      <c r="C135" s="52"/>
      <c r="D135" s="52"/>
      <c r="E135" s="52"/>
      <c r="F135" s="52"/>
      <c r="G135" s="52"/>
      <c r="H135" s="52"/>
      <c r="I135" s="52"/>
      <c r="J135" s="52"/>
      <c r="K135" s="52"/>
      <c r="L135" s="52"/>
      <c r="M135" s="52"/>
      <c r="N135" s="52"/>
      <c r="O135" s="52"/>
      <c r="P135" s="52"/>
      <c r="Q135" s="52"/>
      <c r="R135" s="52"/>
      <c r="S135" s="52"/>
      <c r="T135" s="52"/>
      <c r="U135" s="52"/>
      <c r="V135" s="52"/>
      <c r="W135" s="51"/>
      <c r="X135" s="51"/>
      <c r="Y135" s="51"/>
      <c r="Z135" s="51"/>
      <c r="AA135" s="52"/>
      <c r="AB135" s="51"/>
      <c r="AC135" s="51"/>
      <c r="AD135" s="51"/>
      <c r="AE135" s="51"/>
      <c r="AF135" s="144"/>
    </row>
    <row r="136" spans="1:32">
      <c r="A136" s="153"/>
      <c r="C136" s="52"/>
      <c r="D136" s="52"/>
      <c r="E136" s="52"/>
      <c r="F136" s="52"/>
      <c r="G136" s="52"/>
      <c r="H136" s="51"/>
      <c r="I136" s="51"/>
      <c r="J136" s="51"/>
      <c r="K136" s="51"/>
      <c r="L136" s="52"/>
      <c r="M136" s="52"/>
      <c r="N136" s="52"/>
      <c r="O136" s="52"/>
      <c r="P136" s="52"/>
      <c r="Q136" s="52"/>
      <c r="R136" s="52"/>
      <c r="S136" s="52"/>
      <c r="T136" s="52"/>
      <c r="U136" s="52"/>
      <c r="V136" s="52"/>
      <c r="W136" s="51"/>
      <c r="X136" s="51"/>
      <c r="Y136" s="51"/>
      <c r="Z136" s="51"/>
      <c r="AA136" s="52"/>
      <c r="AB136" s="51"/>
      <c r="AC136" s="51"/>
      <c r="AD136" s="51"/>
      <c r="AE136" s="51"/>
      <c r="AF136" s="144"/>
    </row>
    <row r="137" spans="1:32">
      <c r="A137" s="153"/>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144"/>
    </row>
    <row r="138" spans="1:32">
      <c r="A138" s="153"/>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144"/>
    </row>
    <row r="139" spans="1:32">
      <c r="A139" s="153"/>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144"/>
    </row>
    <row r="140" spans="1:32">
      <c r="A140" s="153"/>
      <c r="C140" s="52"/>
      <c r="D140" s="52"/>
      <c r="E140" s="52"/>
      <c r="F140" s="52"/>
      <c r="G140" s="52"/>
      <c r="H140" s="52"/>
      <c r="I140" s="52"/>
      <c r="J140" s="52"/>
      <c r="K140" s="52"/>
      <c r="L140" s="52"/>
      <c r="M140" s="52"/>
      <c r="N140" s="52"/>
      <c r="O140" s="52"/>
      <c r="P140" s="52"/>
      <c r="Q140" s="52"/>
      <c r="R140" s="52"/>
      <c r="S140" s="52"/>
      <c r="T140" s="52"/>
      <c r="U140" s="52"/>
      <c r="V140" s="52"/>
      <c r="W140" s="51"/>
      <c r="X140" s="51"/>
      <c r="Y140" s="51"/>
      <c r="Z140" s="51"/>
      <c r="AA140" s="52"/>
      <c r="AB140" s="51"/>
      <c r="AC140" s="51"/>
      <c r="AD140" s="51"/>
      <c r="AE140" s="51"/>
      <c r="AF140" s="144"/>
    </row>
    <row r="141" spans="1:32">
      <c r="A141" s="153"/>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144"/>
    </row>
    <row r="142" spans="1:32">
      <c r="A142" s="152"/>
      <c r="C142" s="50"/>
      <c r="D142" s="50"/>
      <c r="E142" s="50"/>
      <c r="F142" s="50"/>
      <c r="G142" s="626"/>
      <c r="H142" s="50"/>
      <c r="I142" s="50"/>
      <c r="J142" s="50"/>
      <c r="K142" s="50"/>
      <c r="L142" s="626"/>
      <c r="M142" s="50"/>
      <c r="N142" s="50"/>
      <c r="O142" s="50"/>
      <c r="P142" s="50"/>
      <c r="Q142" s="626"/>
      <c r="R142" s="50"/>
      <c r="S142" s="50"/>
      <c r="T142" s="50"/>
      <c r="U142" s="50"/>
      <c r="V142" s="626"/>
      <c r="W142" s="50"/>
      <c r="X142" s="50"/>
      <c r="Y142" s="50"/>
      <c r="Z142" s="50"/>
      <c r="AA142" s="626"/>
      <c r="AB142" s="50"/>
      <c r="AC142" s="50"/>
      <c r="AD142" s="50"/>
      <c r="AE142" s="50"/>
      <c r="AF142" s="632"/>
    </row>
    <row r="143" spans="1:32">
      <c r="A143" s="153"/>
      <c r="C143" s="52"/>
      <c r="D143" s="52"/>
      <c r="E143" s="52"/>
      <c r="F143" s="52"/>
      <c r="G143" s="51"/>
      <c r="H143" s="52"/>
      <c r="I143" s="52"/>
      <c r="J143" s="52"/>
      <c r="K143" s="52"/>
      <c r="L143" s="51"/>
      <c r="M143" s="52"/>
      <c r="N143" s="52"/>
      <c r="O143" s="52"/>
      <c r="P143" s="52"/>
      <c r="Q143" s="51"/>
      <c r="R143" s="52"/>
      <c r="S143" s="52"/>
      <c r="T143" s="52"/>
      <c r="U143" s="52"/>
      <c r="V143" s="51"/>
      <c r="W143" s="51"/>
      <c r="X143" s="51"/>
      <c r="Y143" s="51"/>
      <c r="Z143" s="51"/>
      <c r="AA143" s="51"/>
      <c r="AB143" s="51"/>
      <c r="AC143" s="51"/>
      <c r="AD143" s="51"/>
      <c r="AE143" s="51"/>
      <c r="AF143" s="145"/>
    </row>
    <row r="144" spans="1:32">
      <c r="A144" s="152"/>
      <c r="C144" s="50"/>
      <c r="D144" s="50"/>
      <c r="E144" s="50"/>
      <c r="F144" s="50"/>
      <c r="G144" s="53"/>
      <c r="H144" s="50"/>
      <c r="I144" s="50"/>
      <c r="J144" s="50"/>
      <c r="K144" s="50"/>
      <c r="L144" s="53"/>
      <c r="M144" s="50"/>
      <c r="N144" s="50"/>
      <c r="O144" s="50"/>
      <c r="P144" s="50"/>
      <c r="Q144" s="53"/>
      <c r="R144" s="50"/>
      <c r="S144" s="50"/>
      <c r="T144" s="50"/>
      <c r="U144" s="50"/>
      <c r="V144" s="53"/>
      <c r="W144" s="53"/>
      <c r="X144" s="53"/>
      <c r="Y144" s="53"/>
      <c r="Z144" s="53"/>
      <c r="AA144" s="53"/>
      <c r="AB144" s="53"/>
      <c r="AC144" s="53"/>
      <c r="AD144" s="53"/>
      <c r="AE144" s="53"/>
      <c r="AF144" s="143"/>
    </row>
    <row r="145" spans="1:32">
      <c r="A145" s="152"/>
      <c r="C145" s="50"/>
      <c r="D145" s="50"/>
      <c r="E145" s="50"/>
      <c r="F145" s="50"/>
      <c r="G145" s="53"/>
      <c r="H145" s="50"/>
      <c r="I145" s="50"/>
      <c r="J145" s="50"/>
      <c r="K145" s="50"/>
      <c r="L145" s="53"/>
      <c r="M145" s="50"/>
      <c r="N145" s="50"/>
      <c r="O145" s="50"/>
      <c r="P145" s="50"/>
      <c r="Q145" s="53"/>
      <c r="R145" s="50"/>
      <c r="S145" s="50"/>
      <c r="T145" s="50"/>
      <c r="U145" s="50"/>
      <c r="V145" s="53"/>
      <c r="W145" s="53"/>
      <c r="X145" s="53"/>
      <c r="Y145" s="53"/>
      <c r="Z145" s="53"/>
      <c r="AA145" s="53"/>
      <c r="AB145" s="53"/>
      <c r="AC145" s="53"/>
      <c r="AD145" s="53"/>
      <c r="AE145" s="53"/>
      <c r="AF145" s="143"/>
    </row>
    <row r="146" spans="1:32">
      <c r="A146" s="153"/>
      <c r="C146" s="52"/>
      <c r="D146" s="52"/>
      <c r="E146" s="52"/>
      <c r="F146" s="52"/>
      <c r="G146" s="52"/>
      <c r="H146" s="52"/>
      <c r="I146" s="52"/>
      <c r="J146" s="52"/>
      <c r="K146" s="52"/>
      <c r="L146" s="51"/>
      <c r="M146" s="52"/>
      <c r="N146" s="52"/>
      <c r="O146" s="52"/>
      <c r="P146" s="52"/>
      <c r="Q146" s="52"/>
      <c r="R146" s="52"/>
      <c r="S146" s="52"/>
      <c r="T146" s="52"/>
      <c r="U146" s="52"/>
      <c r="V146" s="52"/>
      <c r="W146" s="52"/>
      <c r="X146" s="52"/>
      <c r="Y146" s="52"/>
      <c r="Z146" s="52"/>
      <c r="AA146" s="52"/>
      <c r="AB146" s="52"/>
      <c r="AC146" s="52"/>
      <c r="AD146" s="52"/>
      <c r="AE146" s="52"/>
      <c r="AF146" s="145"/>
    </row>
    <row r="147" spans="1:32">
      <c r="A147" s="153"/>
      <c r="C147" s="52"/>
      <c r="D147" s="52"/>
      <c r="E147" s="52"/>
      <c r="F147" s="52"/>
      <c r="G147" s="53"/>
      <c r="H147" s="52"/>
      <c r="I147" s="52"/>
      <c r="J147" s="52"/>
      <c r="K147" s="52"/>
      <c r="L147" s="53"/>
      <c r="M147" s="52"/>
      <c r="N147" s="52"/>
      <c r="O147" s="52"/>
      <c r="P147" s="52"/>
      <c r="Q147" s="53"/>
      <c r="R147" s="52"/>
      <c r="S147" s="52"/>
      <c r="T147" s="52"/>
      <c r="U147" s="52"/>
      <c r="V147" s="53"/>
      <c r="W147" s="52"/>
      <c r="X147" s="52"/>
      <c r="Y147" s="52"/>
      <c r="Z147" s="52"/>
      <c r="AA147" s="53"/>
      <c r="AB147" s="52"/>
      <c r="AC147" s="52"/>
      <c r="AD147" s="52"/>
      <c r="AE147" s="52"/>
      <c r="AF147" s="143"/>
    </row>
    <row r="148" spans="1:32">
      <c r="A148" s="153"/>
      <c r="C148" s="52"/>
      <c r="D148" s="52"/>
      <c r="E148" s="52"/>
      <c r="F148" s="52"/>
      <c r="G148" s="53"/>
      <c r="H148" s="52"/>
      <c r="I148" s="52"/>
      <c r="J148" s="52"/>
      <c r="K148" s="52"/>
      <c r="L148" s="53"/>
      <c r="M148" s="52"/>
      <c r="N148" s="52"/>
      <c r="O148" s="52"/>
      <c r="P148" s="52"/>
      <c r="Q148" s="53"/>
      <c r="R148" s="52"/>
      <c r="S148" s="52"/>
      <c r="T148" s="52"/>
      <c r="U148" s="52"/>
      <c r="V148" s="53"/>
      <c r="W148" s="51"/>
      <c r="X148" s="51"/>
      <c r="Y148" s="51"/>
      <c r="Z148" s="51"/>
      <c r="AA148" s="53"/>
      <c r="AB148" s="51"/>
      <c r="AC148" s="51"/>
      <c r="AD148" s="51"/>
      <c r="AE148" s="51"/>
      <c r="AF148" s="143"/>
    </row>
    <row r="149" spans="1:32">
      <c r="A149" s="153"/>
      <c r="C149" s="52"/>
      <c r="D149" s="52"/>
      <c r="E149" s="52"/>
      <c r="F149" s="52"/>
      <c r="G149" s="51"/>
      <c r="H149" s="52"/>
      <c r="I149" s="52"/>
      <c r="J149" s="52"/>
      <c r="K149" s="52"/>
      <c r="L149" s="51"/>
      <c r="M149" s="52"/>
      <c r="N149" s="52"/>
      <c r="O149" s="52"/>
      <c r="P149" s="52"/>
      <c r="Q149" s="51"/>
      <c r="R149" s="52"/>
      <c r="S149" s="52"/>
      <c r="T149" s="52"/>
      <c r="U149" s="52"/>
      <c r="V149" s="51"/>
      <c r="W149" s="52"/>
      <c r="X149" s="52"/>
      <c r="Y149" s="52"/>
      <c r="Z149" s="52"/>
      <c r="AA149" s="51"/>
      <c r="AB149" s="52"/>
      <c r="AC149" s="52"/>
      <c r="AD149" s="52"/>
      <c r="AE149" s="52"/>
      <c r="AF149" s="146"/>
    </row>
    <row r="150" spans="1:32">
      <c r="A150" s="153"/>
      <c r="C150" s="52"/>
      <c r="D150" s="52"/>
      <c r="E150" s="52"/>
      <c r="F150" s="52"/>
      <c r="G150" s="51"/>
      <c r="H150" s="52"/>
      <c r="I150" s="52"/>
      <c r="J150" s="52"/>
      <c r="K150" s="52"/>
      <c r="L150" s="51"/>
      <c r="M150" s="52"/>
      <c r="N150" s="52"/>
      <c r="O150" s="52"/>
      <c r="P150" s="52"/>
      <c r="Q150" s="51"/>
      <c r="R150" s="52"/>
      <c r="S150" s="52"/>
      <c r="T150" s="52"/>
      <c r="U150" s="52"/>
      <c r="V150" s="51"/>
      <c r="W150" s="52"/>
      <c r="X150" s="52"/>
      <c r="Y150" s="52"/>
      <c r="Z150" s="52"/>
      <c r="AA150" s="51"/>
      <c r="AB150" s="52"/>
      <c r="AC150" s="52"/>
      <c r="AD150" s="52"/>
      <c r="AE150" s="52"/>
      <c r="AF150" s="144"/>
    </row>
    <row r="151" spans="1:32">
      <c r="A151" s="152"/>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74"/>
    </row>
    <row r="152" spans="1:32">
      <c r="A152" s="153"/>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146"/>
    </row>
    <row r="153" spans="1:32">
      <c r="A153" s="153"/>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1"/>
      <c r="AB153" s="52"/>
      <c r="AC153" s="52"/>
      <c r="AD153" s="52"/>
      <c r="AE153" s="52"/>
      <c r="AF153" s="146"/>
    </row>
    <row r="154" spans="1:32">
      <c r="A154" s="153"/>
      <c r="C154" s="52"/>
      <c r="D154" s="51"/>
      <c r="E154" s="51"/>
      <c r="F154" s="51"/>
      <c r="G154" s="52"/>
      <c r="H154" s="51"/>
      <c r="I154" s="51"/>
      <c r="J154" s="51"/>
      <c r="K154" s="51"/>
      <c r="L154" s="52"/>
      <c r="M154" s="51"/>
      <c r="N154" s="51"/>
      <c r="O154" s="51"/>
      <c r="P154" s="51"/>
      <c r="Q154" s="52"/>
      <c r="R154" s="51"/>
      <c r="S154" s="51"/>
      <c r="T154" s="51"/>
      <c r="U154" s="51"/>
      <c r="V154" s="52"/>
      <c r="W154" s="51"/>
      <c r="X154" s="51"/>
      <c r="Y154" s="51"/>
      <c r="Z154" s="51"/>
      <c r="AA154" s="51"/>
      <c r="AB154" s="51"/>
      <c r="AC154" s="51"/>
      <c r="AD154" s="51"/>
      <c r="AE154" s="51"/>
      <c r="AF154" s="146"/>
    </row>
    <row r="155" spans="1:32">
      <c r="A155" s="152"/>
      <c r="C155" s="93"/>
      <c r="D155" s="93"/>
      <c r="E155" s="93"/>
      <c r="F155" s="93"/>
      <c r="G155" s="633"/>
      <c r="H155" s="93"/>
      <c r="I155" s="93"/>
      <c r="J155" s="93"/>
      <c r="K155" s="93"/>
      <c r="L155" s="633"/>
      <c r="M155" s="93"/>
      <c r="N155" s="93"/>
      <c r="O155" s="93"/>
      <c r="P155" s="93"/>
      <c r="Q155" s="633"/>
      <c r="R155" s="93"/>
      <c r="S155" s="93"/>
      <c r="T155" s="93"/>
      <c r="U155" s="93"/>
      <c r="V155" s="633"/>
      <c r="W155" s="93"/>
      <c r="X155" s="93"/>
      <c r="Y155" s="93"/>
      <c r="Z155" s="93"/>
      <c r="AA155" s="633"/>
      <c r="AB155" s="93"/>
      <c r="AC155" s="93"/>
      <c r="AD155" s="93"/>
      <c r="AE155" s="93"/>
      <c r="AF155" s="630"/>
    </row>
    <row r="156" spans="1:32">
      <c r="A156" s="153"/>
      <c r="C156" s="51"/>
      <c r="D156" s="51"/>
      <c r="E156" s="51"/>
      <c r="F156" s="51"/>
      <c r="G156" s="80"/>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146"/>
    </row>
    <row r="157" spans="1:32" ht="10.5" thickBot="1">
      <c r="A157" s="152"/>
      <c r="C157" s="53"/>
      <c r="D157" s="53"/>
      <c r="E157" s="53"/>
      <c r="F157" s="53"/>
      <c r="G157" s="634"/>
      <c r="H157" s="53"/>
      <c r="I157" s="53"/>
      <c r="J157" s="53"/>
      <c r="K157" s="53"/>
      <c r="L157" s="634"/>
      <c r="M157" s="53"/>
      <c r="N157" s="53"/>
      <c r="O157" s="53"/>
      <c r="P157" s="53"/>
      <c r="Q157" s="634"/>
      <c r="R157" s="53"/>
      <c r="S157" s="53"/>
      <c r="T157" s="53"/>
      <c r="U157" s="53"/>
      <c r="V157" s="634"/>
      <c r="W157" s="53"/>
      <c r="X157" s="53"/>
      <c r="Y157" s="53"/>
      <c r="Z157" s="53"/>
      <c r="AA157" s="634"/>
      <c r="AB157" s="53"/>
      <c r="AC157" s="53"/>
      <c r="AD157" s="53"/>
      <c r="AE157" s="53"/>
      <c r="AF157" s="635"/>
    </row>
    <row r="158" spans="1:32" ht="10.9" thickTop="1" thickBot="1">
      <c r="A158" s="159"/>
      <c r="B158" s="147"/>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c r="AC158" s="148"/>
      <c r="AD158" s="148"/>
      <c r="AE158" s="148"/>
      <c r="AF158" s="149"/>
    </row>
  </sheetData>
  <dataValidations disablePrompts="1" count="1">
    <dataValidation type="list" allowBlank="1" showInputMessage="1" showErrorMessage="1" sqref="X7:X11" xr:uid="{F9561C61-522B-1848-BB7D-754B57694AA2}">
      <formula1>$A$10:$A$14</formula1>
    </dataValidation>
  </dataValidations>
  <pageMargins left="0.2" right="0.2" top="0.5" bottom="0.5" header="0.5" footer="0.5"/>
  <pageSetup fitToWidth="0" fitToHeight="0"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3AE1-D60B-BE4A-AA70-A1CB4E1CD6A4}">
  <sheetPr codeName="Sheet5">
    <tabColor rgb="FFFF0000"/>
    <outlinePr summaryBelow="0" summaryRight="0"/>
    <pageSetUpPr autoPageBreaks="0"/>
  </sheetPr>
  <dimension ref="A1:HV152"/>
  <sheetViews>
    <sheetView topLeftCell="A4" zoomScaleNormal="183" workbookViewId="0">
      <pane xSplit="1" ySplit="2" topLeftCell="B7" activePane="bottomRight" state="frozen"/>
      <selection pane="topRight" activeCell="E19" sqref="E19"/>
      <selection pane="bottomLeft" activeCell="E19" sqref="E19"/>
      <selection pane="bottomRight" activeCell="V90" sqref="V90"/>
    </sheetView>
  </sheetViews>
  <sheetFormatPr defaultColWidth="10.8125" defaultRowHeight="10.15"/>
  <cols>
    <col min="1" max="1" width="50.8125" style="145" customWidth="1"/>
    <col min="2" max="2" width="7.8125" style="9" customWidth="1"/>
    <col min="3" max="7" width="13.8125" style="34" customWidth="1"/>
    <col min="8" max="8" width="13.8125" style="66" customWidth="1"/>
    <col min="9" max="230" width="8.8125" style="9" customWidth="1"/>
    <col min="231" max="16384" width="10.8125" style="9"/>
  </cols>
  <sheetData>
    <row r="1" spans="1:230">
      <c r="C1" s="60"/>
      <c r="D1" s="60"/>
      <c r="E1" s="60"/>
      <c r="F1" s="60"/>
      <c r="G1" s="60"/>
      <c r="H1" s="91"/>
    </row>
    <row r="2" spans="1:230">
      <c r="C2" s="60"/>
      <c r="D2" s="60"/>
      <c r="E2" s="60"/>
      <c r="F2" s="60"/>
      <c r="G2" s="60"/>
      <c r="H2" s="91"/>
    </row>
    <row r="3" spans="1:230">
      <c r="C3" s="60"/>
      <c r="D3" s="60"/>
      <c r="E3" s="60"/>
      <c r="F3" s="60"/>
      <c r="G3" s="60"/>
      <c r="H3" s="91"/>
    </row>
    <row r="4" spans="1:230">
      <c r="A4" s="64"/>
      <c r="C4" s="60"/>
      <c r="D4" s="60"/>
      <c r="E4" s="60"/>
      <c r="F4" s="60"/>
      <c r="G4" s="60"/>
      <c r="H4" s="91"/>
    </row>
    <row r="5" spans="1:230">
      <c r="A5" s="9"/>
      <c r="C5" s="60"/>
      <c r="D5" s="60"/>
      <c r="E5" s="60"/>
      <c r="F5" s="60"/>
      <c r="G5" s="60"/>
      <c r="H5" s="91"/>
    </row>
    <row r="6" spans="1:230" ht="16.149999999999999">
      <c r="A6" s="190" t="s">
        <v>161</v>
      </c>
      <c r="B6" s="33"/>
      <c r="C6" s="60"/>
      <c r="D6" s="60"/>
      <c r="E6" s="60"/>
      <c r="F6" s="60"/>
      <c r="G6" s="60"/>
      <c r="H6" s="91"/>
    </row>
    <row r="7" spans="1:230">
      <c r="C7" s="60"/>
      <c r="D7" s="60"/>
      <c r="E7" s="60"/>
      <c r="F7" s="60"/>
      <c r="G7" s="60"/>
      <c r="H7" s="91"/>
    </row>
    <row r="8" spans="1:230">
      <c r="A8" s="191" t="s">
        <v>21</v>
      </c>
      <c r="B8" s="32"/>
      <c r="C8" s="62"/>
      <c r="D8" s="60"/>
      <c r="E8" s="45" t="s">
        <v>22</v>
      </c>
      <c r="F8" s="62"/>
      <c r="G8" s="60"/>
      <c r="H8" s="91"/>
    </row>
    <row r="9" spans="1:230">
      <c r="A9" s="191"/>
      <c r="B9" s="32"/>
      <c r="C9" s="62"/>
      <c r="D9" s="60"/>
      <c r="E9" s="45"/>
      <c r="F9" s="62"/>
      <c r="G9" s="60"/>
      <c r="H9" s="91"/>
    </row>
    <row r="10" spans="1:230" ht="16.149999999999999">
      <c r="A10" s="65"/>
      <c r="B10" s="12"/>
      <c r="C10" s="62"/>
      <c r="D10" s="60"/>
      <c r="E10" s="45" t="s">
        <v>22</v>
      </c>
      <c r="F10" s="62"/>
      <c r="G10" s="60"/>
      <c r="H10" s="91"/>
    </row>
    <row r="11" spans="1:230">
      <c r="A11" s="244"/>
      <c r="B11" s="12"/>
      <c r="C11" s="62"/>
      <c r="D11" s="60"/>
      <c r="E11" s="45" t="s">
        <v>22</v>
      </c>
      <c r="F11" s="62"/>
      <c r="G11" s="60"/>
      <c r="H11" s="91"/>
    </row>
    <row r="12" spans="1:230">
      <c r="B12" s="12"/>
      <c r="C12" s="62"/>
      <c r="D12" s="60"/>
      <c r="E12" s="45" t="s">
        <v>22</v>
      </c>
      <c r="F12" s="62"/>
      <c r="G12" s="63"/>
      <c r="H12" s="91"/>
    </row>
    <row r="13" spans="1:230">
      <c r="B13" s="12"/>
      <c r="C13" s="62"/>
      <c r="D13" s="60"/>
      <c r="E13" s="45" t="s">
        <v>22</v>
      </c>
      <c r="F13" s="61"/>
      <c r="G13" s="61"/>
      <c r="H13" s="91"/>
    </row>
    <row r="14" spans="1:230">
      <c r="C14" s="60"/>
      <c r="D14" s="60"/>
      <c r="E14" s="60"/>
      <c r="F14" s="60"/>
      <c r="G14" s="60"/>
      <c r="H14" s="91"/>
    </row>
    <row r="15" spans="1:230" ht="12.4">
      <c r="C15" s="60"/>
      <c r="D15" s="60"/>
      <c r="E15" s="60"/>
      <c r="F15" s="60"/>
      <c r="G15" s="60"/>
      <c r="H15" s="91"/>
      <c r="J15" s="108"/>
    </row>
    <row r="16" spans="1:230" s="161" customFormat="1" ht="31.25" customHeight="1">
      <c r="A16" s="194" t="s">
        <v>168</v>
      </c>
      <c r="B16" s="165"/>
      <c r="C16" s="166">
        <v>2019</v>
      </c>
      <c r="D16" s="166">
        <v>2020</v>
      </c>
      <c r="E16" s="166">
        <v>2021</v>
      </c>
      <c r="F16" s="166">
        <v>2022</v>
      </c>
      <c r="G16" s="166">
        <v>2023</v>
      </c>
      <c r="H16" s="167">
        <v>2024</v>
      </c>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0"/>
      <c r="CD16" s="160"/>
      <c r="CE16" s="160"/>
      <c r="CF16" s="160"/>
      <c r="CG16" s="160"/>
      <c r="CH16" s="160"/>
      <c r="CI16" s="160"/>
      <c r="CJ16" s="160"/>
      <c r="CK16" s="160"/>
      <c r="CL16" s="160"/>
      <c r="CM16" s="160"/>
      <c r="CN16" s="160"/>
      <c r="CO16" s="160"/>
      <c r="CP16" s="160"/>
      <c r="CQ16" s="160"/>
      <c r="CR16" s="160"/>
      <c r="CS16" s="160"/>
      <c r="CT16" s="160"/>
      <c r="CU16" s="160"/>
      <c r="CV16" s="160"/>
      <c r="CW16" s="160"/>
      <c r="CX16" s="160"/>
      <c r="CY16" s="160"/>
      <c r="CZ16" s="160"/>
      <c r="DA16" s="160"/>
      <c r="DB16" s="160"/>
      <c r="DC16" s="160"/>
      <c r="DD16" s="160"/>
      <c r="DE16" s="160"/>
      <c r="DF16" s="160"/>
      <c r="DG16" s="160"/>
      <c r="DH16" s="160"/>
      <c r="DI16" s="160"/>
      <c r="DJ16" s="160"/>
      <c r="DK16" s="160"/>
      <c r="DL16" s="160"/>
      <c r="DM16" s="160"/>
      <c r="DN16" s="160"/>
      <c r="DO16" s="160"/>
      <c r="DP16" s="160"/>
      <c r="DQ16" s="160"/>
      <c r="DR16" s="160"/>
      <c r="DS16" s="160"/>
      <c r="DT16" s="160"/>
      <c r="DU16" s="160"/>
      <c r="DV16" s="160"/>
      <c r="DW16" s="160"/>
      <c r="DX16" s="160"/>
      <c r="DY16" s="160"/>
      <c r="DZ16" s="160"/>
      <c r="EA16" s="160"/>
      <c r="EB16" s="160"/>
      <c r="EC16" s="160"/>
      <c r="ED16" s="160"/>
      <c r="EE16" s="160"/>
      <c r="EF16" s="160"/>
      <c r="EG16" s="160"/>
      <c r="EH16" s="160"/>
      <c r="EI16" s="160"/>
      <c r="EJ16" s="160"/>
      <c r="EK16" s="160"/>
      <c r="EL16" s="160"/>
      <c r="EM16" s="160"/>
      <c r="EN16" s="160"/>
      <c r="EO16" s="160"/>
      <c r="EP16" s="160"/>
      <c r="EQ16" s="160"/>
      <c r="ER16" s="160"/>
      <c r="ES16" s="160"/>
      <c r="ET16" s="160"/>
      <c r="EU16" s="160"/>
      <c r="EV16" s="160"/>
      <c r="EW16" s="160"/>
      <c r="EX16" s="160"/>
      <c r="EY16" s="160"/>
      <c r="EZ16" s="160"/>
      <c r="FA16" s="160"/>
      <c r="FB16" s="160"/>
      <c r="FC16" s="160"/>
      <c r="FD16" s="160"/>
      <c r="FE16" s="160"/>
      <c r="FF16" s="160"/>
      <c r="FG16" s="160"/>
      <c r="FH16" s="160"/>
      <c r="FI16" s="160"/>
      <c r="FJ16" s="160"/>
      <c r="FK16" s="160"/>
      <c r="FL16" s="160"/>
      <c r="FM16" s="160"/>
      <c r="FN16" s="160"/>
      <c r="FO16" s="160"/>
      <c r="FP16" s="160"/>
      <c r="FQ16" s="160"/>
      <c r="FR16" s="160"/>
      <c r="FS16" s="160"/>
      <c r="FT16" s="160"/>
      <c r="FU16" s="160"/>
      <c r="FV16" s="160"/>
      <c r="FW16" s="160"/>
      <c r="FX16" s="160"/>
      <c r="FY16" s="160"/>
      <c r="FZ16" s="160"/>
      <c r="GA16" s="160"/>
      <c r="GB16" s="160"/>
      <c r="GC16" s="160"/>
      <c r="GD16" s="160"/>
      <c r="GE16" s="160"/>
      <c r="GF16" s="160"/>
      <c r="GG16" s="160"/>
      <c r="GH16" s="160"/>
      <c r="GI16" s="160"/>
      <c r="GJ16" s="160"/>
      <c r="GK16" s="160"/>
      <c r="GL16" s="160"/>
      <c r="GM16" s="160"/>
      <c r="GN16" s="160"/>
      <c r="GO16" s="160"/>
      <c r="GP16" s="160"/>
      <c r="GQ16" s="160"/>
      <c r="GR16" s="160"/>
      <c r="GS16" s="160"/>
      <c r="GT16" s="160"/>
      <c r="GU16" s="160"/>
      <c r="GV16" s="160"/>
      <c r="GW16" s="160"/>
      <c r="GX16" s="160"/>
      <c r="GY16" s="160"/>
      <c r="GZ16" s="160"/>
      <c r="HA16" s="160"/>
      <c r="HB16" s="160"/>
      <c r="HC16" s="160"/>
      <c r="HD16" s="160"/>
      <c r="HE16" s="160"/>
      <c r="HF16" s="160"/>
      <c r="HG16" s="160"/>
      <c r="HH16" s="160"/>
      <c r="HI16" s="160"/>
      <c r="HJ16" s="160"/>
      <c r="HK16" s="160"/>
      <c r="HL16" s="160"/>
      <c r="HM16" s="160"/>
      <c r="HN16" s="160"/>
      <c r="HO16" s="160"/>
      <c r="HP16" s="160"/>
      <c r="HQ16" s="160"/>
      <c r="HR16" s="160"/>
      <c r="HS16" s="160"/>
      <c r="HT16" s="160"/>
      <c r="HU16" s="160"/>
      <c r="HV16" s="160"/>
    </row>
    <row r="17" spans="1:8" s="162" customFormat="1" ht="30">
      <c r="A17" s="150" t="s">
        <v>34</v>
      </c>
      <c r="B17" s="131"/>
      <c r="C17" s="131">
        <v>2019</v>
      </c>
      <c r="D17" s="131">
        <v>2020</v>
      </c>
      <c r="E17" s="131">
        <v>2021</v>
      </c>
      <c r="F17" s="131">
        <v>2022</v>
      </c>
      <c r="G17" s="131">
        <v>2023</v>
      </c>
      <c r="H17" s="131">
        <v>2024</v>
      </c>
    </row>
    <row r="18" spans="1:8">
      <c r="A18" s="151" t="s">
        <v>193</v>
      </c>
      <c r="B18" s="112"/>
      <c r="C18" s="113"/>
      <c r="D18" s="113"/>
      <c r="E18" s="113"/>
      <c r="F18" s="113"/>
      <c r="G18" s="113"/>
      <c r="H18" s="118"/>
    </row>
    <row r="19" spans="1:8">
      <c r="A19" s="224"/>
      <c r="B19" s="225"/>
      <c r="C19" s="226"/>
      <c r="D19" s="226"/>
      <c r="E19" s="226"/>
      <c r="F19" s="226"/>
      <c r="G19" s="226"/>
      <c r="H19" s="227"/>
    </row>
    <row r="20" spans="1:8">
      <c r="A20" s="152" t="s">
        <v>231</v>
      </c>
      <c r="B20" s="15"/>
      <c r="C20" s="247">
        <v>25739</v>
      </c>
      <c r="D20" s="247">
        <v>25331</v>
      </c>
      <c r="E20" s="247">
        <v>18097</v>
      </c>
      <c r="F20" s="247">
        <v>25399</v>
      </c>
      <c r="G20" s="247">
        <v>25449</v>
      </c>
      <c r="H20" s="310">
        <v>23866</v>
      </c>
    </row>
    <row r="21" spans="1:8">
      <c r="A21" s="152" t="s">
        <v>232</v>
      </c>
      <c r="B21" s="15"/>
      <c r="C21" s="247">
        <v>1532</v>
      </c>
      <c r="D21" s="247">
        <v>1159</v>
      </c>
      <c r="E21" s="247">
        <v>-902</v>
      </c>
      <c r="F21" s="247">
        <v>2334</v>
      </c>
      <c r="G21" s="247">
        <v>1640</v>
      </c>
      <c r="H21" s="310">
        <v>1263</v>
      </c>
    </row>
    <row r="22" spans="1:8">
      <c r="A22" s="152"/>
      <c r="B22" s="15"/>
      <c r="C22" s="54"/>
      <c r="D22" s="54"/>
      <c r="E22" s="54"/>
      <c r="F22" s="54"/>
      <c r="G22" s="54"/>
      <c r="H22" s="255"/>
    </row>
    <row r="23" spans="1:8" s="198" customFormat="1">
      <c r="A23" s="195" t="s">
        <v>195</v>
      </c>
      <c r="B23" s="196"/>
      <c r="C23" s="197">
        <v>0.40887369361669063</v>
      </c>
      <c r="D23" s="197">
        <v>0.40108957403971418</v>
      </c>
      <c r="E23" s="197">
        <v>0.32110294523954247</v>
      </c>
      <c r="F23" s="197">
        <v>0.41115791960313397</v>
      </c>
      <c r="G23" s="197">
        <v>0.39695076427364534</v>
      </c>
      <c r="H23" s="212">
        <v>0.40400569848319784</v>
      </c>
    </row>
    <row r="24" spans="1:8" s="211" customFormat="1">
      <c r="A24" s="208" t="s">
        <v>104</v>
      </c>
      <c r="B24" s="209"/>
      <c r="C24" s="245">
        <v>0.40887369361669063</v>
      </c>
      <c r="D24" s="245">
        <v>0.40108957403971418</v>
      </c>
      <c r="E24" s="245">
        <v>0.32110294523954247</v>
      </c>
      <c r="F24" s="245">
        <v>0.41115791960313397</v>
      </c>
      <c r="G24" s="245">
        <v>0.39695076427364534</v>
      </c>
      <c r="H24" s="246">
        <v>0.40400569848319784</v>
      </c>
    </row>
    <row r="25" spans="1:8" s="198" customFormat="1">
      <c r="A25" s="195" t="s">
        <v>196</v>
      </c>
      <c r="B25" s="196"/>
      <c r="C25" s="197">
        <v>5.9520571894790007E-2</v>
      </c>
      <c r="D25" s="197">
        <v>4.5754214203939839E-2</v>
      </c>
      <c r="E25" s="197">
        <v>-4.9842515334033263E-2</v>
      </c>
      <c r="F25" s="197">
        <v>9.1893381629197995E-2</v>
      </c>
      <c r="G25" s="197">
        <v>6.4442610711619316E-2</v>
      </c>
      <c r="H25" s="212">
        <v>5.2920472638900526E-2</v>
      </c>
    </row>
    <row r="26" spans="1:8" s="211" customFormat="1">
      <c r="A26" s="208" t="s">
        <v>233</v>
      </c>
      <c r="B26" s="209"/>
      <c r="C26" s="245">
        <v>5.9520571894790007E-2</v>
      </c>
      <c r="D26" s="245">
        <v>4.5754214203939839E-2</v>
      </c>
      <c r="E26" s="245">
        <v>-4.9842515334033263E-2</v>
      </c>
      <c r="F26" s="245">
        <v>9.1893381629197995E-2</v>
      </c>
      <c r="G26" s="245">
        <v>6.4442610711619316E-2</v>
      </c>
      <c r="H26" s="246">
        <v>5.2920472638900526E-2</v>
      </c>
    </row>
    <row r="27" spans="1:8" s="198" customFormat="1">
      <c r="A27" s="195" t="s">
        <v>197</v>
      </c>
      <c r="B27" s="196"/>
      <c r="C27" s="197">
        <v>4.3047515443490426E-2</v>
      </c>
      <c r="D27" s="197">
        <v>2.2265208637637677E-2</v>
      </c>
      <c r="E27" s="197">
        <v>-0.21793667458694813</v>
      </c>
      <c r="F27" s="197">
        <v>5.6301429190125596E-2</v>
      </c>
      <c r="G27" s="197">
        <v>4.5031238948485208E-2</v>
      </c>
      <c r="H27" s="212">
        <v>1.885527528701919E-3</v>
      </c>
    </row>
    <row r="28" spans="1:8" s="211" customFormat="1">
      <c r="A28" s="208" t="s">
        <v>113</v>
      </c>
      <c r="B28" s="209"/>
      <c r="C28" s="245">
        <v>4.3047515443490426E-2</v>
      </c>
      <c r="D28" s="245">
        <v>2.2265208637637677E-2</v>
      </c>
      <c r="E28" s="245">
        <v>-0.21793667458694813</v>
      </c>
      <c r="F28" s="245">
        <v>5.6301429190125596E-2</v>
      </c>
      <c r="G28" s="245">
        <v>4.5031238948485208E-2</v>
      </c>
      <c r="H28" s="246">
        <v>1.885527528701919E-3</v>
      </c>
    </row>
    <row r="29" spans="1:8" s="198" customFormat="1">
      <c r="A29" s="207"/>
      <c r="B29" s="196"/>
      <c r="C29" s="197"/>
      <c r="D29" s="197"/>
      <c r="E29" s="197"/>
      <c r="F29" s="197"/>
      <c r="G29" s="197"/>
      <c r="H29" s="212"/>
    </row>
    <row r="30" spans="1:8" s="198" customFormat="1">
      <c r="A30" s="207" t="s">
        <v>198</v>
      </c>
      <c r="B30" s="196"/>
      <c r="C30" s="302">
        <v>5.7726372824841096E-2</v>
      </c>
      <c r="D30" s="302">
        <v>2.6638957113168337E-2</v>
      </c>
      <c r="E30" s="302">
        <v>-0.22274935050265446</v>
      </c>
      <c r="F30" s="302">
        <v>8.1296191017623656E-2</v>
      </c>
      <c r="G30" s="302">
        <v>6.794734969761651E-2</v>
      </c>
      <c r="H30" s="303">
        <v>2.76991259386926E-3</v>
      </c>
    </row>
    <row r="31" spans="1:8" s="198" customFormat="1">
      <c r="A31" s="207" t="s">
        <v>199</v>
      </c>
      <c r="B31" s="196"/>
      <c r="C31" s="302">
        <v>0.17215661901802362</v>
      </c>
      <c r="D31" s="302">
        <v>8.8442841461502275E-2</v>
      </c>
      <c r="E31" s="302">
        <v>-1.54484919702311</v>
      </c>
      <c r="F31" s="302">
        <v>0.39491853079259875</v>
      </c>
      <c r="G31" s="302">
        <v>0.28074473297403235</v>
      </c>
      <c r="H31" s="303">
        <v>1.1152416356877323E-2</v>
      </c>
    </row>
    <row r="32" spans="1:8">
      <c r="A32" s="9"/>
      <c r="B32" s="12"/>
      <c r="C32" s="52"/>
      <c r="D32" s="52"/>
      <c r="E32" s="52"/>
      <c r="F32" s="52"/>
      <c r="G32" s="52"/>
      <c r="H32" s="82"/>
    </row>
    <row r="33" spans="1:230" s="161" customFormat="1" ht="28.25" customHeight="1">
      <c r="A33" s="194" t="s">
        <v>200</v>
      </c>
      <c r="B33" s="165"/>
      <c r="C33" s="166">
        <v>2019</v>
      </c>
      <c r="D33" s="166">
        <v>2020</v>
      </c>
      <c r="E33" s="166">
        <v>2021</v>
      </c>
      <c r="F33" s="166">
        <v>2022</v>
      </c>
      <c r="G33" s="166">
        <v>2023</v>
      </c>
      <c r="H33" s="167">
        <v>2024</v>
      </c>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c r="CM33" s="160"/>
      <c r="CN33" s="160"/>
      <c r="CO33" s="160"/>
      <c r="CP33" s="160"/>
      <c r="CQ33" s="160"/>
      <c r="CR33" s="160"/>
      <c r="CS33" s="160"/>
      <c r="CT33" s="160"/>
      <c r="CU33" s="160"/>
      <c r="CV33" s="160"/>
      <c r="CW33" s="160"/>
      <c r="CX33" s="160"/>
      <c r="CY33" s="160"/>
      <c r="CZ33" s="160"/>
      <c r="DA33" s="160"/>
      <c r="DB33" s="160"/>
      <c r="DC33" s="160"/>
      <c r="DD33" s="160"/>
      <c r="DE33" s="160"/>
      <c r="DF33" s="160"/>
      <c r="DG33" s="160"/>
      <c r="DH33" s="160"/>
      <c r="DI33" s="160"/>
      <c r="DJ33" s="160"/>
      <c r="DK33" s="160"/>
      <c r="DL33" s="160"/>
      <c r="DM33" s="160"/>
      <c r="DN33" s="160"/>
      <c r="DO33" s="160"/>
      <c r="DP33" s="160"/>
      <c r="DQ33" s="160"/>
      <c r="DR33" s="160"/>
      <c r="DS33" s="160"/>
      <c r="DT33" s="160"/>
      <c r="DU33" s="160"/>
      <c r="DV33" s="160"/>
      <c r="DW33" s="160"/>
      <c r="DX33" s="160"/>
      <c r="DY33" s="160"/>
      <c r="DZ33" s="160"/>
      <c r="EA33" s="160"/>
      <c r="EB33" s="160"/>
      <c r="EC33" s="160"/>
      <c r="ED33" s="160"/>
      <c r="EE33" s="160"/>
      <c r="EF33" s="160"/>
      <c r="EG33" s="160"/>
      <c r="EH33" s="160"/>
      <c r="EI33" s="160"/>
      <c r="EJ33" s="160"/>
      <c r="EK33" s="160"/>
      <c r="EL33" s="160"/>
      <c r="EM33" s="160"/>
      <c r="EN33" s="160"/>
      <c r="EO33" s="160"/>
      <c r="EP33" s="160"/>
      <c r="EQ33" s="160"/>
      <c r="ER33" s="160"/>
      <c r="ES33" s="160"/>
      <c r="ET33" s="160"/>
      <c r="EU33" s="160"/>
      <c r="EV33" s="160"/>
      <c r="EW33" s="160"/>
      <c r="EX33" s="160"/>
      <c r="EY33" s="160"/>
      <c r="EZ33" s="160"/>
      <c r="FA33" s="160"/>
      <c r="FB33" s="160"/>
      <c r="FC33" s="160"/>
      <c r="FD33" s="160"/>
      <c r="FE33" s="160"/>
      <c r="FF33" s="160"/>
      <c r="FG33" s="160"/>
      <c r="FH33" s="160"/>
      <c r="FI33" s="160"/>
      <c r="FJ33" s="160"/>
      <c r="FK33" s="160"/>
      <c r="FL33" s="160"/>
      <c r="FM33" s="160"/>
      <c r="FN33" s="160"/>
      <c r="FO33" s="160"/>
      <c r="FP33" s="160"/>
      <c r="FQ33" s="160"/>
      <c r="FR33" s="160"/>
      <c r="FS33" s="160"/>
      <c r="FT33" s="160"/>
      <c r="FU33" s="160"/>
      <c r="FV33" s="160"/>
      <c r="FW33" s="160"/>
      <c r="FX33" s="160"/>
      <c r="FY33" s="160"/>
      <c r="FZ33" s="160"/>
      <c r="GA33" s="160"/>
      <c r="GB33" s="160"/>
      <c r="GC33" s="160"/>
      <c r="GD33" s="160"/>
      <c r="GE33" s="160"/>
      <c r="GF33" s="160"/>
      <c r="GG33" s="160"/>
      <c r="GH33" s="160"/>
      <c r="GI33" s="160"/>
      <c r="GJ33" s="160"/>
      <c r="GK33" s="160"/>
      <c r="GL33" s="160"/>
      <c r="GM33" s="160"/>
      <c r="GN33" s="160"/>
      <c r="GO33" s="160"/>
      <c r="GP33" s="160"/>
      <c r="GQ33" s="160"/>
      <c r="GR33" s="160"/>
      <c r="GS33" s="160"/>
      <c r="GT33" s="160"/>
      <c r="GU33" s="160"/>
      <c r="GV33" s="160"/>
      <c r="GW33" s="160"/>
      <c r="GX33" s="160"/>
      <c r="GY33" s="160"/>
      <c r="GZ33" s="160"/>
      <c r="HA33" s="160"/>
      <c r="HB33" s="160"/>
      <c r="HC33" s="160"/>
      <c r="HD33" s="160"/>
      <c r="HE33" s="160"/>
      <c r="HF33" s="160"/>
      <c r="HG33" s="160"/>
      <c r="HH33" s="160"/>
      <c r="HI33" s="160"/>
      <c r="HJ33" s="160"/>
      <c r="HK33" s="160"/>
      <c r="HL33" s="160"/>
      <c r="HM33" s="160"/>
      <c r="HN33" s="160"/>
      <c r="HO33" s="160"/>
      <c r="HP33" s="160"/>
      <c r="HQ33" s="160"/>
      <c r="HR33" s="160"/>
      <c r="HS33" s="160"/>
      <c r="HT33" s="160"/>
      <c r="HU33" s="160"/>
      <c r="HV33" s="160"/>
    </row>
    <row r="34" spans="1:230" s="162" customFormat="1" ht="30">
      <c r="A34" s="150" t="s">
        <v>34</v>
      </c>
      <c r="B34" s="131"/>
      <c r="C34" s="131">
        <v>2019</v>
      </c>
      <c r="D34" s="131">
        <v>2020</v>
      </c>
      <c r="E34" s="131">
        <v>2021</v>
      </c>
      <c r="F34" s="131">
        <v>2022</v>
      </c>
      <c r="G34" s="131">
        <v>2023</v>
      </c>
      <c r="H34" s="131">
        <v>2024</v>
      </c>
    </row>
    <row r="35" spans="1:230">
      <c r="A35" s="151" t="s">
        <v>193</v>
      </c>
      <c r="B35" s="112"/>
      <c r="C35" s="113"/>
      <c r="D35" s="113"/>
      <c r="E35" s="113"/>
      <c r="F35" s="113"/>
      <c r="G35" s="113"/>
      <c r="H35" s="118"/>
    </row>
    <row r="36" spans="1:230">
      <c r="A36" s="152" t="s">
        <v>57</v>
      </c>
      <c r="B36" s="15"/>
      <c r="C36" s="45"/>
      <c r="D36" s="45"/>
      <c r="E36" s="45"/>
      <c r="F36" s="45"/>
      <c r="G36" s="45"/>
      <c r="H36" s="86"/>
    </row>
    <row r="37" spans="1:230" s="204" customFormat="1">
      <c r="A37" s="199" t="s">
        <v>121</v>
      </c>
      <c r="B37" s="200"/>
      <c r="C37" s="242">
        <v>1.4229740061162079</v>
      </c>
      <c r="D37" s="242">
        <v>1.1843478260869564</v>
      </c>
      <c r="E37" s="242">
        <v>1.154377450065335</v>
      </c>
      <c r="F37" s="242">
        <v>1.2477843426883308</v>
      </c>
      <c r="G37" s="242">
        <v>1.2040732359596791</v>
      </c>
      <c r="H37" s="243">
        <v>1.3435569285083848</v>
      </c>
    </row>
    <row r="38" spans="1:230" s="204" customFormat="1">
      <c r="A38" s="199" t="s">
        <v>123</v>
      </c>
      <c r="B38" s="200"/>
      <c r="C38" s="242">
        <v>0.41704892966360857</v>
      </c>
      <c r="D38" s="242">
        <v>0.28208695652173915</v>
      </c>
      <c r="E38" s="242">
        <v>0.44987866343102484</v>
      </c>
      <c r="F38" s="242">
        <v>0.43851550960118169</v>
      </c>
      <c r="G38" s="242">
        <v>0.32627031475005142</v>
      </c>
      <c r="H38" s="243">
        <v>0.38128861429832306</v>
      </c>
    </row>
    <row r="39" spans="1:230">
      <c r="A39" s="192"/>
      <c r="B39" s="12"/>
      <c r="C39" s="51"/>
      <c r="D39" s="51"/>
      <c r="E39" s="51"/>
      <c r="F39" s="51"/>
      <c r="G39" s="51"/>
      <c r="H39" s="78"/>
    </row>
    <row r="40" spans="1:230" s="161" customFormat="1" ht="40.25" customHeight="1">
      <c r="A40" s="193" t="s">
        <v>203</v>
      </c>
      <c r="B40" s="165"/>
      <c r="C40" s="166">
        <v>2019</v>
      </c>
      <c r="D40" s="166">
        <v>2020</v>
      </c>
      <c r="E40" s="166">
        <v>2021</v>
      </c>
      <c r="F40" s="166">
        <v>2022</v>
      </c>
      <c r="G40" s="166">
        <v>2023</v>
      </c>
      <c r="H40" s="167">
        <v>2024</v>
      </c>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0"/>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0"/>
      <c r="BQ40" s="160"/>
      <c r="BR40" s="160"/>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160"/>
      <c r="CV40" s="160"/>
      <c r="CW40" s="160"/>
      <c r="CX40" s="160"/>
      <c r="CY40" s="160"/>
      <c r="CZ40" s="160"/>
      <c r="DA40" s="160"/>
      <c r="DB40" s="160"/>
      <c r="DC40" s="160"/>
      <c r="DD40" s="160"/>
      <c r="DE40" s="160"/>
      <c r="DF40" s="160"/>
      <c r="DG40" s="160"/>
      <c r="DH40" s="160"/>
      <c r="DI40" s="160"/>
      <c r="DJ40" s="160"/>
      <c r="DK40" s="160"/>
      <c r="DL40" s="160"/>
      <c r="DM40" s="160"/>
      <c r="DN40" s="160"/>
      <c r="DO40" s="160"/>
      <c r="DP40" s="160"/>
      <c r="DQ40" s="160"/>
      <c r="DR40" s="160"/>
      <c r="DS40" s="160"/>
      <c r="DT40" s="160"/>
      <c r="DU40" s="160"/>
      <c r="DV40" s="160"/>
      <c r="DW40" s="160"/>
      <c r="DX40" s="160"/>
      <c r="DY40" s="160"/>
      <c r="DZ40" s="160"/>
      <c r="EA40" s="160"/>
      <c r="EB40" s="160"/>
      <c r="EC40" s="160"/>
      <c r="ED40" s="160"/>
      <c r="EE40" s="160"/>
      <c r="EF40" s="160"/>
      <c r="EG40" s="160"/>
      <c r="EH40" s="160"/>
      <c r="EI40" s="160"/>
      <c r="EJ40" s="160"/>
      <c r="EK40" s="160"/>
      <c r="EL40" s="160"/>
      <c r="EM40" s="160"/>
      <c r="EN40" s="160"/>
      <c r="EO40" s="160"/>
      <c r="EP40" s="160"/>
      <c r="EQ40" s="160"/>
      <c r="ER40" s="160"/>
      <c r="ES40" s="160"/>
      <c r="ET40" s="160"/>
      <c r="EU40" s="160"/>
      <c r="EV40" s="160"/>
      <c r="EW40" s="160"/>
      <c r="EX40" s="160"/>
      <c r="EY40" s="160"/>
      <c r="EZ40" s="160"/>
      <c r="FA40" s="160"/>
      <c r="FB40" s="160"/>
      <c r="FC40" s="160"/>
      <c r="FD40" s="160"/>
      <c r="FE40" s="160"/>
      <c r="FF40" s="160"/>
      <c r="FG40" s="160"/>
      <c r="FH40" s="160"/>
      <c r="FI40" s="160"/>
      <c r="FJ40" s="160"/>
      <c r="FK40" s="160"/>
      <c r="FL40" s="160"/>
      <c r="FM40" s="160"/>
      <c r="FN40" s="160"/>
      <c r="FO40" s="160"/>
      <c r="FP40" s="160"/>
      <c r="FQ40" s="160"/>
      <c r="FR40" s="160"/>
      <c r="FS40" s="160"/>
      <c r="FT40" s="160"/>
      <c r="FU40" s="160"/>
      <c r="FV40" s="160"/>
      <c r="FW40" s="160"/>
      <c r="FX40" s="160"/>
      <c r="FY40" s="160"/>
      <c r="FZ40" s="160"/>
      <c r="GA40" s="160"/>
      <c r="GB40" s="160"/>
      <c r="GC40" s="160"/>
      <c r="GD40" s="160"/>
      <c r="GE40" s="160"/>
      <c r="GF40" s="160"/>
      <c r="GG40" s="160"/>
      <c r="GH40" s="160"/>
      <c r="GI40" s="160"/>
      <c r="GJ40" s="160"/>
      <c r="GK40" s="160"/>
      <c r="GL40" s="160"/>
      <c r="GM40" s="160"/>
      <c r="GN40" s="160"/>
      <c r="GO40" s="160"/>
      <c r="GP40" s="160"/>
      <c r="GQ40" s="160"/>
      <c r="GR40" s="160"/>
      <c r="GS40" s="160"/>
      <c r="GT40" s="160"/>
      <c r="GU40" s="160"/>
      <c r="GV40" s="160"/>
      <c r="GW40" s="160"/>
      <c r="GX40" s="160"/>
      <c r="GY40" s="160"/>
      <c r="GZ40" s="160"/>
      <c r="HA40" s="160"/>
      <c r="HB40" s="160"/>
      <c r="HC40" s="160"/>
      <c r="HD40" s="160"/>
      <c r="HE40" s="160"/>
      <c r="HF40" s="160"/>
      <c r="HG40" s="160"/>
      <c r="HH40" s="160"/>
      <c r="HI40" s="160"/>
      <c r="HJ40" s="160"/>
      <c r="HK40" s="160"/>
      <c r="HL40" s="160"/>
      <c r="HM40" s="160"/>
      <c r="HN40" s="160"/>
      <c r="HO40" s="160"/>
      <c r="HP40" s="160"/>
      <c r="HQ40" s="160"/>
      <c r="HR40" s="160"/>
      <c r="HS40" s="160"/>
      <c r="HT40" s="160"/>
      <c r="HU40" s="160"/>
      <c r="HV40" s="160"/>
    </row>
    <row r="41" spans="1:230" s="162" customFormat="1" ht="30">
      <c r="A41" s="150" t="s">
        <v>34</v>
      </c>
      <c r="B41" s="131"/>
      <c r="C41" s="131">
        <v>2019</v>
      </c>
      <c r="D41" s="131">
        <v>2020</v>
      </c>
      <c r="E41" s="131">
        <v>2021</v>
      </c>
      <c r="F41" s="131">
        <v>2022</v>
      </c>
      <c r="G41" s="131">
        <v>2023</v>
      </c>
      <c r="H41" s="131">
        <v>2024</v>
      </c>
    </row>
    <row r="42" spans="1:230">
      <c r="A42" s="151" t="s">
        <v>193</v>
      </c>
      <c r="B42" s="112"/>
      <c r="C42" s="113"/>
      <c r="D42" s="113"/>
      <c r="E42" s="113"/>
      <c r="F42" s="113"/>
      <c r="G42" s="113"/>
      <c r="H42" s="118"/>
    </row>
    <row r="43" spans="1:230">
      <c r="A43" s="152" t="s">
        <v>57</v>
      </c>
      <c r="B43" s="15"/>
      <c r="C43" s="45"/>
      <c r="D43" s="45"/>
      <c r="E43" s="45"/>
      <c r="F43" s="45"/>
      <c r="G43" s="45"/>
      <c r="H43" s="86"/>
    </row>
    <row r="44" spans="1:230" s="204" customFormat="1">
      <c r="A44" s="199" t="s">
        <v>234</v>
      </c>
      <c r="B44" s="200"/>
      <c r="C44" s="242">
        <v>1.9822871348663766</v>
      </c>
      <c r="D44" s="242">
        <v>2.3200564528775285</v>
      </c>
      <c r="E44" s="242">
        <v>5.9353701527614575</v>
      </c>
      <c r="F44" s="242">
        <v>3.8577740955537143</v>
      </c>
      <c r="G44" s="242">
        <v>3.1317981381675648</v>
      </c>
      <c r="H44" s="243">
        <v>3.026270136307311</v>
      </c>
    </row>
    <row r="45" spans="1:230" s="204" customFormat="1">
      <c r="A45" s="199"/>
      <c r="B45" s="200"/>
      <c r="C45" s="242"/>
      <c r="D45" s="242"/>
      <c r="E45" s="242"/>
      <c r="F45" s="242"/>
      <c r="G45" s="242"/>
      <c r="H45" s="243"/>
    </row>
    <row r="46" spans="1:230" s="204" customFormat="1">
      <c r="A46" s="229" t="s">
        <v>235</v>
      </c>
      <c r="B46" s="200"/>
      <c r="C46" s="218">
        <v>19194</v>
      </c>
      <c r="D46" s="218">
        <v>21172</v>
      </c>
      <c r="E46" s="218">
        <v>17706</v>
      </c>
      <c r="F46" s="218">
        <v>17590</v>
      </c>
      <c r="G46" s="218">
        <v>16866</v>
      </c>
      <c r="H46" s="222">
        <v>16246</v>
      </c>
    </row>
    <row r="47" spans="1:230" s="204" customFormat="1">
      <c r="A47" s="229" t="s">
        <v>236</v>
      </c>
      <c r="B47" s="200"/>
      <c r="C47" s="218">
        <v>12758</v>
      </c>
      <c r="D47" s="218">
        <v>14795</v>
      </c>
      <c r="E47" s="218">
        <v>15153</v>
      </c>
      <c r="F47" s="218">
        <v>13969</v>
      </c>
      <c r="G47" s="218">
        <v>12784</v>
      </c>
      <c r="H47" s="222">
        <v>12211</v>
      </c>
    </row>
    <row r="48" spans="1:230" s="204" customFormat="1">
      <c r="A48" s="199"/>
      <c r="B48" s="200"/>
      <c r="C48" s="242"/>
      <c r="D48" s="242"/>
      <c r="E48" s="242"/>
      <c r="F48" s="242"/>
      <c r="G48" s="242"/>
      <c r="H48" s="243"/>
    </row>
    <row r="49" spans="1:230" s="204" customFormat="1">
      <c r="A49" s="199" t="s">
        <v>237</v>
      </c>
      <c r="B49" s="200"/>
      <c r="C49" s="311">
        <v>0.6646868813170782</v>
      </c>
      <c r="D49" s="311">
        <v>0.69880030228603818</v>
      </c>
      <c r="E49" s="311">
        <v>0.85581158929176548</v>
      </c>
      <c r="F49" s="311">
        <v>0.79414440022740196</v>
      </c>
      <c r="G49" s="311">
        <v>0.75797462350290523</v>
      </c>
      <c r="H49" s="312">
        <v>0.75163117074972297</v>
      </c>
    </row>
    <row r="50" spans="1:230" s="204" customFormat="1">
      <c r="A50" s="199" t="s">
        <v>131</v>
      </c>
      <c r="B50" s="200"/>
      <c r="C50" s="242">
        <v>-6.4915254237288131</v>
      </c>
      <c r="D50" s="242">
        <v>-6.2648648648648653</v>
      </c>
      <c r="E50" s="242">
        <v>3.2214285714285715</v>
      </c>
      <c r="F50" s="242">
        <v>-9.1529411764705877</v>
      </c>
      <c r="G50" s="242">
        <v>-10.123456790123457</v>
      </c>
      <c r="H50" s="243">
        <v>-9.3555555555555561</v>
      </c>
    </row>
    <row r="51" spans="1:230" s="204" customFormat="1">
      <c r="A51" s="313" t="s">
        <v>238</v>
      </c>
      <c r="B51" s="200"/>
      <c r="C51" s="242">
        <v>-1.1061371841155234</v>
      </c>
      <c r="D51" s="242">
        <v>-1.3732227488151658</v>
      </c>
      <c r="E51" s="242">
        <v>0.38845822566752797</v>
      </c>
      <c r="F51" s="242">
        <v>-0.78401074907625123</v>
      </c>
      <c r="G51" s="242">
        <v>-0.47632878303804821</v>
      </c>
      <c r="H51" s="243">
        <v>-1.1502732240437159</v>
      </c>
    </row>
    <row r="52" spans="1:230">
      <c r="A52" s="192"/>
      <c r="B52" s="12"/>
      <c r="C52" s="53"/>
      <c r="D52" s="50"/>
      <c r="E52" s="53"/>
      <c r="F52" s="53"/>
      <c r="G52" s="53"/>
      <c r="H52" s="83"/>
    </row>
    <row r="53" spans="1:230" s="161" customFormat="1" ht="40.25" customHeight="1">
      <c r="A53" s="193" t="s">
        <v>208</v>
      </c>
      <c r="B53" s="165"/>
      <c r="C53" s="166">
        <v>2019</v>
      </c>
      <c r="D53" s="166">
        <v>2020</v>
      </c>
      <c r="E53" s="166">
        <v>2021</v>
      </c>
      <c r="F53" s="166">
        <v>2022</v>
      </c>
      <c r="G53" s="166">
        <v>2023</v>
      </c>
      <c r="H53" s="167">
        <v>2024</v>
      </c>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160"/>
      <c r="AH53" s="160"/>
      <c r="AI53" s="160"/>
      <c r="AJ53" s="160"/>
      <c r="AK53" s="160"/>
      <c r="AL53" s="160"/>
      <c r="AM53" s="160"/>
      <c r="AN53" s="160"/>
      <c r="AO53" s="160"/>
      <c r="AP53" s="160"/>
      <c r="AQ53" s="160"/>
      <c r="AR53" s="160"/>
      <c r="AS53" s="160"/>
      <c r="AT53" s="160"/>
      <c r="AU53" s="160"/>
      <c r="AV53" s="160"/>
      <c r="AW53" s="160"/>
      <c r="AX53" s="160"/>
      <c r="AY53" s="160"/>
      <c r="AZ53" s="160"/>
      <c r="BA53" s="160"/>
      <c r="BB53" s="160"/>
      <c r="BC53" s="160"/>
      <c r="BD53" s="160"/>
      <c r="BE53" s="160"/>
      <c r="BF53" s="160"/>
      <c r="BG53" s="160"/>
      <c r="BH53" s="160"/>
      <c r="BI53" s="160"/>
      <c r="BJ53" s="160"/>
      <c r="BK53" s="160"/>
      <c r="BL53" s="160"/>
      <c r="BM53" s="160"/>
      <c r="BN53" s="160"/>
      <c r="BO53" s="160"/>
      <c r="BP53" s="160"/>
      <c r="BQ53" s="160"/>
      <c r="BR53" s="160"/>
      <c r="BS53" s="160"/>
      <c r="BT53" s="160"/>
      <c r="BU53" s="160"/>
      <c r="BV53" s="160"/>
      <c r="BW53" s="160"/>
      <c r="BX53" s="160"/>
      <c r="BY53" s="160"/>
      <c r="BZ53" s="160"/>
      <c r="CA53" s="160"/>
      <c r="CB53" s="160"/>
      <c r="CC53" s="160"/>
      <c r="CD53" s="160"/>
      <c r="CE53" s="160"/>
      <c r="CF53" s="160"/>
      <c r="CG53" s="160"/>
      <c r="CH53" s="160"/>
      <c r="CI53" s="160"/>
      <c r="CJ53" s="160"/>
      <c r="CK53" s="160"/>
      <c r="CL53" s="160"/>
      <c r="CM53" s="160"/>
      <c r="CN53" s="160"/>
      <c r="CO53" s="160"/>
      <c r="CP53" s="160"/>
      <c r="CQ53" s="160"/>
      <c r="CR53" s="160"/>
      <c r="CS53" s="160"/>
      <c r="CT53" s="160"/>
      <c r="CU53" s="160"/>
      <c r="CV53" s="160"/>
      <c r="CW53" s="160"/>
      <c r="CX53" s="160"/>
      <c r="CY53" s="160"/>
      <c r="CZ53" s="160"/>
      <c r="DA53" s="160"/>
      <c r="DB53" s="160"/>
      <c r="DC53" s="160"/>
      <c r="DD53" s="160"/>
      <c r="DE53" s="160"/>
      <c r="DF53" s="160"/>
      <c r="DG53" s="160"/>
      <c r="DH53" s="160"/>
      <c r="DI53" s="160"/>
      <c r="DJ53" s="160"/>
      <c r="DK53" s="160"/>
      <c r="DL53" s="160"/>
      <c r="DM53" s="160"/>
      <c r="DN53" s="160"/>
      <c r="DO53" s="160"/>
      <c r="DP53" s="160"/>
      <c r="DQ53" s="160"/>
      <c r="DR53" s="160"/>
      <c r="DS53" s="160"/>
      <c r="DT53" s="160"/>
      <c r="DU53" s="160"/>
      <c r="DV53" s="160"/>
      <c r="DW53" s="160"/>
      <c r="DX53" s="160"/>
      <c r="DY53" s="160"/>
      <c r="DZ53" s="160"/>
      <c r="EA53" s="160"/>
      <c r="EB53" s="160"/>
      <c r="EC53" s="160"/>
      <c r="ED53" s="160"/>
      <c r="EE53" s="160"/>
      <c r="EF53" s="160"/>
      <c r="EG53" s="160"/>
      <c r="EH53" s="160"/>
      <c r="EI53" s="160"/>
      <c r="EJ53" s="160"/>
      <c r="EK53" s="160"/>
      <c r="EL53" s="160"/>
      <c r="EM53" s="160"/>
      <c r="EN53" s="160"/>
      <c r="EO53" s="160"/>
      <c r="EP53" s="160"/>
      <c r="EQ53" s="160"/>
      <c r="ER53" s="160"/>
      <c r="ES53" s="160"/>
      <c r="ET53" s="160"/>
      <c r="EU53" s="160"/>
      <c r="EV53" s="160"/>
      <c r="EW53" s="160"/>
      <c r="EX53" s="160"/>
      <c r="EY53" s="160"/>
      <c r="EZ53" s="160"/>
      <c r="FA53" s="160"/>
      <c r="FB53" s="160"/>
      <c r="FC53" s="160"/>
      <c r="FD53" s="160"/>
      <c r="FE53" s="160"/>
      <c r="FF53" s="160"/>
      <c r="FG53" s="160"/>
      <c r="FH53" s="160"/>
      <c r="FI53" s="160"/>
      <c r="FJ53" s="160"/>
      <c r="FK53" s="160"/>
      <c r="FL53" s="160"/>
      <c r="FM53" s="160"/>
      <c r="FN53" s="160"/>
      <c r="FO53" s="160"/>
      <c r="FP53" s="160"/>
      <c r="FQ53" s="160"/>
      <c r="FR53" s="160"/>
      <c r="FS53" s="160"/>
      <c r="FT53" s="160"/>
      <c r="FU53" s="160"/>
      <c r="FV53" s="160"/>
      <c r="FW53" s="160"/>
      <c r="FX53" s="160"/>
      <c r="FY53" s="160"/>
      <c r="FZ53" s="160"/>
      <c r="GA53" s="160"/>
      <c r="GB53" s="160"/>
      <c r="GC53" s="160"/>
      <c r="GD53" s="160"/>
      <c r="GE53" s="160"/>
      <c r="GF53" s="160"/>
      <c r="GG53" s="160"/>
      <c r="GH53" s="160"/>
      <c r="GI53" s="160"/>
      <c r="GJ53" s="160"/>
      <c r="GK53" s="160"/>
      <c r="GL53" s="160"/>
      <c r="GM53" s="160"/>
      <c r="GN53" s="160"/>
      <c r="GO53" s="160"/>
      <c r="GP53" s="160"/>
      <c r="GQ53" s="160"/>
      <c r="GR53" s="160"/>
      <c r="GS53" s="160"/>
      <c r="GT53" s="160"/>
      <c r="GU53" s="160"/>
      <c r="GV53" s="160"/>
      <c r="GW53" s="160"/>
      <c r="GX53" s="160"/>
      <c r="GY53" s="160"/>
      <c r="GZ53" s="160"/>
      <c r="HA53" s="160"/>
      <c r="HB53" s="160"/>
      <c r="HC53" s="160"/>
      <c r="HD53" s="160"/>
      <c r="HE53" s="160"/>
      <c r="HF53" s="160"/>
      <c r="HG53" s="160"/>
      <c r="HH53" s="160"/>
      <c r="HI53" s="160"/>
      <c r="HJ53" s="160"/>
      <c r="HK53" s="160"/>
      <c r="HL53" s="160"/>
      <c r="HM53" s="160"/>
      <c r="HN53" s="160"/>
      <c r="HO53" s="160"/>
      <c r="HP53" s="160"/>
      <c r="HQ53" s="160"/>
      <c r="HR53" s="160"/>
      <c r="HS53" s="160"/>
      <c r="HT53" s="160"/>
      <c r="HU53" s="160"/>
      <c r="HV53" s="160"/>
    </row>
    <row r="54" spans="1:230" s="162" customFormat="1" ht="30">
      <c r="A54" s="150" t="s">
        <v>34</v>
      </c>
      <c r="B54" s="131"/>
      <c r="C54" s="131">
        <v>2019</v>
      </c>
      <c r="D54" s="131">
        <v>2020</v>
      </c>
      <c r="E54" s="131">
        <v>2021</v>
      </c>
      <c r="F54" s="131">
        <v>2022</v>
      </c>
      <c r="G54" s="131">
        <v>2023</v>
      </c>
      <c r="H54" s="131">
        <v>2024</v>
      </c>
    </row>
    <row r="55" spans="1:230">
      <c r="A55" s="151" t="s">
        <v>193</v>
      </c>
      <c r="B55" s="112"/>
      <c r="C55" s="113"/>
      <c r="D55" s="113"/>
      <c r="E55" s="113"/>
      <c r="F55" s="113"/>
      <c r="G55" s="113"/>
      <c r="H55" s="118"/>
    </row>
    <row r="56" spans="1:230">
      <c r="A56" s="152" t="s">
        <v>57</v>
      </c>
      <c r="B56" s="15"/>
      <c r="C56" s="45"/>
      <c r="D56" s="45"/>
      <c r="E56" s="45"/>
      <c r="F56" s="45"/>
      <c r="G56" s="45"/>
      <c r="H56" s="86"/>
    </row>
    <row r="57" spans="1:230" s="295" customFormat="1">
      <c r="A57" s="296" t="s">
        <v>140</v>
      </c>
      <c r="B57" s="294"/>
      <c r="C57" s="249">
        <v>1.3409919766593728</v>
      </c>
      <c r="D57" s="249">
        <v>1.2465441212901947</v>
      </c>
      <c r="E57" s="249">
        <v>0.93096352693039763</v>
      </c>
      <c r="F57" s="249">
        <v>1.4391999093381687</v>
      </c>
      <c r="G57" s="249">
        <v>1.4771882981193407</v>
      </c>
      <c r="H57" s="250">
        <v>1.4415317709591688</v>
      </c>
    </row>
    <row r="58" spans="1:230" s="295" customFormat="1">
      <c r="A58" s="296" t="s">
        <v>141</v>
      </c>
      <c r="B58" s="294"/>
      <c r="C58" s="297">
        <v>2.8911267338020141</v>
      </c>
      <c r="D58" s="297">
        <v>2.9030714764137402</v>
      </c>
      <c r="E58" s="297">
        <v>2.7417987056460613</v>
      </c>
      <c r="F58" s="297">
        <v>3.6670344489395612</v>
      </c>
      <c r="G58" s="297">
        <v>3.5391907514450867</v>
      </c>
      <c r="H58" s="298">
        <v>3.2969401947148818</v>
      </c>
    </row>
    <row r="59" spans="1:230" s="204" customFormat="1">
      <c r="A59" s="199" t="s">
        <v>239</v>
      </c>
      <c r="B59" s="200"/>
      <c r="C59" s="228">
        <v>64.347499999999997</v>
      </c>
      <c r="D59" s="228">
        <v>62.197775030902349</v>
      </c>
      <c r="E59" s="228">
        <v>52.837956204379559</v>
      </c>
      <c r="F59" s="228">
        <v>88.652705061082031</v>
      </c>
      <c r="G59" s="228">
        <v>85.256281407035175</v>
      </c>
      <c r="H59" s="254">
        <v>80.492411467116355</v>
      </c>
    </row>
    <row r="60" spans="1:230" s="204" customFormat="1">
      <c r="A60" s="261" t="s">
        <v>240</v>
      </c>
      <c r="B60" s="200"/>
      <c r="C60" s="300">
        <v>5.7680060652009102</v>
      </c>
      <c r="D60" s="300">
        <v>5.727770436095903</v>
      </c>
      <c r="E60" s="300">
        <v>4.4554850407978241</v>
      </c>
      <c r="F60" s="300">
        <v>4.8748370273794004</v>
      </c>
      <c r="G60" s="300">
        <v>4.9746506337341563</v>
      </c>
      <c r="H60" s="301">
        <v>5.1402240693892303</v>
      </c>
    </row>
    <row r="61" spans="1:230" s="204" customFormat="1">
      <c r="A61" s="261"/>
      <c r="B61" s="200"/>
      <c r="C61" s="300"/>
      <c r="D61" s="300"/>
      <c r="E61" s="300"/>
      <c r="F61" s="300"/>
      <c r="G61" s="300"/>
      <c r="H61" s="301"/>
    </row>
    <row r="62" spans="1:230" s="204" customFormat="1">
      <c r="A62" s="229"/>
      <c r="B62" s="200"/>
      <c r="C62" s="202"/>
      <c r="D62" s="202"/>
      <c r="E62" s="202"/>
      <c r="F62" s="202"/>
      <c r="G62" s="202"/>
      <c r="H62" s="203"/>
    </row>
    <row r="63" spans="1:230" s="204" customFormat="1">
      <c r="A63" s="199" t="s">
        <v>241</v>
      </c>
      <c r="B63" s="200"/>
      <c r="C63" s="228">
        <v>5.6723260421927817</v>
      </c>
      <c r="D63" s="228">
        <v>5.8683771215072138</v>
      </c>
      <c r="E63" s="228">
        <v>6.9079129137426101</v>
      </c>
      <c r="F63" s="228">
        <v>4.1171896531359495</v>
      </c>
      <c r="G63" s="228">
        <v>4.2812094777790879</v>
      </c>
      <c r="H63" s="254">
        <v>4.5345889549987435</v>
      </c>
    </row>
    <row r="64" spans="1:230" s="204" customFormat="1">
      <c r="A64" s="199" t="s">
        <v>242</v>
      </c>
      <c r="B64" s="221"/>
      <c r="C64" s="249">
        <v>126.24835699263933</v>
      </c>
      <c r="D64" s="249">
        <v>125.72890573500329</v>
      </c>
      <c r="E64" s="249">
        <v>133.12428780726029</v>
      </c>
      <c r="F64" s="249">
        <v>99.535470714094686</v>
      </c>
      <c r="G64" s="249">
        <v>103.13092049389169</v>
      </c>
      <c r="H64" s="250">
        <v>110.70871124235393</v>
      </c>
      <c r="J64" s="67"/>
    </row>
    <row r="65" spans="1:230" s="204" customFormat="1">
      <c r="A65" s="261" t="s">
        <v>243</v>
      </c>
      <c r="B65" s="221"/>
      <c r="C65" s="228">
        <v>63.280099894847524</v>
      </c>
      <c r="D65" s="228">
        <v>63.724620962425846</v>
      </c>
      <c r="E65" s="228">
        <v>81.921496011720663</v>
      </c>
      <c r="F65" s="228">
        <v>74.874297940625823</v>
      </c>
      <c r="G65" s="228">
        <v>73.371986672764095</v>
      </c>
      <c r="H65" s="254">
        <v>71.008577655909448</v>
      </c>
      <c r="J65" s="67"/>
    </row>
    <row r="66" spans="1:230" s="204" customFormat="1">
      <c r="A66" s="261"/>
      <c r="B66" s="221"/>
      <c r="C66" s="228"/>
      <c r="D66" s="228"/>
      <c r="E66" s="228"/>
      <c r="F66" s="228"/>
      <c r="G66" s="228"/>
      <c r="H66" s="254"/>
      <c r="J66" s="67"/>
    </row>
    <row r="67" spans="1:230" s="204" customFormat="1">
      <c r="A67" s="199" t="s">
        <v>154</v>
      </c>
      <c r="B67" s="205"/>
      <c r="C67" s="228">
        <v>68.640583139984585</v>
      </c>
      <c r="D67" s="228">
        <v>67.872661894084658</v>
      </c>
      <c r="E67" s="228">
        <v>58.110704709282246</v>
      </c>
      <c r="F67" s="228">
        <v>28.778362426604815</v>
      </c>
      <c r="G67" s="228">
        <v>34.040143298906685</v>
      </c>
      <c r="H67" s="254">
        <v>44.234722541443219</v>
      </c>
    </row>
    <row r="68" spans="1:230">
      <c r="A68" s="192"/>
      <c r="B68" s="15"/>
      <c r="C68" s="52"/>
      <c r="D68" s="52"/>
      <c r="E68" s="52"/>
      <c r="F68" s="52"/>
      <c r="G68" s="52"/>
      <c r="H68" s="82"/>
    </row>
    <row r="69" spans="1:230" s="161" customFormat="1" ht="40.25" customHeight="1">
      <c r="A69" s="193" t="s">
        <v>224</v>
      </c>
      <c r="B69" s="165"/>
      <c r="C69" s="166">
        <v>2019</v>
      </c>
      <c r="D69" s="166">
        <v>2020</v>
      </c>
      <c r="E69" s="166">
        <v>2021</v>
      </c>
      <c r="F69" s="166">
        <v>2022</v>
      </c>
      <c r="G69" s="166">
        <v>2023</v>
      </c>
      <c r="H69" s="167">
        <v>2024</v>
      </c>
      <c r="I69" s="160"/>
      <c r="J69" s="160"/>
      <c r="K69" s="160"/>
      <c r="L69" s="16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c r="AQ69" s="160"/>
      <c r="AR69" s="160"/>
      <c r="AS69" s="160"/>
      <c r="AT69" s="160"/>
      <c r="AU69" s="160"/>
      <c r="AV69" s="160"/>
      <c r="AW69" s="160"/>
      <c r="AX69" s="160"/>
      <c r="AY69" s="160"/>
      <c r="AZ69" s="160"/>
      <c r="BA69" s="160"/>
      <c r="BB69" s="160"/>
      <c r="BC69" s="160"/>
      <c r="BD69" s="160"/>
      <c r="BE69" s="160"/>
      <c r="BF69" s="160"/>
      <c r="BG69" s="160"/>
      <c r="BH69" s="160"/>
      <c r="BI69" s="160"/>
      <c r="BJ69" s="160"/>
      <c r="BK69" s="160"/>
      <c r="BL69" s="160"/>
      <c r="BM69" s="160"/>
      <c r="BN69" s="160"/>
      <c r="BO69" s="160"/>
      <c r="BP69" s="160"/>
      <c r="BQ69" s="160"/>
      <c r="BR69" s="160"/>
      <c r="BS69" s="160"/>
      <c r="BT69" s="160"/>
      <c r="BU69" s="160"/>
      <c r="BV69" s="160"/>
      <c r="BW69" s="160"/>
      <c r="BX69" s="160"/>
      <c r="BY69" s="160"/>
      <c r="BZ69" s="160"/>
      <c r="CA69" s="160"/>
      <c r="CB69" s="160"/>
      <c r="CC69" s="160"/>
      <c r="CD69" s="160"/>
      <c r="CE69" s="160"/>
      <c r="CF69" s="160"/>
      <c r="CG69" s="160"/>
      <c r="CH69" s="160"/>
      <c r="CI69" s="160"/>
      <c r="CJ69" s="160"/>
      <c r="CK69" s="160"/>
      <c r="CL69" s="160"/>
      <c r="CM69" s="160"/>
      <c r="CN69" s="160"/>
      <c r="CO69" s="160"/>
      <c r="CP69" s="160"/>
      <c r="CQ69" s="160"/>
      <c r="CR69" s="160"/>
      <c r="CS69" s="160"/>
      <c r="CT69" s="160"/>
      <c r="CU69" s="160"/>
      <c r="CV69" s="160"/>
      <c r="CW69" s="160"/>
      <c r="CX69" s="160"/>
      <c r="CY69" s="160"/>
      <c r="CZ69" s="160"/>
      <c r="DA69" s="160"/>
      <c r="DB69" s="160"/>
      <c r="DC69" s="160"/>
      <c r="DD69" s="160"/>
      <c r="DE69" s="160"/>
      <c r="DF69" s="160"/>
      <c r="DG69" s="160"/>
      <c r="DH69" s="160"/>
      <c r="DI69" s="160"/>
      <c r="DJ69" s="160"/>
      <c r="DK69" s="160"/>
      <c r="DL69" s="160"/>
      <c r="DM69" s="160"/>
      <c r="DN69" s="160"/>
      <c r="DO69" s="160"/>
      <c r="DP69" s="160"/>
      <c r="DQ69" s="160"/>
      <c r="DR69" s="160"/>
      <c r="DS69" s="160"/>
      <c r="DT69" s="160"/>
      <c r="DU69" s="160"/>
      <c r="DV69" s="160"/>
      <c r="DW69" s="160"/>
      <c r="DX69" s="160"/>
      <c r="DY69" s="160"/>
      <c r="DZ69" s="160"/>
      <c r="EA69" s="160"/>
      <c r="EB69" s="160"/>
      <c r="EC69" s="160"/>
      <c r="ED69" s="160"/>
      <c r="EE69" s="160"/>
      <c r="EF69" s="160"/>
      <c r="EG69" s="160"/>
      <c r="EH69" s="160"/>
      <c r="EI69" s="160"/>
      <c r="EJ69" s="160"/>
      <c r="EK69" s="160"/>
      <c r="EL69" s="160"/>
      <c r="EM69" s="160"/>
      <c r="EN69" s="160"/>
      <c r="EO69" s="160"/>
      <c r="EP69" s="160"/>
      <c r="EQ69" s="160"/>
      <c r="ER69" s="160"/>
      <c r="ES69" s="160"/>
      <c r="ET69" s="160"/>
      <c r="EU69" s="160"/>
      <c r="EV69" s="160"/>
      <c r="EW69" s="160"/>
      <c r="EX69" s="160"/>
      <c r="EY69" s="160"/>
      <c r="EZ69" s="160"/>
      <c r="FA69" s="160"/>
      <c r="FB69" s="160"/>
      <c r="FC69" s="160"/>
      <c r="FD69" s="160"/>
      <c r="FE69" s="160"/>
      <c r="FF69" s="160"/>
      <c r="FG69" s="160"/>
      <c r="FH69" s="160"/>
      <c r="FI69" s="160"/>
      <c r="FJ69" s="160"/>
      <c r="FK69" s="160"/>
      <c r="FL69" s="160"/>
      <c r="FM69" s="160"/>
      <c r="FN69" s="160"/>
      <c r="FO69" s="160"/>
      <c r="FP69" s="160"/>
      <c r="FQ69" s="160"/>
      <c r="FR69" s="160"/>
      <c r="FS69" s="160"/>
      <c r="FT69" s="160"/>
      <c r="FU69" s="160"/>
      <c r="FV69" s="160"/>
      <c r="FW69" s="160"/>
      <c r="FX69" s="160"/>
      <c r="FY69" s="160"/>
      <c r="FZ69" s="160"/>
      <c r="GA69" s="160"/>
      <c r="GB69" s="160"/>
      <c r="GC69" s="160"/>
      <c r="GD69" s="160"/>
      <c r="GE69" s="160"/>
      <c r="GF69" s="160"/>
      <c r="GG69" s="160"/>
      <c r="GH69" s="160"/>
      <c r="GI69" s="160"/>
      <c r="GJ69" s="160"/>
      <c r="GK69" s="160"/>
      <c r="GL69" s="160"/>
      <c r="GM69" s="160"/>
      <c r="GN69" s="160"/>
      <c r="GO69" s="160"/>
      <c r="GP69" s="160"/>
      <c r="GQ69" s="160"/>
      <c r="GR69" s="160"/>
      <c r="GS69" s="160"/>
      <c r="GT69" s="160"/>
      <c r="GU69" s="160"/>
      <c r="GV69" s="160"/>
      <c r="GW69" s="160"/>
      <c r="GX69" s="160"/>
      <c r="GY69" s="160"/>
      <c r="GZ69" s="160"/>
      <c r="HA69" s="160"/>
      <c r="HB69" s="160"/>
      <c r="HC69" s="160"/>
      <c r="HD69" s="160"/>
      <c r="HE69" s="160"/>
      <c r="HF69" s="160"/>
      <c r="HG69" s="160"/>
      <c r="HH69" s="160"/>
      <c r="HI69" s="160"/>
      <c r="HJ69" s="160"/>
      <c r="HK69" s="160"/>
      <c r="HL69" s="160"/>
      <c r="HM69" s="160"/>
      <c r="HN69" s="160"/>
      <c r="HO69" s="160"/>
      <c r="HP69" s="160"/>
      <c r="HQ69" s="160"/>
      <c r="HR69" s="160"/>
      <c r="HS69" s="160"/>
      <c r="HT69" s="160"/>
      <c r="HU69" s="160"/>
      <c r="HV69" s="160"/>
    </row>
    <row r="70" spans="1:230" s="162" customFormat="1" ht="30">
      <c r="A70" s="150" t="s">
        <v>34</v>
      </c>
      <c r="B70" s="131"/>
      <c r="C70" s="131">
        <v>2019</v>
      </c>
      <c r="D70" s="131">
        <v>2020</v>
      </c>
      <c r="E70" s="131">
        <v>2021</v>
      </c>
      <c r="F70" s="131">
        <v>2022</v>
      </c>
      <c r="G70" s="131">
        <v>2023</v>
      </c>
      <c r="H70" s="131">
        <v>2024</v>
      </c>
    </row>
    <row r="71" spans="1:230">
      <c r="A71" s="151" t="s">
        <v>193</v>
      </c>
      <c r="B71" s="112"/>
      <c r="C71" s="113"/>
      <c r="D71" s="113"/>
      <c r="E71" s="113"/>
      <c r="F71" s="113"/>
      <c r="G71" s="113"/>
      <c r="H71" s="118"/>
    </row>
    <row r="72" spans="1:230">
      <c r="A72" s="152" t="s">
        <v>57</v>
      </c>
      <c r="B72" s="15"/>
      <c r="C72" s="45"/>
      <c r="D72" s="45"/>
      <c r="E72" s="45"/>
      <c r="F72" s="45"/>
      <c r="G72" s="45"/>
      <c r="H72" s="86"/>
    </row>
    <row r="73" spans="1:230" s="67" customFormat="1">
      <c r="A73" s="216" t="s">
        <v>244</v>
      </c>
      <c r="B73" s="217"/>
      <c r="C73" s="218">
        <v>1735</v>
      </c>
      <c r="D73" s="218">
        <v>1608</v>
      </c>
      <c r="E73" s="218">
        <v>649</v>
      </c>
      <c r="F73" s="218">
        <v>2712</v>
      </c>
      <c r="G73" s="218">
        <v>1615</v>
      </c>
      <c r="H73" s="222">
        <v>1305</v>
      </c>
    </row>
    <row r="74" spans="1:230" s="67" customFormat="1">
      <c r="A74" s="216" t="s">
        <v>245</v>
      </c>
      <c r="B74" s="217"/>
      <c r="C74" s="218">
        <v>-456</v>
      </c>
      <c r="D74" s="218">
        <v>-1002</v>
      </c>
      <c r="E74" s="218">
        <v>-325</v>
      </c>
      <c r="F74" s="218">
        <v>-370</v>
      </c>
      <c r="G74" s="218">
        <v>-1169</v>
      </c>
      <c r="H74" s="222">
        <v>-913</v>
      </c>
    </row>
    <row r="75" spans="1:230" s="67" customFormat="1" ht="20.25">
      <c r="A75" s="219" t="s">
        <v>246</v>
      </c>
      <c r="B75" s="217"/>
      <c r="C75" s="218">
        <v>-1544</v>
      </c>
      <c r="D75" s="218">
        <v>-1123</v>
      </c>
      <c r="E75" s="218">
        <v>699</v>
      </c>
      <c r="F75" s="218">
        <v>-2381</v>
      </c>
      <c r="G75" s="218">
        <v>-1296</v>
      </c>
      <c r="H75" s="222">
        <v>-220</v>
      </c>
    </row>
    <row r="76" spans="1:230" s="67" customFormat="1">
      <c r="A76" s="219"/>
      <c r="B76" s="217"/>
      <c r="C76" s="218"/>
      <c r="D76" s="218"/>
      <c r="E76" s="218"/>
      <c r="F76" s="218"/>
      <c r="G76" s="218"/>
      <c r="H76" s="222"/>
    </row>
    <row r="77" spans="1:230" s="204" customFormat="1">
      <c r="A77" s="199" t="s">
        <v>247</v>
      </c>
      <c r="B77" s="200"/>
      <c r="C77" s="218">
        <v>1078</v>
      </c>
      <c r="D77" s="218">
        <v>706</v>
      </c>
      <c r="E77" s="218">
        <v>311</v>
      </c>
      <c r="F77" s="218">
        <v>2358</v>
      </c>
      <c r="G77" s="218">
        <v>727</v>
      </c>
      <c r="H77" s="218">
        <v>674</v>
      </c>
    </row>
    <row r="78" spans="1:230" s="204" customFormat="1">
      <c r="A78" s="199"/>
      <c r="B78" s="200"/>
      <c r="C78" s="201"/>
      <c r="D78" s="201"/>
      <c r="E78" s="201"/>
      <c r="F78" s="201"/>
      <c r="G78" s="201"/>
      <c r="H78" s="206"/>
    </row>
    <row r="79" spans="1:230" s="204" customFormat="1">
      <c r="A79" s="199" t="s">
        <v>229</v>
      </c>
      <c r="B79" s="200"/>
      <c r="C79" s="248">
        <v>0.2931752569842197</v>
      </c>
      <c r="D79" s="248">
        <v>0.19200531672621438</v>
      </c>
      <c r="E79" s="248">
        <v>8.4580245753332395E-2</v>
      </c>
      <c r="F79" s="248">
        <v>0.64128687937735629</v>
      </c>
      <c r="G79" s="248">
        <v>0.19771652303110177</v>
      </c>
      <c r="H79" s="304">
        <v>0.18330252616638598</v>
      </c>
    </row>
    <row r="80" spans="1:230" s="204" customFormat="1">
      <c r="A80" s="199" t="s">
        <v>230</v>
      </c>
      <c r="B80" s="200"/>
      <c r="C80" s="305">
        <v>0.13599310236714218</v>
      </c>
      <c r="D80" s="305">
        <v>0.10868536667793173</v>
      </c>
      <c r="E80" s="305">
        <v>4.2829802679337427E-2</v>
      </c>
      <c r="F80" s="305">
        <v>0.19414417639057913</v>
      </c>
      <c r="G80" s="305">
        <v>0.12632978723404256</v>
      </c>
      <c r="H80" s="306">
        <v>0.10687085414789943</v>
      </c>
    </row>
    <row r="81" spans="1:8">
      <c r="A81" s="192"/>
      <c r="B81" s="188"/>
      <c r="C81" s="189"/>
      <c r="D81" s="189"/>
      <c r="E81" s="189"/>
      <c r="F81" s="189"/>
      <c r="G81" s="189"/>
      <c r="H81" s="214"/>
    </row>
    <row r="82" spans="1:8" ht="35.65">
      <c r="A82" s="193" t="s">
        <v>248</v>
      </c>
      <c r="B82" s="165"/>
      <c r="C82" s="166">
        <v>2019</v>
      </c>
      <c r="D82" s="166">
        <v>2020</v>
      </c>
      <c r="E82" s="166">
        <v>2021</v>
      </c>
      <c r="F82" s="166">
        <v>2022</v>
      </c>
      <c r="G82" s="166">
        <v>2023</v>
      </c>
      <c r="H82" s="167">
        <v>2024</v>
      </c>
    </row>
    <row r="83" spans="1:8" ht="30">
      <c r="A83" s="150" t="s">
        <v>34</v>
      </c>
      <c r="B83" s="131"/>
      <c r="C83" s="131">
        <v>2019</v>
      </c>
      <c r="D83" s="131">
        <v>2020</v>
      </c>
      <c r="E83" s="131">
        <v>2021</v>
      </c>
      <c r="F83" s="131">
        <v>2022</v>
      </c>
      <c r="G83" s="131">
        <v>2023</v>
      </c>
      <c r="H83" s="131">
        <v>2024</v>
      </c>
    </row>
    <row r="84" spans="1:8">
      <c r="A84" s="151" t="s">
        <v>193</v>
      </c>
      <c r="B84" s="112"/>
      <c r="C84" s="113"/>
      <c r="D84" s="113"/>
      <c r="E84" s="113"/>
      <c r="F84" s="113"/>
      <c r="G84" s="113"/>
      <c r="H84" s="118"/>
    </row>
    <row r="85" spans="1:8" ht="13.15">
      <c r="A85" s="309" t="s">
        <v>249</v>
      </c>
      <c r="B85" s="15"/>
      <c r="C85" s="45"/>
      <c r="D85" s="45"/>
      <c r="E85" s="45"/>
      <c r="F85" s="45"/>
      <c r="G85" s="45"/>
      <c r="H85" s="86"/>
    </row>
    <row r="86" spans="1:8">
      <c r="A86" s="216" t="s">
        <v>250</v>
      </c>
      <c r="B86" s="217"/>
      <c r="C86" s="218"/>
      <c r="D86" s="218"/>
      <c r="E86" s="218"/>
      <c r="F86" s="218"/>
      <c r="G86" s="218"/>
      <c r="H86" s="222"/>
    </row>
    <row r="87" spans="1:8" ht="12.75">
      <c r="A87" s="251" t="s">
        <v>251</v>
      </c>
      <c r="B87" s="217"/>
      <c r="C87" s="218">
        <v>9457</v>
      </c>
      <c r="D87" s="218">
        <v>9454</v>
      </c>
      <c r="E87" s="218">
        <v>7206</v>
      </c>
      <c r="F87" s="218">
        <v>10119</v>
      </c>
      <c r="G87" s="218">
        <v>9597</v>
      </c>
      <c r="H87" s="222">
        <v>9520</v>
      </c>
    </row>
    <row r="88" spans="1:8" ht="12.75">
      <c r="A88" s="251" t="s">
        <v>252</v>
      </c>
      <c r="B88" s="217"/>
      <c r="C88" s="218">
        <v>5699</v>
      </c>
      <c r="D88" s="218">
        <v>5628</v>
      </c>
      <c r="E88" s="218">
        <v>3486</v>
      </c>
      <c r="F88" s="218">
        <v>5252</v>
      </c>
      <c r="G88" s="218">
        <v>5297</v>
      </c>
      <c r="H88" s="222">
        <v>4918</v>
      </c>
    </row>
    <row r="89" spans="1:8" ht="12.75">
      <c r="A89" s="251" t="s">
        <v>253</v>
      </c>
      <c r="B89" s="217"/>
      <c r="C89" s="218">
        <v>5642</v>
      </c>
      <c r="D89" s="218">
        <v>5411</v>
      </c>
      <c r="E89" s="218">
        <v>2909</v>
      </c>
      <c r="F89" s="218">
        <v>4433</v>
      </c>
      <c r="G89" s="218">
        <v>5349</v>
      </c>
      <c r="H89" s="222">
        <v>4861</v>
      </c>
    </row>
    <row r="90" spans="1:8" ht="12.75">
      <c r="A90" s="251" t="s">
        <v>254</v>
      </c>
      <c r="B90" s="200"/>
      <c r="C90" s="218">
        <v>4173</v>
      </c>
      <c r="D90" s="218">
        <v>4067</v>
      </c>
      <c r="E90" s="218">
        <v>3745</v>
      </c>
      <c r="F90" s="218">
        <v>4656</v>
      </c>
      <c r="G90" s="218">
        <v>4199</v>
      </c>
      <c r="H90" s="222">
        <v>3793</v>
      </c>
    </row>
    <row r="91" spans="1:8" ht="12.75">
      <c r="A91" s="252" t="s">
        <v>255</v>
      </c>
      <c r="B91" s="200"/>
      <c r="C91" s="218">
        <v>768</v>
      </c>
      <c r="D91" s="218">
        <v>771</v>
      </c>
      <c r="E91" s="218">
        <v>751</v>
      </c>
      <c r="F91" s="218">
        <v>832</v>
      </c>
      <c r="G91" s="218">
        <v>863</v>
      </c>
      <c r="H91" s="222">
        <v>619</v>
      </c>
    </row>
    <row r="92" spans="1:8" ht="12.75">
      <c r="A92" s="253" t="s">
        <v>256</v>
      </c>
      <c r="B92" s="200"/>
      <c r="C92" s="67" t="s">
        <v>47</v>
      </c>
      <c r="D92" s="67" t="s">
        <v>47</v>
      </c>
      <c r="E92" s="67" t="s">
        <v>47</v>
      </c>
      <c r="F92" s="67" t="s">
        <v>47</v>
      </c>
      <c r="G92" s="67">
        <v>144</v>
      </c>
      <c r="H92" s="146">
        <v>155</v>
      </c>
    </row>
    <row r="93" spans="1:8">
      <c r="A93" s="153"/>
      <c r="B93" s="12"/>
      <c r="C93" s="51"/>
      <c r="D93" s="51"/>
      <c r="E93" s="51"/>
      <c r="F93" s="51"/>
      <c r="G93" s="51"/>
      <c r="H93" s="78"/>
    </row>
    <row r="94" spans="1:8">
      <c r="A94" s="307" t="s">
        <v>45</v>
      </c>
      <c r="B94" s="188"/>
      <c r="C94" s="73">
        <f>SUM(C87:C92)</f>
        <v>25739</v>
      </c>
      <c r="D94" s="73">
        <f t="shared" ref="D94:H94" si="0">SUM(D87:D92)</f>
        <v>25331</v>
      </c>
      <c r="E94" s="73">
        <f t="shared" si="0"/>
        <v>18097</v>
      </c>
      <c r="F94" s="73">
        <f t="shared" si="0"/>
        <v>25292</v>
      </c>
      <c r="G94" s="73">
        <f t="shared" si="0"/>
        <v>25449</v>
      </c>
      <c r="H94" s="73">
        <f t="shared" si="0"/>
        <v>23866</v>
      </c>
    </row>
    <row r="95" spans="1:8">
      <c r="A95" s="153"/>
      <c r="B95" s="12"/>
      <c r="C95" s="51"/>
      <c r="D95" s="51"/>
      <c r="E95" s="51"/>
      <c r="F95" s="51"/>
      <c r="G95" s="51"/>
      <c r="H95" s="78"/>
    </row>
    <row r="96" spans="1:8" ht="13.15">
      <c r="A96" s="309" t="s">
        <v>257</v>
      </c>
      <c r="B96" s="10"/>
      <c r="C96" s="51"/>
      <c r="D96" s="51"/>
      <c r="E96" s="51"/>
      <c r="F96" s="51"/>
      <c r="G96" s="51"/>
      <c r="H96" s="78"/>
    </row>
    <row r="97" spans="1:8" ht="12.75">
      <c r="A97" s="251" t="s">
        <v>251</v>
      </c>
      <c r="B97" s="30"/>
      <c r="C97" s="308">
        <f t="shared" ref="C97:C102" si="1">C87/$C$94</f>
        <v>0.36741909165080228</v>
      </c>
      <c r="D97" s="308">
        <f>D87/$D$94</f>
        <v>0.3732185859223876</v>
      </c>
      <c r="E97" s="308">
        <f>E87/$E$94</f>
        <v>0.39818754489694425</v>
      </c>
      <c r="F97" s="308">
        <f>F87/$F$94</f>
        <v>0.40008698402656967</v>
      </c>
      <c r="G97" s="308">
        <f>G87/$G$94</f>
        <v>0.3771071554874455</v>
      </c>
      <c r="H97" s="308">
        <f>H87/$H$94</f>
        <v>0.39889382384982819</v>
      </c>
    </row>
    <row r="98" spans="1:8" ht="12.75">
      <c r="A98" s="251" t="s">
        <v>252</v>
      </c>
      <c r="C98" s="308">
        <f t="shared" si="1"/>
        <v>0.22141497338668947</v>
      </c>
      <c r="D98" s="308">
        <f t="shared" ref="D98:D102" si="2">D88/$D$94</f>
        <v>0.22217835853302279</v>
      </c>
      <c r="E98" s="308">
        <f t="shared" ref="E98:E102" si="3">E88/$E$94</f>
        <v>0.19262861247720617</v>
      </c>
      <c r="F98" s="308">
        <f t="shared" ref="F98:F102" si="4">F88/$F$94</f>
        <v>0.20765459433813063</v>
      </c>
      <c r="G98" s="308">
        <f t="shared" ref="G98:G102" si="5">G88/$G$94</f>
        <v>0.20814177374356557</v>
      </c>
      <c r="H98" s="308">
        <f t="shared" ref="H98:H102" si="6">H88/$H$94</f>
        <v>0.20606720858124528</v>
      </c>
    </row>
    <row r="99" spans="1:8" ht="12.75">
      <c r="A99" s="251" t="s">
        <v>253</v>
      </c>
      <c r="C99" s="308">
        <f t="shared" si="1"/>
        <v>0.21920043513734022</v>
      </c>
      <c r="D99" s="308">
        <f t="shared" si="2"/>
        <v>0.21361178003237141</v>
      </c>
      <c r="E99" s="308">
        <f t="shared" si="3"/>
        <v>0.16074487484113389</v>
      </c>
      <c r="F99" s="308">
        <f t="shared" si="4"/>
        <v>0.1752728135378776</v>
      </c>
      <c r="G99" s="308">
        <f t="shared" si="5"/>
        <v>0.2101850760344218</v>
      </c>
      <c r="H99" s="308">
        <f t="shared" si="6"/>
        <v>0.20367887371155619</v>
      </c>
    </row>
    <row r="100" spans="1:8" ht="12.75">
      <c r="A100" s="251" t="s">
        <v>254</v>
      </c>
      <c r="C100" s="308">
        <f t="shared" si="1"/>
        <v>0.16212751078130463</v>
      </c>
      <c r="D100" s="308">
        <f t="shared" si="2"/>
        <v>0.16055426157672417</v>
      </c>
      <c r="E100" s="308">
        <f t="shared" si="3"/>
        <v>0.20694037685804276</v>
      </c>
      <c r="F100" s="308">
        <f t="shared" si="4"/>
        <v>0.18408983077653013</v>
      </c>
      <c r="G100" s="308">
        <f t="shared" si="5"/>
        <v>0.16499665998663995</v>
      </c>
      <c r="H100" s="308">
        <f t="shared" si="6"/>
        <v>0.1589290203636973</v>
      </c>
    </row>
    <row r="101" spans="1:8" ht="13.15">
      <c r="A101" s="252" t="s">
        <v>255</v>
      </c>
      <c r="B101" s="125"/>
      <c r="C101" s="308">
        <f t="shared" si="1"/>
        <v>2.9837989043863398E-2</v>
      </c>
      <c r="D101" s="308">
        <f t="shared" si="2"/>
        <v>3.043701393549406E-2</v>
      </c>
      <c r="E101" s="308">
        <f t="shared" si="3"/>
        <v>4.1498590926672928E-2</v>
      </c>
      <c r="F101" s="308">
        <f t="shared" si="4"/>
        <v>3.2895777320891981E-2</v>
      </c>
      <c r="G101" s="308">
        <f t="shared" si="5"/>
        <v>3.3910959173248455E-2</v>
      </c>
      <c r="H101" s="308">
        <f t="shared" si="6"/>
        <v>2.5936478672588619E-2</v>
      </c>
    </row>
    <row r="102" spans="1:8" ht="12.75">
      <c r="A102" s="253" t="s">
        <v>256</v>
      </c>
      <c r="C102" s="308" t="e">
        <f t="shared" si="1"/>
        <v>#VALUE!</v>
      </c>
      <c r="D102" s="308" t="e">
        <f t="shared" si="2"/>
        <v>#VALUE!</v>
      </c>
      <c r="E102" s="308" t="e">
        <f t="shared" si="3"/>
        <v>#VALUE!</v>
      </c>
      <c r="F102" s="308" t="e">
        <f t="shared" si="4"/>
        <v>#VALUE!</v>
      </c>
      <c r="G102" s="308">
        <f t="shared" si="5"/>
        <v>5.6583755746787692E-3</v>
      </c>
      <c r="H102" s="308">
        <f t="shared" si="6"/>
        <v>6.4945948210843882E-3</v>
      </c>
    </row>
    <row r="103" spans="1:8" ht="13.15">
      <c r="A103" s="158"/>
      <c r="B103" s="125"/>
      <c r="C103" s="126"/>
      <c r="D103" s="126"/>
      <c r="E103" s="126"/>
      <c r="F103" s="126"/>
      <c r="G103" s="126"/>
      <c r="H103" s="141"/>
    </row>
    <row r="108" spans="1:8" s="169" customFormat="1" ht="27" customHeight="1">
      <c r="A108" s="314"/>
      <c r="C108" s="315"/>
      <c r="D108" s="315"/>
      <c r="E108" s="315"/>
      <c r="F108" s="315"/>
      <c r="G108" s="315"/>
      <c r="H108" s="314"/>
    </row>
    <row r="109" spans="1:8" s="129" customFormat="1" ht="15">
      <c r="A109" s="316"/>
      <c r="C109" s="317"/>
      <c r="D109" s="317"/>
      <c r="E109" s="317"/>
      <c r="F109" s="317"/>
      <c r="G109" s="317"/>
      <c r="H109" s="318"/>
    </row>
    <row r="110" spans="1:8">
      <c r="A110" s="224"/>
      <c r="C110" s="226"/>
      <c r="D110" s="226"/>
      <c r="E110" s="226"/>
      <c r="F110" s="226"/>
      <c r="G110" s="226"/>
      <c r="H110" s="227"/>
    </row>
    <row r="111" spans="1:8">
      <c r="A111" s="152"/>
      <c r="C111" s="45"/>
      <c r="D111" s="45"/>
      <c r="E111" s="45"/>
      <c r="F111" s="45"/>
      <c r="G111" s="45"/>
      <c r="H111" s="86"/>
    </row>
    <row r="112" spans="1:8">
      <c r="A112" s="152"/>
      <c r="C112" s="53"/>
      <c r="D112" s="53"/>
      <c r="E112" s="53"/>
      <c r="F112" s="53"/>
      <c r="G112" s="53"/>
      <c r="H112" s="143"/>
    </row>
    <row r="113" spans="1:8">
      <c r="A113" s="153"/>
      <c r="C113" s="51"/>
      <c r="D113" s="51"/>
      <c r="E113" s="53"/>
      <c r="F113" s="51"/>
      <c r="G113" s="51"/>
      <c r="H113" s="144"/>
    </row>
    <row r="114" spans="1:8">
      <c r="A114" s="152"/>
      <c r="C114" s="626"/>
      <c r="D114" s="626"/>
      <c r="E114" s="626"/>
      <c r="F114" s="626"/>
      <c r="G114" s="626"/>
      <c r="H114" s="630"/>
    </row>
    <row r="115" spans="1:8">
      <c r="A115" s="153"/>
      <c r="C115" s="51"/>
      <c r="D115" s="51"/>
      <c r="E115" s="51"/>
      <c r="F115" s="51"/>
      <c r="G115" s="51"/>
      <c r="H115" s="145"/>
    </row>
    <row r="116" spans="1:8">
      <c r="A116" s="153"/>
      <c r="C116" s="51"/>
      <c r="D116" s="51"/>
      <c r="E116" s="51"/>
      <c r="F116" s="51"/>
      <c r="G116" s="51"/>
      <c r="H116" s="144"/>
    </row>
    <row r="117" spans="1:8">
      <c r="A117" s="153"/>
      <c r="C117" s="51"/>
      <c r="D117" s="51"/>
      <c r="E117" s="51"/>
      <c r="F117" s="51"/>
      <c r="G117" s="51"/>
      <c r="H117" s="144"/>
    </row>
    <row r="118" spans="1:8">
      <c r="A118" s="153"/>
      <c r="C118" s="51"/>
      <c r="D118" s="51"/>
      <c r="E118" s="51"/>
      <c r="F118" s="51"/>
      <c r="G118" s="51"/>
      <c r="H118" s="144"/>
    </row>
    <row r="119" spans="1:8">
      <c r="A119" s="153"/>
      <c r="C119" s="51"/>
      <c r="D119" s="51"/>
      <c r="E119" s="51"/>
      <c r="F119" s="51"/>
      <c r="G119" s="51"/>
      <c r="H119" s="144"/>
    </row>
    <row r="120" spans="1:8">
      <c r="A120" s="153"/>
      <c r="C120" s="51"/>
      <c r="D120" s="51"/>
      <c r="E120" s="51"/>
      <c r="F120" s="51"/>
      <c r="G120" s="51"/>
      <c r="H120" s="144"/>
    </row>
    <row r="121" spans="1:8">
      <c r="A121" s="153"/>
      <c r="C121" s="51"/>
      <c r="D121" s="51"/>
      <c r="E121" s="51"/>
      <c r="F121" s="51"/>
      <c r="G121" s="51"/>
      <c r="H121" s="144"/>
    </row>
    <row r="122" spans="1:8">
      <c r="A122" s="153"/>
      <c r="C122" s="51"/>
      <c r="D122" s="51"/>
      <c r="E122" s="51"/>
      <c r="F122" s="51"/>
      <c r="G122" s="51"/>
      <c r="H122" s="144"/>
    </row>
    <row r="123" spans="1:8">
      <c r="A123" s="153"/>
      <c r="C123" s="51"/>
      <c r="D123" s="51"/>
      <c r="E123" s="51"/>
      <c r="F123" s="51"/>
      <c r="G123" s="51"/>
      <c r="H123" s="144"/>
    </row>
    <row r="124" spans="1:8">
      <c r="A124" s="153"/>
      <c r="C124" s="51"/>
      <c r="D124" s="51"/>
      <c r="E124" s="51"/>
      <c r="F124" s="51"/>
      <c r="G124" s="51"/>
      <c r="H124" s="144"/>
    </row>
    <row r="125" spans="1:8">
      <c r="A125" s="153"/>
      <c r="C125" s="51"/>
      <c r="D125" s="51"/>
      <c r="E125" s="51"/>
      <c r="F125" s="51"/>
      <c r="G125" s="51"/>
      <c r="H125" s="144"/>
    </row>
    <row r="126" spans="1:8">
      <c r="A126" s="152"/>
      <c r="C126" s="631"/>
      <c r="D126" s="636"/>
      <c r="E126" s="636"/>
      <c r="F126" s="636"/>
      <c r="G126" s="636"/>
      <c r="H126" s="637"/>
    </row>
    <row r="127" spans="1:8">
      <c r="A127" s="153"/>
      <c r="C127" s="51"/>
      <c r="D127" s="52"/>
      <c r="E127" s="52"/>
      <c r="F127" s="52"/>
      <c r="G127" s="52"/>
      <c r="H127" s="145"/>
    </row>
    <row r="128" spans="1:8">
      <c r="A128" s="153"/>
      <c r="C128" s="52"/>
      <c r="D128" s="52"/>
      <c r="E128" s="52"/>
      <c r="F128" s="52"/>
      <c r="G128" s="52"/>
      <c r="H128" s="144"/>
    </row>
    <row r="129" spans="1:8">
      <c r="A129" s="153"/>
      <c r="C129" s="52"/>
      <c r="D129" s="52"/>
      <c r="E129" s="52"/>
      <c r="F129" s="52"/>
      <c r="G129" s="52"/>
      <c r="H129" s="144"/>
    </row>
    <row r="130" spans="1:8">
      <c r="A130" s="153"/>
      <c r="C130" s="52"/>
      <c r="D130" s="52"/>
      <c r="E130" s="52"/>
      <c r="F130" s="52"/>
      <c r="G130" s="52"/>
      <c r="H130" s="144"/>
    </row>
    <row r="131" spans="1:8">
      <c r="A131" s="153"/>
      <c r="C131" s="52"/>
      <c r="D131" s="52"/>
      <c r="E131" s="52"/>
      <c r="F131" s="52"/>
      <c r="G131" s="52"/>
      <c r="H131" s="144"/>
    </row>
    <row r="132" spans="1:8">
      <c r="A132" s="153"/>
      <c r="C132" s="52"/>
      <c r="D132" s="52"/>
      <c r="E132" s="52"/>
      <c r="F132" s="52"/>
      <c r="G132" s="52"/>
      <c r="H132" s="144"/>
    </row>
    <row r="133" spans="1:8">
      <c r="A133" s="153"/>
      <c r="C133" s="52"/>
      <c r="D133" s="52"/>
      <c r="E133" s="52"/>
      <c r="F133" s="52"/>
      <c r="G133" s="52"/>
      <c r="H133" s="144"/>
    </row>
    <row r="134" spans="1:8">
      <c r="A134" s="153"/>
      <c r="C134" s="52"/>
      <c r="D134" s="52"/>
      <c r="E134" s="52"/>
      <c r="F134" s="52"/>
      <c r="G134" s="52"/>
      <c r="H134" s="144"/>
    </row>
    <row r="135" spans="1:8">
      <c r="A135" s="153"/>
      <c r="C135" s="52"/>
      <c r="D135" s="52"/>
      <c r="E135" s="52"/>
      <c r="F135" s="52"/>
      <c r="G135" s="52"/>
      <c r="H135" s="144"/>
    </row>
    <row r="136" spans="1:8">
      <c r="A136" s="152"/>
      <c r="C136" s="626"/>
      <c r="D136" s="626"/>
      <c r="E136" s="626"/>
      <c r="F136" s="626"/>
      <c r="G136" s="626"/>
      <c r="H136" s="638"/>
    </row>
    <row r="137" spans="1:8">
      <c r="A137" s="153"/>
      <c r="C137" s="51"/>
      <c r="D137" s="51"/>
      <c r="E137" s="51"/>
      <c r="F137" s="51"/>
      <c r="G137" s="51"/>
      <c r="H137" s="145"/>
    </row>
    <row r="138" spans="1:8">
      <c r="A138" s="152"/>
      <c r="C138" s="53"/>
      <c r="D138" s="53"/>
      <c r="E138" s="53"/>
      <c r="F138" s="53"/>
      <c r="G138" s="53"/>
      <c r="H138" s="143"/>
    </row>
    <row r="139" spans="1:8">
      <c r="A139" s="152"/>
      <c r="C139" s="53"/>
      <c r="D139" s="53"/>
      <c r="E139" s="53"/>
      <c r="F139" s="53"/>
      <c r="G139" s="53"/>
      <c r="H139" s="143"/>
    </row>
    <row r="140" spans="1:8">
      <c r="A140" s="153"/>
      <c r="C140" s="52"/>
      <c r="D140" s="51"/>
      <c r="E140" s="52"/>
      <c r="F140" s="52"/>
      <c r="G140" s="52"/>
      <c r="H140" s="145"/>
    </row>
    <row r="141" spans="1:8">
      <c r="A141" s="153"/>
      <c r="C141" s="53"/>
      <c r="D141" s="53"/>
      <c r="E141" s="53"/>
      <c r="F141" s="53"/>
      <c r="G141" s="53"/>
      <c r="H141" s="143"/>
    </row>
    <row r="142" spans="1:8">
      <c r="A142" s="153"/>
      <c r="C142" s="53"/>
      <c r="D142" s="53"/>
      <c r="E142" s="53"/>
      <c r="F142" s="53"/>
      <c r="G142" s="53"/>
      <c r="H142" s="143"/>
    </row>
    <row r="143" spans="1:8">
      <c r="A143" s="153"/>
      <c r="C143" s="51"/>
      <c r="D143" s="51"/>
      <c r="E143" s="51"/>
      <c r="F143" s="51"/>
      <c r="G143" s="51"/>
      <c r="H143" s="146"/>
    </row>
    <row r="144" spans="1:8">
      <c r="A144" s="153"/>
      <c r="C144" s="51"/>
      <c r="D144" s="51"/>
      <c r="E144" s="51"/>
      <c r="F144" s="51"/>
      <c r="G144" s="51"/>
      <c r="H144" s="144"/>
    </row>
    <row r="145" spans="1:8">
      <c r="A145" s="152"/>
      <c r="C145" s="53"/>
      <c r="D145" s="53"/>
      <c r="E145" s="53"/>
      <c r="F145" s="53"/>
      <c r="G145" s="53"/>
      <c r="H145" s="74"/>
    </row>
    <row r="146" spans="1:8">
      <c r="A146" s="153"/>
      <c r="C146" s="51"/>
      <c r="D146" s="51"/>
      <c r="E146" s="51"/>
      <c r="F146" s="51"/>
      <c r="G146" s="51"/>
      <c r="H146" s="146"/>
    </row>
    <row r="147" spans="1:8">
      <c r="A147" s="153"/>
      <c r="C147" s="52"/>
      <c r="D147" s="52"/>
      <c r="E147" s="52"/>
      <c r="F147" s="52"/>
      <c r="G147" s="51"/>
      <c r="H147" s="146"/>
    </row>
    <row r="148" spans="1:8">
      <c r="A148" s="153"/>
      <c r="C148" s="52"/>
      <c r="D148" s="52"/>
      <c r="E148" s="52"/>
      <c r="F148" s="52"/>
      <c r="G148" s="51"/>
      <c r="H148" s="146"/>
    </row>
    <row r="149" spans="1:8">
      <c r="A149" s="152"/>
      <c r="C149" s="639"/>
      <c r="D149" s="639"/>
      <c r="E149" s="639"/>
      <c r="F149" s="639"/>
      <c r="G149" s="639"/>
      <c r="H149" s="630"/>
    </row>
    <row r="150" spans="1:8">
      <c r="A150" s="153"/>
      <c r="C150" s="80"/>
      <c r="D150" s="51"/>
      <c r="E150" s="51"/>
      <c r="F150" s="51"/>
      <c r="G150" s="51"/>
      <c r="H150" s="146"/>
    </row>
    <row r="151" spans="1:8" ht="10.5" thickBot="1">
      <c r="A151" s="152"/>
      <c r="C151" s="640"/>
      <c r="D151" s="640"/>
      <c r="E151" s="640"/>
      <c r="F151" s="640"/>
      <c r="G151" s="640"/>
      <c r="H151" s="641"/>
    </row>
    <row r="152" spans="1:8" ht="10.9" thickTop="1" thickBot="1">
      <c r="A152" s="159"/>
      <c r="B152" s="147"/>
      <c r="C152" s="148"/>
      <c r="D152" s="148"/>
      <c r="E152" s="148"/>
      <c r="F152" s="148"/>
      <c r="G152" s="148"/>
      <c r="H152" s="149"/>
    </row>
  </sheetData>
  <pageMargins left="0.2" right="0.2" top="0.5" bottom="0.5" header="0.5" footer="0.5"/>
  <pageSetup fitToWidth="0" fitToHeight="0" orientation="landscape" horizontalDpi="0" verticalDpi="0"/>
  <headerFooter alignWithMargins="0"/>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AAA2A-BEC7-1044-91CE-79C69E3998D9}">
  <sheetPr codeName="Sheet6">
    <tabColor rgb="FF00B050"/>
    <outlinePr summaryBelow="0" summaryRight="0"/>
    <pageSetUpPr autoPageBreaks="0"/>
  </sheetPr>
  <dimension ref="A1:IT177"/>
  <sheetViews>
    <sheetView topLeftCell="A4" zoomScale="140" zoomScaleNormal="175" workbookViewId="0">
      <pane xSplit="1" ySplit="1" topLeftCell="G5" activePane="bottomRight" state="frozen"/>
      <selection pane="topRight" activeCell="B4" sqref="B4"/>
      <selection pane="bottomLeft" activeCell="A5" sqref="A5"/>
      <selection pane="bottomRight" activeCell="AJ24" sqref="AJ24"/>
    </sheetView>
  </sheetViews>
  <sheetFormatPr defaultColWidth="10.8125" defaultRowHeight="10.15" outlineLevelCol="1"/>
  <cols>
    <col min="1" max="1" width="37" style="9" customWidth="1"/>
    <col min="2" max="2" width="7.8125" style="9" customWidth="1" collapsed="1"/>
    <col min="3" max="6" width="13.8125" style="34" hidden="1" customWidth="1" outlineLevel="1"/>
    <col min="7" max="7" width="13.8125" style="34" customWidth="1" collapsed="1"/>
    <col min="8" max="11" width="13.8125" style="34" hidden="1" customWidth="1" outlineLevel="1"/>
    <col min="12" max="12" width="13.8125" style="34" customWidth="1" collapsed="1"/>
    <col min="13" max="16" width="13.8125" style="34" hidden="1" customWidth="1" outlineLevel="1"/>
    <col min="17" max="17" width="13.8125" style="34" customWidth="1" collapsed="1"/>
    <col min="18" max="21" width="13.8125" style="34" hidden="1" customWidth="1" outlineLevel="1"/>
    <col min="22" max="22" width="13.8125" style="34" customWidth="1" collapsed="1"/>
    <col min="23" max="26" width="13.8125" style="34" hidden="1" customWidth="1" outlineLevel="1"/>
    <col min="27" max="27" width="13.8125" style="34" customWidth="1" collapsed="1"/>
    <col min="28" max="31" width="13.8125" style="34" hidden="1" customWidth="1" outlineLevel="1"/>
    <col min="32" max="32" width="13.8125" style="66" customWidth="1"/>
    <col min="33" max="254" width="8.8125" style="9" customWidth="1"/>
    <col min="255" max="16384" width="10.8125" style="9"/>
  </cols>
  <sheetData>
    <row r="1" spans="1:254">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91"/>
    </row>
    <row r="2" spans="1:254">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91"/>
    </row>
    <row r="3" spans="1:254">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91"/>
    </row>
    <row r="4" spans="1:254">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91"/>
    </row>
    <row r="5" spans="1:254" ht="16.149999999999999">
      <c r="A5" s="33" t="s">
        <v>258</v>
      </c>
      <c r="B5" s="33"/>
      <c r="C5" s="65"/>
      <c r="D5" s="65"/>
      <c r="E5" s="65"/>
      <c r="F5" s="65"/>
      <c r="G5" s="60"/>
      <c r="H5" s="65"/>
      <c r="I5" s="65"/>
      <c r="J5" s="65"/>
      <c r="K5" s="65"/>
      <c r="L5" s="60"/>
      <c r="M5" s="65"/>
      <c r="N5" s="65"/>
      <c r="O5" s="65"/>
      <c r="P5" s="65"/>
      <c r="Q5" s="60"/>
      <c r="R5" s="65"/>
      <c r="S5" s="65"/>
      <c r="T5" s="65"/>
      <c r="U5" s="65"/>
      <c r="V5" s="60"/>
      <c r="W5" s="60"/>
      <c r="X5" s="60"/>
      <c r="Y5" s="60"/>
      <c r="Z5" s="60"/>
      <c r="AA5" s="60"/>
      <c r="AB5" s="60"/>
      <c r="AC5" s="60"/>
      <c r="AD5" s="60"/>
      <c r="AE5" s="60"/>
      <c r="AF5" s="91"/>
    </row>
    <row r="6" spans="1:254">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91"/>
    </row>
    <row r="7" spans="1:254">
      <c r="A7" s="32" t="s">
        <v>21</v>
      </c>
      <c r="B7" s="32"/>
      <c r="C7" s="64"/>
      <c r="D7" s="64"/>
      <c r="E7" s="64"/>
      <c r="F7" s="64"/>
      <c r="G7" s="62"/>
      <c r="H7" s="64"/>
      <c r="I7" s="64"/>
      <c r="J7" s="64"/>
      <c r="K7" s="64"/>
      <c r="L7" s="60"/>
      <c r="M7" s="64"/>
      <c r="N7" s="64"/>
      <c r="O7" s="64"/>
      <c r="P7" s="64"/>
      <c r="Q7" s="45" t="s">
        <v>22</v>
      </c>
      <c r="R7" s="64"/>
      <c r="S7" s="64"/>
      <c r="T7" s="64"/>
      <c r="U7" s="64"/>
      <c r="V7" s="62"/>
      <c r="W7" s="62"/>
      <c r="X7" s="62"/>
      <c r="Y7" s="62"/>
      <c r="Z7" s="62"/>
      <c r="AA7" s="60"/>
      <c r="AB7" s="62"/>
      <c r="AC7" s="62"/>
      <c r="AD7" s="62"/>
      <c r="AE7" s="62"/>
      <c r="AF7" s="91"/>
    </row>
    <row r="8" spans="1:254">
      <c r="A8" s="12"/>
      <c r="B8" s="12"/>
      <c r="C8" s="45"/>
      <c r="D8" s="45"/>
      <c r="E8" s="45"/>
      <c r="F8" s="45"/>
      <c r="G8" s="62"/>
      <c r="H8" s="45"/>
      <c r="I8" s="45"/>
      <c r="J8" s="45"/>
      <c r="K8" s="45"/>
      <c r="L8" s="60"/>
      <c r="M8" s="45"/>
      <c r="N8" s="45"/>
      <c r="O8" s="45"/>
      <c r="P8" s="45"/>
      <c r="Q8" s="45" t="s">
        <v>22</v>
      </c>
      <c r="R8" s="45"/>
      <c r="S8" s="45"/>
      <c r="T8" s="45"/>
      <c r="U8" s="45"/>
      <c r="V8" s="62"/>
      <c r="W8" s="62"/>
      <c r="X8" s="62"/>
      <c r="Y8" s="62"/>
      <c r="Z8" s="62"/>
      <c r="AA8" s="60"/>
      <c r="AB8" s="62"/>
      <c r="AC8" s="62"/>
      <c r="AD8" s="62"/>
      <c r="AE8" s="62"/>
      <c r="AF8" s="91"/>
    </row>
    <row r="9" spans="1:254">
      <c r="A9" s="12"/>
      <c r="B9" s="12"/>
      <c r="C9" s="45"/>
      <c r="D9" s="45"/>
      <c r="E9" s="45"/>
      <c r="F9" s="45"/>
      <c r="G9" s="62"/>
      <c r="H9" s="45"/>
      <c r="I9" s="45"/>
      <c r="J9" s="45"/>
      <c r="K9" s="45"/>
      <c r="L9" s="60"/>
      <c r="M9" s="45"/>
      <c r="N9" s="45"/>
      <c r="O9" s="45"/>
      <c r="P9" s="45"/>
      <c r="Q9" s="45" t="s">
        <v>22</v>
      </c>
      <c r="R9" s="45"/>
      <c r="S9" s="45"/>
      <c r="T9" s="45"/>
      <c r="U9" s="45"/>
      <c r="V9" s="62"/>
      <c r="W9" s="62"/>
      <c r="X9" s="62"/>
      <c r="Y9" s="62"/>
      <c r="Z9" s="62"/>
      <c r="AA9" s="60"/>
      <c r="AB9" s="62"/>
      <c r="AC9" s="62"/>
      <c r="AD9" s="62"/>
      <c r="AE9" s="62"/>
      <c r="AF9" s="91"/>
    </row>
    <row r="10" spans="1:254">
      <c r="A10" s="12"/>
      <c r="B10" s="12"/>
      <c r="C10" s="45"/>
      <c r="D10" s="45"/>
      <c r="E10" s="45"/>
      <c r="F10" s="45"/>
      <c r="G10" s="62"/>
      <c r="H10" s="45"/>
      <c r="I10" s="45"/>
      <c r="J10" s="45"/>
      <c r="K10" s="45"/>
      <c r="L10" s="60"/>
      <c r="M10" s="45"/>
      <c r="N10" s="45"/>
      <c r="O10" s="45"/>
      <c r="P10" s="45"/>
      <c r="Q10" s="45" t="s">
        <v>22</v>
      </c>
      <c r="R10" s="45"/>
      <c r="S10" s="45"/>
      <c r="T10" s="45"/>
      <c r="U10" s="45"/>
      <c r="V10" s="62"/>
      <c r="W10" s="62"/>
      <c r="X10" s="62"/>
      <c r="Y10" s="62"/>
      <c r="Z10" s="62"/>
      <c r="AA10" s="63"/>
      <c r="AB10" s="62"/>
      <c r="AC10" s="62"/>
      <c r="AD10" s="62"/>
      <c r="AE10" s="62"/>
      <c r="AF10" s="91"/>
    </row>
    <row r="11" spans="1:254">
      <c r="A11" s="12"/>
      <c r="B11" s="12"/>
      <c r="C11" s="45"/>
      <c r="D11" s="45"/>
      <c r="E11" s="45"/>
      <c r="F11" s="45"/>
      <c r="G11" s="62"/>
      <c r="H11" s="45"/>
      <c r="I11" s="45"/>
      <c r="J11" s="45"/>
      <c r="K11" s="45"/>
      <c r="L11" s="60"/>
      <c r="M11" s="45"/>
      <c r="N11" s="45"/>
      <c r="O11" s="45"/>
      <c r="P11" s="45"/>
      <c r="Q11" s="45" t="s">
        <v>22</v>
      </c>
      <c r="R11" s="45"/>
      <c r="S11" s="45"/>
      <c r="T11" s="45"/>
      <c r="U11" s="45"/>
      <c r="V11" s="61"/>
      <c r="W11" s="61"/>
      <c r="X11" s="61"/>
      <c r="Y11" s="61"/>
      <c r="Z11" s="61"/>
      <c r="AA11" s="61"/>
      <c r="AB11" s="61"/>
      <c r="AC11" s="61"/>
      <c r="AD11" s="61"/>
      <c r="AE11" s="61"/>
      <c r="AF11" s="91"/>
    </row>
    <row r="12" spans="1:254">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91"/>
    </row>
    <row r="13" spans="1:254" ht="12.4">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91"/>
      <c r="AH13" s="108"/>
    </row>
    <row r="14" spans="1:254" s="161" customFormat="1" ht="26" customHeight="1">
      <c r="A14" s="164" t="s">
        <v>259</v>
      </c>
      <c r="B14" s="165"/>
      <c r="C14" s="166"/>
      <c r="D14" s="166"/>
      <c r="E14" s="166"/>
      <c r="F14" s="166"/>
      <c r="G14" s="166">
        <v>2019</v>
      </c>
      <c r="H14" s="166"/>
      <c r="I14" s="166"/>
      <c r="J14" s="166"/>
      <c r="K14" s="166"/>
      <c r="L14" s="166">
        <v>2020</v>
      </c>
      <c r="M14" s="166"/>
      <c r="N14" s="166"/>
      <c r="O14" s="166"/>
      <c r="P14" s="166"/>
      <c r="Q14" s="166">
        <v>2021</v>
      </c>
      <c r="R14" s="166"/>
      <c r="S14" s="166"/>
      <c r="T14" s="166"/>
      <c r="U14" s="166"/>
      <c r="V14" s="166">
        <v>2022</v>
      </c>
      <c r="W14" s="166"/>
      <c r="X14" s="166"/>
      <c r="Y14" s="166"/>
      <c r="Z14" s="166"/>
      <c r="AA14" s="166">
        <v>2023</v>
      </c>
      <c r="AB14" s="166"/>
      <c r="AC14" s="166"/>
      <c r="AD14" s="166"/>
      <c r="AE14" s="166"/>
      <c r="AF14" s="167">
        <v>2024</v>
      </c>
      <c r="AG14" s="167">
        <v>2025</v>
      </c>
      <c r="AH14" s="160"/>
      <c r="AI14" s="160"/>
      <c r="AJ14" s="160"/>
      <c r="AK14" s="160"/>
      <c r="AL14" s="160"/>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60"/>
      <c r="BZ14" s="160"/>
      <c r="CA14" s="160"/>
      <c r="CB14" s="160"/>
      <c r="CC14" s="160"/>
      <c r="CD14" s="160"/>
      <c r="CE14" s="160"/>
      <c r="CF14" s="160"/>
      <c r="CG14" s="160"/>
      <c r="CH14" s="160"/>
      <c r="CI14" s="160"/>
      <c r="CJ14" s="160"/>
      <c r="CK14" s="160"/>
      <c r="CL14" s="160"/>
      <c r="CM14" s="160"/>
      <c r="CN14" s="160"/>
      <c r="CO14" s="160"/>
      <c r="CP14" s="160"/>
      <c r="CQ14" s="160"/>
      <c r="CR14" s="160"/>
      <c r="CS14" s="160"/>
      <c r="CT14" s="160"/>
      <c r="CU14" s="160"/>
      <c r="CV14" s="160"/>
      <c r="CW14" s="160"/>
      <c r="CX14" s="160"/>
      <c r="CY14" s="160"/>
      <c r="CZ14" s="160"/>
      <c r="DA14" s="160"/>
      <c r="DB14" s="160"/>
      <c r="DC14" s="160"/>
      <c r="DD14" s="160"/>
      <c r="DE14" s="160"/>
      <c r="DF14" s="160"/>
      <c r="DG14" s="160"/>
      <c r="DH14" s="160"/>
      <c r="DI14" s="160"/>
      <c r="DJ14" s="160"/>
      <c r="DK14" s="160"/>
      <c r="DL14" s="160"/>
      <c r="DM14" s="160"/>
      <c r="DN14" s="160"/>
      <c r="DO14" s="160"/>
      <c r="DP14" s="160"/>
      <c r="DQ14" s="160"/>
      <c r="DR14" s="160"/>
      <c r="DS14" s="160"/>
      <c r="DT14" s="160"/>
      <c r="DU14" s="160"/>
      <c r="DV14" s="160"/>
      <c r="DW14" s="160"/>
      <c r="DX14" s="160"/>
      <c r="DY14" s="160"/>
      <c r="DZ14" s="160"/>
      <c r="EA14" s="160"/>
      <c r="EB14" s="160"/>
      <c r="EC14" s="160"/>
      <c r="ED14" s="160"/>
      <c r="EE14" s="160"/>
      <c r="EF14" s="160"/>
      <c r="EG14" s="160"/>
      <c r="EH14" s="160"/>
      <c r="EI14" s="160"/>
      <c r="EJ14" s="160"/>
      <c r="EK14" s="160"/>
      <c r="EL14" s="160"/>
      <c r="EM14" s="160"/>
      <c r="EN14" s="160"/>
      <c r="EO14" s="160"/>
      <c r="EP14" s="160"/>
      <c r="EQ14" s="160"/>
      <c r="ER14" s="160"/>
      <c r="ES14" s="160"/>
      <c r="ET14" s="160"/>
      <c r="EU14" s="160"/>
      <c r="EV14" s="160"/>
      <c r="EW14" s="160"/>
      <c r="EX14" s="160"/>
      <c r="EY14" s="160"/>
      <c r="EZ14" s="160"/>
      <c r="FA14" s="160"/>
      <c r="FB14" s="160"/>
      <c r="FC14" s="160"/>
      <c r="FD14" s="160"/>
      <c r="FE14" s="160"/>
      <c r="FF14" s="160"/>
      <c r="FG14" s="160"/>
      <c r="FH14" s="160"/>
      <c r="FI14" s="160"/>
      <c r="FJ14" s="160"/>
      <c r="FK14" s="160"/>
      <c r="FL14" s="160"/>
      <c r="FM14" s="160"/>
      <c r="FN14" s="160"/>
      <c r="FO14" s="160"/>
      <c r="FP14" s="160"/>
      <c r="FQ14" s="160"/>
      <c r="FR14" s="160"/>
      <c r="FS14" s="160"/>
      <c r="FT14" s="160"/>
      <c r="FU14" s="160"/>
      <c r="FV14" s="160"/>
      <c r="FW14" s="160"/>
      <c r="FX14" s="160"/>
      <c r="FY14" s="160"/>
      <c r="FZ14" s="160"/>
      <c r="GA14" s="160"/>
      <c r="GB14" s="160"/>
      <c r="GC14" s="160"/>
      <c r="GD14" s="160"/>
      <c r="GE14" s="160"/>
      <c r="GF14" s="160"/>
      <c r="GG14" s="160"/>
      <c r="GH14" s="160"/>
      <c r="GI14" s="160"/>
      <c r="GJ14" s="160"/>
      <c r="GK14" s="160"/>
      <c r="GL14" s="160"/>
      <c r="GM14" s="160"/>
      <c r="GN14" s="160"/>
      <c r="GO14" s="160"/>
      <c r="GP14" s="160"/>
      <c r="GQ14" s="160"/>
      <c r="GR14" s="160"/>
      <c r="GS14" s="160"/>
      <c r="GT14" s="160"/>
      <c r="GU14" s="160"/>
      <c r="GV14" s="160"/>
      <c r="GW14" s="160"/>
      <c r="GX14" s="160"/>
      <c r="GY14" s="160"/>
      <c r="GZ14" s="160"/>
      <c r="HA14" s="160"/>
      <c r="HB14" s="160"/>
      <c r="HC14" s="160"/>
      <c r="HD14" s="160"/>
      <c r="HE14" s="160"/>
      <c r="HF14" s="160"/>
      <c r="HG14" s="160"/>
      <c r="HH14" s="160"/>
      <c r="HI14" s="160"/>
      <c r="HJ14" s="160"/>
      <c r="HK14" s="160"/>
      <c r="HL14" s="160"/>
      <c r="HM14" s="160"/>
      <c r="HN14" s="160"/>
      <c r="HO14" s="160"/>
      <c r="HP14" s="160"/>
      <c r="HQ14" s="160"/>
      <c r="HR14" s="160"/>
      <c r="HS14" s="160"/>
      <c r="HT14" s="160"/>
      <c r="HU14" s="160"/>
      <c r="HV14" s="160"/>
      <c r="HW14" s="160"/>
      <c r="HX14" s="160"/>
      <c r="HY14" s="160"/>
      <c r="HZ14" s="160"/>
      <c r="IA14" s="160"/>
      <c r="IB14" s="160"/>
      <c r="IC14" s="160"/>
      <c r="ID14" s="160"/>
      <c r="IE14" s="160"/>
      <c r="IF14" s="160"/>
      <c r="IG14" s="160"/>
      <c r="IH14" s="160"/>
      <c r="II14" s="160"/>
      <c r="IJ14" s="160"/>
      <c r="IK14" s="160"/>
      <c r="IL14" s="160"/>
      <c r="IM14" s="160"/>
      <c r="IN14" s="160"/>
      <c r="IO14" s="160"/>
      <c r="IP14" s="160"/>
      <c r="IQ14" s="160"/>
      <c r="IR14" s="160"/>
      <c r="IS14" s="160"/>
      <c r="IT14" s="160"/>
    </row>
    <row r="15" spans="1:254" s="162" customFormat="1" ht="30">
      <c r="A15" s="150" t="s">
        <v>34</v>
      </c>
      <c r="B15" s="131"/>
      <c r="C15" s="131" t="s">
        <v>169</v>
      </c>
      <c r="D15" s="131" t="s">
        <v>170</v>
      </c>
      <c r="E15" s="131" t="s">
        <v>171</v>
      </c>
      <c r="F15" s="131" t="s">
        <v>172</v>
      </c>
      <c r="G15" s="131" t="s">
        <v>26</v>
      </c>
      <c r="H15" s="131" t="s">
        <v>173</v>
      </c>
      <c r="I15" s="131" t="s">
        <v>174</v>
      </c>
      <c r="J15" s="131" t="s">
        <v>175</v>
      </c>
      <c r="K15" s="131" t="s">
        <v>176</v>
      </c>
      <c r="L15" s="131" t="s">
        <v>27</v>
      </c>
      <c r="M15" s="131" t="s">
        <v>177</v>
      </c>
      <c r="N15" s="131" t="s">
        <v>178</v>
      </c>
      <c r="O15" s="131" t="s">
        <v>179</v>
      </c>
      <c r="P15" s="131" t="s">
        <v>180</v>
      </c>
      <c r="Q15" s="131" t="s">
        <v>28</v>
      </c>
      <c r="R15" s="131" t="s">
        <v>181</v>
      </c>
      <c r="S15" s="131" t="s">
        <v>182</v>
      </c>
      <c r="T15" s="131" t="s">
        <v>183</v>
      </c>
      <c r="U15" s="131" t="s">
        <v>184</v>
      </c>
      <c r="V15" s="131" t="s">
        <v>29</v>
      </c>
      <c r="W15" s="131" t="s">
        <v>185</v>
      </c>
      <c r="X15" s="131" t="s">
        <v>186</v>
      </c>
      <c r="Y15" s="131" t="s">
        <v>187</v>
      </c>
      <c r="Z15" s="131" t="s">
        <v>188</v>
      </c>
      <c r="AA15" s="131" t="s">
        <v>30</v>
      </c>
      <c r="AB15" s="131" t="s">
        <v>189</v>
      </c>
      <c r="AC15" s="131" t="s">
        <v>190</v>
      </c>
      <c r="AD15" s="131" t="s">
        <v>191</v>
      </c>
      <c r="AE15" s="131" t="s">
        <v>192</v>
      </c>
      <c r="AF15" s="132" t="s">
        <v>31</v>
      </c>
    </row>
    <row r="16" spans="1:254">
      <c r="A16" s="151" t="s">
        <v>193</v>
      </c>
      <c r="B16" s="112"/>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8"/>
    </row>
    <row r="17" spans="1:32">
      <c r="A17" s="152" t="s">
        <v>57</v>
      </c>
      <c r="B17" s="15"/>
      <c r="C17" s="54"/>
      <c r="D17" s="54"/>
      <c r="E17" s="54"/>
      <c r="F17" s="54"/>
      <c r="G17" s="45"/>
      <c r="H17" s="54"/>
      <c r="I17" s="54"/>
      <c r="J17" s="54"/>
      <c r="K17" s="54"/>
      <c r="L17" s="45"/>
      <c r="M17" s="54"/>
      <c r="N17" s="54"/>
      <c r="O17" s="54"/>
      <c r="P17" s="54"/>
      <c r="Q17" s="45"/>
      <c r="R17" s="54"/>
      <c r="S17" s="54"/>
      <c r="T17" s="54"/>
      <c r="U17" s="54"/>
      <c r="V17" s="45"/>
      <c r="W17" s="45"/>
      <c r="X17" s="45"/>
      <c r="Y17" s="45"/>
      <c r="Z17" s="45"/>
      <c r="AA17" s="45"/>
      <c r="AB17" s="45"/>
      <c r="AC17" s="45"/>
      <c r="AD17" s="45"/>
      <c r="AE17" s="45"/>
      <c r="AF17" s="86"/>
    </row>
    <row r="18" spans="1:32">
      <c r="A18" s="153" t="s">
        <v>194</v>
      </c>
      <c r="B18" s="12"/>
      <c r="C18" s="52">
        <v>5541</v>
      </c>
      <c r="D18" s="52">
        <v>5572</v>
      </c>
      <c r="E18" s="52">
        <v>5404</v>
      </c>
      <c r="F18" s="52">
        <v>8455</v>
      </c>
      <c r="G18" s="51">
        <f>SUM(C18:F18)</f>
        <v>24972</v>
      </c>
      <c r="H18" s="52">
        <v>5504</v>
      </c>
      <c r="I18" s="52">
        <v>5546</v>
      </c>
      <c r="J18" s="52">
        <v>5173</v>
      </c>
      <c r="K18" s="52">
        <v>8337</v>
      </c>
      <c r="L18" s="51">
        <f>SUM(H18:K18)</f>
        <v>24560</v>
      </c>
      <c r="M18" s="52">
        <v>3017</v>
      </c>
      <c r="N18" s="52">
        <v>3559</v>
      </c>
      <c r="O18" s="52">
        <v>3990</v>
      </c>
      <c r="P18" s="52">
        <v>6780</v>
      </c>
      <c r="Q18" s="51">
        <f>SUM(M18:P18)</f>
        <v>17346</v>
      </c>
      <c r="R18" s="52">
        <v>4706</v>
      </c>
      <c r="S18" s="52">
        <v>5647</v>
      </c>
      <c r="T18" s="52">
        <v>5440</v>
      </c>
      <c r="U18" s="52">
        <v>8666</v>
      </c>
      <c r="V18" s="51">
        <f>SUM(R18:U18)</f>
        <v>24459</v>
      </c>
      <c r="W18" s="51">
        <v>5348</v>
      </c>
      <c r="X18" s="51">
        <v>5600</v>
      </c>
      <c r="Y18" s="51">
        <v>5230</v>
      </c>
      <c r="Z18" s="51">
        <v>8264</v>
      </c>
      <c r="AA18" s="51">
        <f>SUM(W18:Z18)</f>
        <v>24442</v>
      </c>
      <c r="AB18" s="51">
        <v>4982</v>
      </c>
      <c r="AC18" s="51">
        <v>5130</v>
      </c>
      <c r="AD18" s="51">
        <v>4860</v>
      </c>
      <c r="AE18" s="51">
        <v>8120</v>
      </c>
      <c r="AF18" s="78">
        <f>SUM(AB18:AE18)</f>
        <v>23092</v>
      </c>
    </row>
    <row r="19" spans="1:32">
      <c r="A19" s="153" t="s">
        <v>260</v>
      </c>
      <c r="B19" s="12"/>
      <c r="C19" s="52">
        <v>157</v>
      </c>
      <c r="D19" s="52">
        <v>186</v>
      </c>
      <c r="E19" s="52">
        <v>185</v>
      </c>
      <c r="F19" s="52">
        <v>240</v>
      </c>
      <c r="G19" s="51">
        <f>SUM(C19:F19)</f>
        <v>768</v>
      </c>
      <c r="H19" s="52">
        <v>172</v>
      </c>
      <c r="I19" s="52">
        <v>176</v>
      </c>
      <c r="J19" s="52">
        <v>183</v>
      </c>
      <c r="K19" s="52">
        <v>240</v>
      </c>
      <c r="L19" s="51">
        <f>SUM(H19:K19)</f>
        <v>771</v>
      </c>
      <c r="M19" s="52">
        <v>131</v>
      </c>
      <c r="N19" s="52">
        <v>168</v>
      </c>
      <c r="O19" s="52">
        <v>195</v>
      </c>
      <c r="P19" s="52">
        <v>257</v>
      </c>
      <c r="Q19" s="51">
        <f>SUM(M19:P19)</f>
        <v>751</v>
      </c>
      <c r="R19" s="52">
        <v>159</v>
      </c>
      <c r="S19" s="52">
        <v>197</v>
      </c>
      <c r="T19" s="52">
        <v>213</v>
      </c>
      <c r="U19" s="52">
        <v>264</v>
      </c>
      <c r="V19" s="51">
        <f>SUM(R19:U19)</f>
        <v>833</v>
      </c>
      <c r="W19" s="51">
        <v>217</v>
      </c>
      <c r="X19" s="51">
        <v>234</v>
      </c>
      <c r="Y19" s="51">
        <v>237</v>
      </c>
      <c r="Z19" s="51">
        <v>319</v>
      </c>
      <c r="AA19" s="51">
        <f>SUM(W19:Z19)</f>
        <v>1007</v>
      </c>
      <c r="AB19" s="51">
        <v>191</v>
      </c>
      <c r="AC19" s="51">
        <v>150</v>
      </c>
      <c r="AD19" s="51">
        <v>178</v>
      </c>
      <c r="AE19" s="51">
        <v>255</v>
      </c>
      <c r="AF19" s="78">
        <f>SUM(AB19:AE19)</f>
        <v>774</v>
      </c>
    </row>
    <row r="20" spans="1:32">
      <c r="A20" s="153" t="s">
        <v>261</v>
      </c>
      <c r="B20" s="12"/>
      <c r="C20" s="52" t="s">
        <v>47</v>
      </c>
      <c r="D20" s="52" t="s">
        <v>47</v>
      </c>
      <c r="E20" s="52" t="s">
        <v>47</v>
      </c>
      <c r="F20" s="52" t="s">
        <v>47</v>
      </c>
      <c r="G20" s="51">
        <v>-1</v>
      </c>
      <c r="H20" s="52" t="s">
        <v>47</v>
      </c>
      <c r="I20" s="52" t="s">
        <v>47</v>
      </c>
      <c r="J20" s="52" t="s">
        <v>47</v>
      </c>
      <c r="K20" s="52" t="s">
        <v>47</v>
      </c>
      <c r="L20" s="51">
        <v>0</v>
      </c>
      <c r="M20" s="52" t="s">
        <v>47</v>
      </c>
      <c r="N20" s="52" t="s">
        <v>47</v>
      </c>
      <c r="O20" s="52" t="s">
        <v>47</v>
      </c>
      <c r="P20" s="52" t="s">
        <v>47</v>
      </c>
      <c r="Q20" s="51">
        <v>0</v>
      </c>
      <c r="R20" s="52" t="s">
        <v>47</v>
      </c>
      <c r="S20" s="52" t="s">
        <v>47</v>
      </c>
      <c r="T20" s="52" t="s">
        <v>47</v>
      </c>
      <c r="U20" s="52" t="s">
        <v>47</v>
      </c>
      <c r="V20" s="51">
        <v>107</v>
      </c>
      <c r="W20" s="52" t="s">
        <v>47</v>
      </c>
      <c r="X20" s="52" t="s">
        <v>47</v>
      </c>
      <c r="Y20" s="52" t="s">
        <v>47</v>
      </c>
      <c r="Z20" s="52" t="s">
        <v>47</v>
      </c>
      <c r="AA20" s="51">
        <v>0</v>
      </c>
      <c r="AB20" s="52" t="s">
        <v>47</v>
      </c>
      <c r="AC20" s="52" t="s">
        <v>47</v>
      </c>
      <c r="AD20" s="52" t="s">
        <v>47</v>
      </c>
      <c r="AE20" s="52" t="s">
        <v>47</v>
      </c>
      <c r="AF20" s="78">
        <v>0</v>
      </c>
    </row>
    <row r="21" spans="1:32">
      <c r="A21" s="152" t="s">
        <v>262</v>
      </c>
      <c r="B21" s="15"/>
      <c r="C21" s="50">
        <f>SUM(C18:C19)</f>
        <v>5698</v>
      </c>
      <c r="D21" s="50">
        <f>SUM(D18:D19)</f>
        <v>5758</v>
      </c>
      <c r="E21" s="50">
        <f>SUM(E18:E19)</f>
        <v>5589</v>
      </c>
      <c r="F21" s="50">
        <f>SUM(F18:F19)</f>
        <v>8695</v>
      </c>
      <c r="G21" s="642">
        <f>SUM(G18:G20)</f>
        <v>25739</v>
      </c>
      <c r="H21" s="50">
        <f>SUM(H18:H19)</f>
        <v>5676</v>
      </c>
      <c r="I21" s="50">
        <f>SUM(I18:I19)</f>
        <v>5722</v>
      </c>
      <c r="J21" s="50">
        <f>SUM(J18:J19)</f>
        <v>5356</v>
      </c>
      <c r="K21" s="50">
        <f>SUM(K18:K19)</f>
        <v>8577</v>
      </c>
      <c r="L21" s="642">
        <f>SUM(L18:L20)</f>
        <v>25331</v>
      </c>
      <c r="M21" s="50">
        <f>SUM(M18:M19)</f>
        <v>3148</v>
      </c>
      <c r="N21" s="50">
        <f>SUM(N18:N19)</f>
        <v>3727</v>
      </c>
      <c r="O21" s="50">
        <f>SUM(O18:O19)</f>
        <v>4185</v>
      </c>
      <c r="P21" s="50">
        <f>SUM(P18:P19)</f>
        <v>7037</v>
      </c>
      <c r="Q21" s="642">
        <f>SUM(Q18:Q20)</f>
        <v>18097</v>
      </c>
      <c r="R21" s="50">
        <f>SUM(R18:R19)</f>
        <v>4865</v>
      </c>
      <c r="S21" s="50">
        <f>SUM(S18:S19)</f>
        <v>5844</v>
      </c>
      <c r="T21" s="50">
        <f>SUM(T18:T19)</f>
        <v>5653</v>
      </c>
      <c r="U21" s="50">
        <f>SUM(U18:U19)</f>
        <v>8930</v>
      </c>
      <c r="V21" s="642">
        <f>SUM(V18:V20)</f>
        <v>25399</v>
      </c>
      <c r="W21" s="642">
        <f>SUM(W18:W19)</f>
        <v>5565</v>
      </c>
      <c r="X21" s="642">
        <f>SUM(X18:X19)</f>
        <v>5834</v>
      </c>
      <c r="Y21" s="642">
        <f>SUM(Y18:Y19)</f>
        <v>5467</v>
      </c>
      <c r="Z21" s="642">
        <f>SUM(Z18:Z19)</f>
        <v>8583</v>
      </c>
      <c r="AA21" s="642">
        <f>SUM(AA18:AA20)</f>
        <v>25449</v>
      </c>
      <c r="AB21" s="642">
        <f>SUM(AB18:AB19)</f>
        <v>5173</v>
      </c>
      <c r="AC21" s="642">
        <f>SUM(AC18:AC19)</f>
        <v>5280</v>
      </c>
      <c r="AD21" s="642">
        <f>SUM(AD18:AD19)</f>
        <v>5038</v>
      </c>
      <c r="AE21" s="642">
        <f>SUM(AE18:AE19)</f>
        <v>8375</v>
      </c>
      <c r="AF21" s="643">
        <f>SUM(AF18:AF20)</f>
        <v>23866</v>
      </c>
    </row>
    <row r="22" spans="1:32">
      <c r="A22" s="153"/>
      <c r="B22" s="1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82"/>
    </row>
    <row r="23" spans="1:32">
      <c r="A23" s="153" t="s">
        <v>214</v>
      </c>
      <c r="B23" s="12"/>
      <c r="C23" s="52">
        <v>3382</v>
      </c>
      <c r="D23" s="52">
        <v>3320</v>
      </c>
      <c r="E23" s="52">
        <v>3226</v>
      </c>
      <c r="F23" s="52">
        <v>5288</v>
      </c>
      <c r="G23" s="51">
        <f>SUM(C23:F23)</f>
        <v>15216</v>
      </c>
      <c r="H23" s="52">
        <v>3403</v>
      </c>
      <c r="I23" s="52">
        <v>3395</v>
      </c>
      <c r="J23" s="52">
        <v>3106</v>
      </c>
      <c r="K23" s="52">
        <v>5266</v>
      </c>
      <c r="L23" s="51">
        <f>SUM(H23:K23)</f>
        <v>15170</v>
      </c>
      <c r="M23" s="52">
        <v>2201</v>
      </c>
      <c r="N23" s="52">
        <v>2718</v>
      </c>
      <c r="O23" s="52">
        <v>2569</v>
      </c>
      <c r="P23" s="52">
        <v>4798</v>
      </c>
      <c r="Q23" s="51">
        <f>SUM(M23:P23)</f>
        <v>12286</v>
      </c>
      <c r="R23" s="52">
        <v>2889</v>
      </c>
      <c r="S23" s="52">
        <v>3353</v>
      </c>
      <c r="T23" s="52">
        <v>3207</v>
      </c>
      <c r="U23" s="52">
        <v>5507</v>
      </c>
      <c r="V23" s="51">
        <f>SUM(R23:U23)</f>
        <v>14956</v>
      </c>
      <c r="W23" s="51">
        <v>3231</v>
      </c>
      <c r="X23" s="51">
        <v>3422</v>
      </c>
      <c r="Y23" s="51">
        <v>3204</v>
      </c>
      <c r="Z23" s="51">
        <v>5450</v>
      </c>
      <c r="AA23" s="51">
        <f>SUM(W23:Z23)</f>
        <v>15307</v>
      </c>
      <c r="AB23" s="51">
        <v>2988</v>
      </c>
      <c r="AC23" s="51">
        <v>3176</v>
      </c>
      <c r="AD23" s="51">
        <v>2905</v>
      </c>
      <c r="AE23" s="51">
        <v>5154</v>
      </c>
      <c r="AF23" s="78">
        <f>SUM(AB23:AE23)</f>
        <v>14223</v>
      </c>
    </row>
    <row r="24" spans="1:32">
      <c r="A24" s="153" t="s">
        <v>261</v>
      </c>
      <c r="B24" s="12"/>
      <c r="C24" s="52" t="s">
        <v>47</v>
      </c>
      <c r="D24" s="52" t="s">
        <v>47</v>
      </c>
      <c r="E24" s="52" t="s">
        <v>47</v>
      </c>
      <c r="F24" s="52" t="s">
        <v>47</v>
      </c>
      <c r="G24" s="51">
        <v>1</v>
      </c>
      <c r="H24" s="52" t="s">
        <v>47</v>
      </c>
      <c r="I24" s="52" t="s">
        <v>47</v>
      </c>
      <c r="J24" s="52" t="s">
        <v>47</v>
      </c>
      <c r="K24" s="52" t="s">
        <v>47</v>
      </c>
      <c r="L24" s="51">
        <v>-1</v>
      </c>
      <c r="M24" s="52" t="s">
        <v>47</v>
      </c>
      <c r="N24" s="52" t="s">
        <v>47</v>
      </c>
      <c r="O24" s="52" t="s">
        <v>47</v>
      </c>
      <c r="P24" s="52" t="s">
        <v>47</v>
      </c>
      <c r="Q24" s="51">
        <v>0</v>
      </c>
      <c r="R24" s="52" t="s">
        <v>47</v>
      </c>
      <c r="S24" s="52" t="s">
        <v>47</v>
      </c>
      <c r="T24" s="52" t="s">
        <v>47</v>
      </c>
      <c r="U24" s="52" t="s">
        <v>47</v>
      </c>
      <c r="V24" s="51">
        <v>0</v>
      </c>
      <c r="W24" s="52" t="s">
        <v>47</v>
      </c>
      <c r="X24" s="52" t="s">
        <v>47</v>
      </c>
      <c r="Y24" s="52" t="s">
        <v>47</v>
      </c>
      <c r="Z24" s="52" t="s">
        <v>47</v>
      </c>
      <c r="AA24" s="51">
        <v>-40</v>
      </c>
      <c r="AB24" s="51" t="s">
        <v>47</v>
      </c>
      <c r="AC24" s="51" t="s">
        <v>47</v>
      </c>
      <c r="AD24" s="51" t="s">
        <v>47</v>
      </c>
      <c r="AE24" s="51" t="s">
        <v>47</v>
      </c>
      <c r="AF24" s="78">
        <v>-1</v>
      </c>
    </row>
    <row r="25" spans="1:32">
      <c r="A25" s="152" t="s">
        <v>263</v>
      </c>
      <c r="B25" s="15"/>
      <c r="C25" s="50">
        <f>C21-C23</f>
        <v>2316</v>
      </c>
      <c r="D25" s="50">
        <f>D21-D23</f>
        <v>2438</v>
      </c>
      <c r="E25" s="50">
        <f>E21-E23</f>
        <v>2363</v>
      </c>
      <c r="F25" s="50">
        <f>F21-F23</f>
        <v>3407</v>
      </c>
      <c r="G25" s="642">
        <f>G21-G23+G24</f>
        <v>10524</v>
      </c>
      <c r="H25" s="50">
        <f>H21-H23</f>
        <v>2273</v>
      </c>
      <c r="I25" s="50">
        <f>I21-I23</f>
        <v>2327</v>
      </c>
      <c r="J25" s="50">
        <f>J21-J23</f>
        <v>2250</v>
      </c>
      <c r="K25" s="50">
        <f>K21-K23</f>
        <v>3311</v>
      </c>
      <c r="L25" s="642">
        <f>L21-L23+L24</f>
        <v>10160</v>
      </c>
      <c r="M25" s="50">
        <f>M21-M23</f>
        <v>947</v>
      </c>
      <c r="N25" s="50">
        <f>N21-N23</f>
        <v>1009</v>
      </c>
      <c r="O25" s="50">
        <f>O21-O23</f>
        <v>1616</v>
      </c>
      <c r="P25" s="50">
        <f>P21-P23</f>
        <v>2239</v>
      </c>
      <c r="Q25" s="642">
        <f>Q21-Q23+Q24</f>
        <v>5811</v>
      </c>
      <c r="R25" s="50">
        <f>R21-R23</f>
        <v>1976</v>
      </c>
      <c r="S25" s="50">
        <f>S21-S23</f>
        <v>2491</v>
      </c>
      <c r="T25" s="50">
        <f>T21-T23</f>
        <v>2446</v>
      </c>
      <c r="U25" s="50">
        <f>U21-U23</f>
        <v>3423</v>
      </c>
      <c r="V25" s="642">
        <f>V21-V23+V24</f>
        <v>10443</v>
      </c>
      <c r="W25" s="642">
        <f>W21-W23</f>
        <v>2334</v>
      </c>
      <c r="X25" s="642">
        <f>X21-X23</f>
        <v>2412</v>
      </c>
      <c r="Y25" s="642">
        <f>Y21-Y23</f>
        <v>2263</v>
      </c>
      <c r="Z25" s="642">
        <f>Z21-Z23</f>
        <v>3133</v>
      </c>
      <c r="AA25" s="642">
        <f>AA21-AA23+AA24</f>
        <v>10102</v>
      </c>
      <c r="AB25" s="642">
        <f>AB21-AB23</f>
        <v>2185</v>
      </c>
      <c r="AC25" s="642">
        <f>AC21-AC23</f>
        <v>2104</v>
      </c>
      <c r="AD25" s="642">
        <f>AD21-AD23</f>
        <v>2133</v>
      </c>
      <c r="AE25" s="642">
        <f>AE21-AE23</f>
        <v>3221</v>
      </c>
      <c r="AF25" s="643">
        <f>AF21-AF23+AF24</f>
        <v>9642</v>
      </c>
    </row>
    <row r="26" spans="1:32">
      <c r="A26" s="153"/>
      <c r="B26" s="1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82"/>
    </row>
    <row r="27" spans="1:32">
      <c r="A27" s="153" t="s">
        <v>264</v>
      </c>
      <c r="B27" s="12"/>
      <c r="C27" s="52">
        <v>2072</v>
      </c>
      <c r="D27" s="52">
        <v>2153</v>
      </c>
      <c r="E27" s="52">
        <v>2246</v>
      </c>
      <c r="F27" s="52">
        <v>2530</v>
      </c>
      <c r="G27" s="51">
        <f>SUM(C27:F27)</f>
        <v>9001</v>
      </c>
      <c r="H27" s="52">
        <v>2105</v>
      </c>
      <c r="I27" s="52">
        <v>2169</v>
      </c>
      <c r="J27" s="52">
        <v>2194</v>
      </c>
      <c r="K27" s="52">
        <v>2501</v>
      </c>
      <c r="L27" s="51">
        <f>SUM(H27:K27)</f>
        <v>8969</v>
      </c>
      <c r="M27" s="52">
        <v>1589</v>
      </c>
      <c r="N27" s="52">
        <v>1386</v>
      </c>
      <c r="O27" s="52">
        <v>1710</v>
      </c>
      <c r="P27" s="52">
        <v>2027</v>
      </c>
      <c r="Q27" s="51">
        <v>6713</v>
      </c>
      <c r="R27" s="52">
        <v>1733</v>
      </c>
      <c r="S27" s="52">
        <v>1881</v>
      </c>
      <c r="T27" s="52">
        <v>1956</v>
      </c>
      <c r="U27" s="52">
        <v>2412</v>
      </c>
      <c r="V27" s="51">
        <f>SUM(R27:U27)</f>
        <v>7982</v>
      </c>
      <c r="W27" s="51">
        <v>1898</v>
      </c>
      <c r="X27" s="51">
        <v>2004</v>
      </c>
      <c r="Y27" s="51">
        <v>2081</v>
      </c>
      <c r="Z27" s="51">
        <v>2457</v>
      </c>
      <c r="AA27" s="51">
        <f>SUM(W27:Z27)</f>
        <v>8440</v>
      </c>
      <c r="AB27" s="51">
        <v>1946</v>
      </c>
      <c r="AC27" s="51">
        <v>1976</v>
      </c>
      <c r="AD27" s="51">
        <v>2038</v>
      </c>
      <c r="AE27" s="51">
        <v>2404</v>
      </c>
      <c r="AF27" s="78">
        <f>SUM(AB27:AE27)</f>
        <v>8364</v>
      </c>
    </row>
    <row r="28" spans="1:32">
      <c r="A28" s="153" t="s">
        <v>265</v>
      </c>
      <c r="B28" s="12"/>
      <c r="C28" s="52" t="s">
        <v>47</v>
      </c>
      <c r="D28" s="52" t="s">
        <v>47</v>
      </c>
      <c r="E28" s="52" t="s">
        <v>47</v>
      </c>
      <c r="F28" s="52" t="s">
        <v>47</v>
      </c>
      <c r="G28" s="51">
        <f>SUM(C28:F28)</f>
        <v>0</v>
      </c>
      <c r="H28" s="52" t="s">
        <v>47</v>
      </c>
      <c r="I28" s="52" t="s">
        <v>47</v>
      </c>
      <c r="J28" s="52" t="s">
        <v>47</v>
      </c>
      <c r="K28" s="52" t="s">
        <v>47</v>
      </c>
      <c r="L28" s="51">
        <f>SUM(H28:K28)</f>
        <v>0</v>
      </c>
      <c r="M28" s="52" t="s">
        <v>47</v>
      </c>
      <c r="N28" s="52" t="s">
        <v>47</v>
      </c>
      <c r="O28" s="52" t="s">
        <v>47</v>
      </c>
      <c r="P28" s="52" t="s">
        <v>47</v>
      </c>
      <c r="Q28" s="51" t="s">
        <v>47</v>
      </c>
      <c r="R28" s="52" t="s">
        <v>47</v>
      </c>
      <c r="S28" s="52" t="s">
        <v>47</v>
      </c>
      <c r="T28" s="52" t="s">
        <v>47</v>
      </c>
      <c r="U28" s="52" t="s">
        <v>47</v>
      </c>
      <c r="V28" s="51">
        <f>SUM(R28:U28)</f>
        <v>0</v>
      </c>
      <c r="W28" s="51" t="s">
        <v>47</v>
      </c>
      <c r="X28" s="51" t="s">
        <v>47</v>
      </c>
      <c r="Y28" s="51" t="s">
        <v>47</v>
      </c>
      <c r="Z28" s="51" t="s">
        <v>47</v>
      </c>
      <c r="AA28" s="51">
        <f>SUM(W28:Z28)</f>
        <v>0</v>
      </c>
      <c r="AB28" s="51" t="s">
        <v>47</v>
      </c>
      <c r="AC28" s="51" t="s">
        <v>47</v>
      </c>
      <c r="AD28" s="51" t="s">
        <v>47</v>
      </c>
      <c r="AE28" s="51" t="s">
        <v>47</v>
      </c>
      <c r="AF28" s="78" t="s">
        <v>47</v>
      </c>
    </row>
    <row r="29" spans="1:32">
      <c r="A29" s="153" t="s">
        <v>266</v>
      </c>
      <c r="B29" s="12"/>
      <c r="C29" s="52" t="s">
        <v>47</v>
      </c>
      <c r="D29" s="52" t="s">
        <v>47</v>
      </c>
      <c r="E29" s="52" t="s">
        <v>47</v>
      </c>
      <c r="F29" s="52" t="s">
        <v>47</v>
      </c>
      <c r="G29" s="51">
        <f>SUM(C29:F29)</f>
        <v>0</v>
      </c>
      <c r="H29" s="52" t="s">
        <v>47</v>
      </c>
      <c r="I29" s="52" t="s">
        <v>47</v>
      </c>
      <c r="J29" s="52" t="s">
        <v>47</v>
      </c>
      <c r="K29" s="52" t="s">
        <v>47</v>
      </c>
      <c r="L29" s="51">
        <f>SUM(H29:K29)</f>
        <v>0</v>
      </c>
      <c r="M29" s="52" t="s">
        <v>47</v>
      </c>
      <c r="N29" s="52" t="s">
        <v>47</v>
      </c>
      <c r="O29" s="52" t="s">
        <v>47</v>
      </c>
      <c r="P29" s="52" t="s">
        <v>47</v>
      </c>
      <c r="Q29" s="51" t="s">
        <v>47</v>
      </c>
      <c r="R29" s="52" t="s">
        <v>47</v>
      </c>
      <c r="S29" s="52" t="s">
        <v>47</v>
      </c>
      <c r="T29" s="52" t="s">
        <v>47</v>
      </c>
      <c r="U29" s="52" t="s">
        <v>47</v>
      </c>
      <c r="V29" s="51">
        <f>SUM(R29:U29)</f>
        <v>0</v>
      </c>
      <c r="W29" s="51" t="s">
        <v>47</v>
      </c>
      <c r="X29" s="51" t="s">
        <v>47</v>
      </c>
      <c r="Y29" s="51" t="s">
        <v>47</v>
      </c>
      <c r="Z29" s="51" t="s">
        <v>47</v>
      </c>
      <c r="AA29" s="51">
        <f>SUM(W29:Z29)</f>
        <v>0</v>
      </c>
      <c r="AB29" s="51" t="s">
        <v>47</v>
      </c>
      <c r="AC29" s="51" t="s">
        <v>47</v>
      </c>
      <c r="AD29" s="51" t="s">
        <v>47</v>
      </c>
      <c r="AE29" s="51" t="s">
        <v>47</v>
      </c>
      <c r="AF29" s="78" t="s">
        <v>47</v>
      </c>
    </row>
    <row r="30" spans="1:32">
      <c r="A30" s="153" t="s">
        <v>267</v>
      </c>
      <c r="B30" s="12"/>
      <c r="C30" s="52" t="s">
        <v>47</v>
      </c>
      <c r="D30" s="52" t="s">
        <v>47</v>
      </c>
      <c r="E30" s="52" t="s">
        <v>47</v>
      </c>
      <c r="F30" s="52">
        <v>-8</v>
      </c>
      <c r="G30" s="51">
        <f>SUM(C30:F30)</f>
        <v>-8</v>
      </c>
      <c r="H30" s="52">
        <v>1</v>
      </c>
      <c r="I30" s="52">
        <v>1</v>
      </c>
      <c r="J30" s="52">
        <v>8</v>
      </c>
      <c r="K30" s="52">
        <v>-10</v>
      </c>
      <c r="L30" s="51">
        <f>SUM(H30:K30)</f>
        <v>0</v>
      </c>
      <c r="M30" s="52">
        <v>9</v>
      </c>
      <c r="N30" s="52">
        <v>58</v>
      </c>
      <c r="O30" s="52">
        <v>12</v>
      </c>
      <c r="P30" s="52">
        <v>-79</v>
      </c>
      <c r="Q30" s="51" t="s">
        <v>47</v>
      </c>
      <c r="R30" s="52" t="s">
        <v>47</v>
      </c>
      <c r="S30" s="52" t="s">
        <v>47</v>
      </c>
      <c r="T30" s="52" t="s">
        <v>47</v>
      </c>
      <c r="U30" s="52">
        <v>21</v>
      </c>
      <c r="V30" s="51">
        <f>SUM(R30:U30)</f>
        <v>21</v>
      </c>
      <c r="W30" s="51" t="s">
        <v>47</v>
      </c>
      <c r="X30" s="51" t="s">
        <v>47</v>
      </c>
      <c r="Y30" s="51" t="s">
        <v>47</v>
      </c>
      <c r="Z30" s="51">
        <v>21</v>
      </c>
      <c r="AA30" s="51">
        <f>SUM(W30:Z30)</f>
        <v>21</v>
      </c>
      <c r="AB30" s="51" t="s">
        <v>47</v>
      </c>
      <c r="AC30" s="51" t="s">
        <v>47</v>
      </c>
      <c r="AD30" s="51" t="s">
        <v>47</v>
      </c>
      <c r="AE30" s="51">
        <v>15</v>
      </c>
      <c r="AF30" s="78">
        <v>15</v>
      </c>
    </row>
    <row r="31" spans="1:32">
      <c r="A31" s="153" t="s">
        <v>268</v>
      </c>
      <c r="B31" s="12"/>
      <c r="C31" s="52" t="s">
        <v>47</v>
      </c>
      <c r="D31" s="52" t="s">
        <v>47</v>
      </c>
      <c r="E31" s="52" t="s">
        <v>47</v>
      </c>
      <c r="F31" s="52" t="s">
        <v>47</v>
      </c>
      <c r="G31" s="52">
        <v>-1</v>
      </c>
      <c r="H31" s="52" t="s">
        <v>47</v>
      </c>
      <c r="I31" s="52" t="s">
        <v>47</v>
      </c>
      <c r="J31" s="52" t="s">
        <v>47</v>
      </c>
      <c r="K31" s="52" t="s">
        <v>47</v>
      </c>
      <c r="L31" s="52">
        <v>32</v>
      </c>
      <c r="M31" s="52" t="s">
        <v>47</v>
      </c>
      <c r="N31" s="52" t="s">
        <v>47</v>
      </c>
      <c r="O31" s="52" t="s">
        <v>47</v>
      </c>
      <c r="P31" s="52" t="s">
        <v>47</v>
      </c>
      <c r="Q31" s="52">
        <v>0</v>
      </c>
      <c r="R31" s="52" t="s">
        <v>47</v>
      </c>
      <c r="S31" s="52" t="s">
        <v>47</v>
      </c>
      <c r="T31" s="52" t="s">
        <v>47</v>
      </c>
      <c r="U31" s="52" t="s">
        <v>47</v>
      </c>
      <c r="V31" s="52">
        <v>106</v>
      </c>
      <c r="W31" s="52" t="s">
        <v>47</v>
      </c>
      <c r="X31" s="52" t="s">
        <v>47</v>
      </c>
      <c r="Y31" s="52" t="s">
        <v>47</v>
      </c>
      <c r="Z31" s="52" t="s">
        <v>47</v>
      </c>
      <c r="AA31" s="52">
        <v>1</v>
      </c>
      <c r="AB31" s="52" t="s">
        <v>47</v>
      </c>
      <c r="AC31" s="52" t="s">
        <v>47</v>
      </c>
      <c r="AD31" s="52" t="s">
        <v>47</v>
      </c>
      <c r="AE31" s="52" t="s">
        <v>47</v>
      </c>
      <c r="AF31" s="82">
        <v>0</v>
      </c>
    </row>
    <row r="32" spans="1:32">
      <c r="A32" s="152" t="s">
        <v>269</v>
      </c>
      <c r="B32" s="15"/>
      <c r="C32" s="50">
        <f>SUM(C27:C30)</f>
        <v>2072</v>
      </c>
      <c r="D32" s="50">
        <f>SUM(D27:D30)</f>
        <v>2153</v>
      </c>
      <c r="E32" s="50">
        <f>SUM(E27:E30)</f>
        <v>2246</v>
      </c>
      <c r="F32" s="50">
        <f>SUM(F27:F30)</f>
        <v>2522</v>
      </c>
      <c r="G32" s="644">
        <f>SUM(G27:G31)</f>
        <v>8992</v>
      </c>
      <c r="H32" s="50">
        <f>SUM(H27:H30)</f>
        <v>2106</v>
      </c>
      <c r="I32" s="50">
        <f>SUM(I27:I30)</f>
        <v>2170</v>
      </c>
      <c r="J32" s="50">
        <f>SUM(J27:J30)</f>
        <v>2202</v>
      </c>
      <c r="K32" s="50">
        <f>SUM(K27:K30)</f>
        <v>2491</v>
      </c>
      <c r="L32" s="644">
        <f>SUM(L27:L31)</f>
        <v>9001</v>
      </c>
      <c r="M32" s="50">
        <f>SUM(M27:M30)</f>
        <v>1598</v>
      </c>
      <c r="N32" s="50">
        <f>SUM(N27:N30)</f>
        <v>1444</v>
      </c>
      <c r="O32" s="50">
        <f>SUM(O27:O30)</f>
        <v>1722</v>
      </c>
      <c r="P32" s="50">
        <f>SUM(P27:P30)</f>
        <v>1948</v>
      </c>
      <c r="Q32" s="644">
        <f>SUM(Q27:Q31)</f>
        <v>6713</v>
      </c>
      <c r="R32" s="50">
        <f>SUM(R27:R30)</f>
        <v>1733</v>
      </c>
      <c r="S32" s="50">
        <f>SUM(S27:S30)</f>
        <v>1881</v>
      </c>
      <c r="T32" s="50">
        <f>SUM(T27:T30)</f>
        <v>1956</v>
      </c>
      <c r="U32" s="50">
        <f>SUM(U27:U30)</f>
        <v>2433</v>
      </c>
      <c r="V32" s="644">
        <f>SUM(V27:V31)</f>
        <v>8109</v>
      </c>
      <c r="W32" s="642">
        <f>SUM(W27:W30)</f>
        <v>1898</v>
      </c>
      <c r="X32" s="642">
        <f>SUM(X27:X30)</f>
        <v>2004</v>
      </c>
      <c r="Y32" s="642">
        <f>SUM(Y27:Y30)</f>
        <v>2081</v>
      </c>
      <c r="Z32" s="642">
        <f>SUM(Z27:Z30)</f>
        <v>2478</v>
      </c>
      <c r="AA32" s="644">
        <f>SUM(AA27:AA31)</f>
        <v>8462</v>
      </c>
      <c r="AB32" s="642">
        <f>SUM(AB27:AB30)</f>
        <v>1946</v>
      </c>
      <c r="AC32" s="642">
        <f>SUM(AC27:AC30)</f>
        <v>1976</v>
      </c>
      <c r="AD32" s="642">
        <f>SUM(AD27:AD30)</f>
        <v>2038</v>
      </c>
      <c r="AE32" s="642">
        <f>SUM(AE27:AE30)</f>
        <v>2419</v>
      </c>
      <c r="AF32" s="645">
        <f>SUM(AF27:AF31)</f>
        <v>8379</v>
      </c>
    </row>
    <row r="33" spans="1:35">
      <c r="A33" s="152"/>
      <c r="B33" s="15"/>
      <c r="C33" s="50"/>
      <c r="D33" s="50"/>
      <c r="E33" s="50"/>
      <c r="F33" s="50"/>
      <c r="G33" s="53"/>
      <c r="H33" s="50"/>
      <c r="I33" s="50"/>
      <c r="J33" s="50"/>
      <c r="K33" s="50"/>
      <c r="L33" s="53"/>
      <c r="M33" s="50"/>
      <c r="N33" s="50"/>
      <c r="O33" s="50"/>
      <c r="P33" s="50"/>
      <c r="Q33" s="53"/>
      <c r="R33" s="50"/>
      <c r="S33" s="50"/>
      <c r="T33" s="50"/>
      <c r="U33" s="50"/>
      <c r="V33" s="53"/>
      <c r="W33" s="53"/>
      <c r="X33" s="53"/>
      <c r="Y33" s="53"/>
      <c r="Z33" s="53"/>
      <c r="AA33" s="53"/>
      <c r="AB33" s="53"/>
      <c r="AC33" s="53"/>
      <c r="AD33" s="53"/>
      <c r="AE33" s="53"/>
      <c r="AF33" s="74"/>
    </row>
    <row r="34" spans="1:35">
      <c r="A34" s="152" t="s">
        <v>270</v>
      </c>
      <c r="B34" s="15"/>
      <c r="C34" s="50">
        <f>C25-C32</f>
        <v>244</v>
      </c>
      <c r="D34" s="50">
        <f t="shared" ref="D34:AF34" si="0">D25-D32</f>
        <v>285</v>
      </c>
      <c r="E34" s="50">
        <f t="shared" si="0"/>
        <v>117</v>
      </c>
      <c r="F34" s="50">
        <f t="shared" si="0"/>
        <v>885</v>
      </c>
      <c r="G34" s="646">
        <f t="shared" si="0"/>
        <v>1532</v>
      </c>
      <c r="H34" s="50">
        <f t="shared" si="0"/>
        <v>167</v>
      </c>
      <c r="I34" s="50">
        <f t="shared" si="0"/>
        <v>157</v>
      </c>
      <c r="J34" s="50">
        <f t="shared" si="0"/>
        <v>48</v>
      </c>
      <c r="K34" s="50">
        <f t="shared" si="0"/>
        <v>820</v>
      </c>
      <c r="L34" s="646">
        <f t="shared" si="0"/>
        <v>1159</v>
      </c>
      <c r="M34" s="50">
        <f t="shared" si="0"/>
        <v>-651</v>
      </c>
      <c r="N34" s="50">
        <f t="shared" si="0"/>
        <v>-435</v>
      </c>
      <c r="O34" s="50">
        <f t="shared" si="0"/>
        <v>-106</v>
      </c>
      <c r="P34" s="50">
        <f t="shared" si="0"/>
        <v>291</v>
      </c>
      <c r="Q34" s="646">
        <f t="shared" si="0"/>
        <v>-902</v>
      </c>
      <c r="R34" s="50">
        <f t="shared" si="0"/>
        <v>243</v>
      </c>
      <c r="S34" s="50">
        <f t="shared" si="0"/>
        <v>610</v>
      </c>
      <c r="T34" s="50">
        <f t="shared" si="0"/>
        <v>490</v>
      </c>
      <c r="U34" s="50">
        <f t="shared" si="0"/>
        <v>990</v>
      </c>
      <c r="V34" s="646">
        <f t="shared" si="0"/>
        <v>2334</v>
      </c>
      <c r="W34" s="50">
        <f t="shared" si="0"/>
        <v>436</v>
      </c>
      <c r="X34" s="50">
        <f t="shared" si="0"/>
        <v>408</v>
      </c>
      <c r="Y34" s="50">
        <f t="shared" si="0"/>
        <v>182</v>
      </c>
      <c r="Z34" s="50">
        <f t="shared" si="0"/>
        <v>655</v>
      </c>
      <c r="AA34" s="646">
        <f>AA25-AA32</f>
        <v>1640</v>
      </c>
      <c r="AB34" s="50">
        <f t="shared" si="0"/>
        <v>239</v>
      </c>
      <c r="AC34" s="50">
        <f t="shared" si="0"/>
        <v>128</v>
      </c>
      <c r="AD34" s="50">
        <f t="shared" si="0"/>
        <v>95</v>
      </c>
      <c r="AE34" s="50">
        <f t="shared" si="0"/>
        <v>802</v>
      </c>
      <c r="AF34" s="647">
        <f t="shared" si="0"/>
        <v>1263</v>
      </c>
    </row>
    <row r="35" spans="1:35">
      <c r="A35" s="153"/>
      <c r="B35" s="1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82"/>
    </row>
    <row r="36" spans="1:35">
      <c r="A36" s="153" t="s">
        <v>271</v>
      </c>
      <c r="B36" s="12"/>
      <c r="C36" s="52">
        <v>-71</v>
      </c>
      <c r="D36" s="52">
        <v>-69</v>
      </c>
      <c r="E36" s="52">
        <v>-64</v>
      </c>
      <c r="F36" s="52">
        <v>-57</v>
      </c>
      <c r="G36" s="51">
        <f>SUM(C36:F36)</f>
        <v>-261</v>
      </c>
      <c r="H36" s="52">
        <v>-54</v>
      </c>
      <c r="I36" s="52">
        <v>-52</v>
      </c>
      <c r="J36" s="52">
        <v>-52</v>
      </c>
      <c r="K36" s="52">
        <v>-46</v>
      </c>
      <c r="L36" s="51">
        <f>SUM(H36:K36)</f>
        <v>-204</v>
      </c>
      <c r="M36" s="52">
        <v>-49</v>
      </c>
      <c r="N36" s="52">
        <v>-70</v>
      </c>
      <c r="O36" s="52">
        <v>-80</v>
      </c>
      <c r="P36" s="52">
        <v>-85</v>
      </c>
      <c r="Q36" s="51">
        <f>SUM(M36:P36)</f>
        <v>-284</v>
      </c>
      <c r="R36" s="52">
        <v>-79</v>
      </c>
      <c r="S36" s="52">
        <v>-80</v>
      </c>
      <c r="T36" s="52">
        <v>-53</v>
      </c>
      <c r="U36" s="52">
        <v>-44</v>
      </c>
      <c r="V36" s="51">
        <f>SUM(R36:U36)</f>
        <v>-256</v>
      </c>
      <c r="W36" s="51">
        <v>-47</v>
      </c>
      <c r="X36" s="51">
        <v>-42</v>
      </c>
      <c r="Y36" s="51">
        <v>-42</v>
      </c>
      <c r="Z36" s="51">
        <v>-31</v>
      </c>
      <c r="AA36" s="51">
        <f>SUM(W36:Z36)</f>
        <v>-162</v>
      </c>
      <c r="AB36" s="51">
        <v>-37</v>
      </c>
      <c r="AC36" s="51">
        <v>-36</v>
      </c>
      <c r="AD36" s="51">
        <v>-35</v>
      </c>
      <c r="AE36" s="51">
        <v>-27</v>
      </c>
      <c r="AF36" s="78">
        <f>SUM(AB36:AE36)</f>
        <v>-135</v>
      </c>
    </row>
    <row r="37" spans="1:35">
      <c r="A37" s="153" t="s">
        <v>272</v>
      </c>
      <c r="B37" s="12"/>
      <c r="C37" s="52">
        <v>5</v>
      </c>
      <c r="D37" s="52">
        <v>7</v>
      </c>
      <c r="E37" s="52">
        <v>5</v>
      </c>
      <c r="F37" s="52">
        <v>8</v>
      </c>
      <c r="G37" s="51">
        <f>SUM(C37:F37)</f>
        <v>25</v>
      </c>
      <c r="H37" s="52">
        <v>7</v>
      </c>
      <c r="I37" s="52">
        <v>5</v>
      </c>
      <c r="J37" s="52">
        <v>4</v>
      </c>
      <c r="K37" s="52">
        <v>4</v>
      </c>
      <c r="L37" s="51">
        <f>SUM(H37:K37)</f>
        <v>20</v>
      </c>
      <c r="M37" s="52">
        <v>2</v>
      </c>
      <c r="N37" s="52">
        <v>1</v>
      </c>
      <c r="O37" s="52" t="s">
        <v>47</v>
      </c>
      <c r="P37" s="52">
        <v>1</v>
      </c>
      <c r="Q37" s="51">
        <f>SUM(M37:P37)</f>
        <v>4</v>
      </c>
      <c r="R37" s="52" t="s">
        <v>47</v>
      </c>
      <c r="S37" s="52" t="s">
        <v>47</v>
      </c>
      <c r="T37" s="52" t="s">
        <v>47</v>
      </c>
      <c r="U37" s="52">
        <v>0</v>
      </c>
      <c r="V37" s="51">
        <f>SUM(R37:U37)</f>
        <v>0</v>
      </c>
      <c r="W37" s="51" t="s">
        <v>47</v>
      </c>
      <c r="X37" s="51" t="s">
        <v>47</v>
      </c>
      <c r="Y37" s="51" t="s">
        <v>47</v>
      </c>
      <c r="Z37" s="51" t="s">
        <v>47</v>
      </c>
      <c r="AA37" s="51">
        <f>SUM(W37:Z37)</f>
        <v>0</v>
      </c>
      <c r="AB37" s="51" t="s">
        <v>47</v>
      </c>
      <c r="AC37" s="51" t="s">
        <v>47</v>
      </c>
      <c r="AD37" s="51" t="s">
        <v>47</v>
      </c>
      <c r="AE37" s="51" t="s">
        <v>47</v>
      </c>
      <c r="AF37" s="78">
        <f>SUM(AB37:AE37)</f>
        <v>0</v>
      </c>
    </row>
    <row r="38" spans="1:35">
      <c r="A38" s="153" t="s">
        <v>273</v>
      </c>
      <c r="B38" s="12"/>
      <c r="C38" s="52" t="s">
        <v>47</v>
      </c>
      <c r="D38" s="52" t="s">
        <v>47</v>
      </c>
      <c r="E38" s="52" t="s">
        <v>47</v>
      </c>
      <c r="F38" s="52" t="s">
        <v>47</v>
      </c>
      <c r="G38" s="51">
        <v>0</v>
      </c>
      <c r="H38" s="51" t="s">
        <v>47</v>
      </c>
      <c r="I38" s="51" t="s">
        <v>47</v>
      </c>
      <c r="J38" s="51" t="s">
        <v>47</v>
      </c>
      <c r="K38" s="51" t="s">
        <v>47</v>
      </c>
      <c r="L38" s="51">
        <v>-1</v>
      </c>
      <c r="M38" s="51" t="s">
        <v>47</v>
      </c>
      <c r="N38" s="51" t="s">
        <v>47</v>
      </c>
      <c r="O38" s="51" t="s">
        <v>47</v>
      </c>
      <c r="P38" s="51" t="s">
        <v>47</v>
      </c>
      <c r="Q38" s="51">
        <v>0</v>
      </c>
      <c r="R38" s="51" t="s">
        <v>47</v>
      </c>
      <c r="S38" s="51" t="s">
        <v>47</v>
      </c>
      <c r="T38" s="51" t="s">
        <v>47</v>
      </c>
      <c r="U38" s="51" t="s">
        <v>47</v>
      </c>
      <c r="V38" s="51">
        <v>1</v>
      </c>
      <c r="W38" s="51" t="s">
        <v>47</v>
      </c>
      <c r="X38" s="51" t="s">
        <v>47</v>
      </c>
      <c r="Y38" s="51" t="s">
        <v>47</v>
      </c>
      <c r="Z38" s="51" t="s">
        <v>47</v>
      </c>
      <c r="AA38" s="51">
        <v>0</v>
      </c>
      <c r="AB38" s="51" t="s">
        <v>47</v>
      </c>
      <c r="AC38" s="51" t="s">
        <v>47</v>
      </c>
      <c r="AD38" s="51" t="s">
        <v>47</v>
      </c>
      <c r="AE38" s="51" t="s">
        <v>47</v>
      </c>
      <c r="AF38" s="78">
        <v>0</v>
      </c>
    </row>
    <row r="39" spans="1:35" s="30" customFormat="1">
      <c r="A39" s="152" t="s">
        <v>274</v>
      </c>
      <c r="B39" s="15"/>
      <c r="C39" s="50">
        <f>SUM(C36:C37)</f>
        <v>-66</v>
      </c>
      <c r="D39" s="50">
        <f>SUM(D36:D37)</f>
        <v>-62</v>
      </c>
      <c r="E39" s="50">
        <f>SUM(E36:E37)</f>
        <v>-59</v>
      </c>
      <c r="F39" s="50">
        <f>SUM(F36:F37)</f>
        <v>-49</v>
      </c>
      <c r="G39" s="644">
        <f>SUM(G36:G38)</f>
        <v>-236</v>
      </c>
      <c r="H39" s="53">
        <f>SUM(H36:H37)</f>
        <v>-47</v>
      </c>
      <c r="I39" s="53">
        <f>SUM(I36:I37)</f>
        <v>-47</v>
      </c>
      <c r="J39" s="53">
        <f>SUM(J36:J37)</f>
        <v>-48</v>
      </c>
      <c r="K39" s="53">
        <f>SUM(K36:K37)</f>
        <v>-42</v>
      </c>
      <c r="L39" s="644">
        <f>SUM(L36:L38)</f>
        <v>-185</v>
      </c>
      <c r="M39" s="50">
        <f>SUM(M36:M37)</f>
        <v>-47</v>
      </c>
      <c r="N39" s="50">
        <f>SUM(N36:N37)</f>
        <v>-69</v>
      </c>
      <c r="O39" s="50">
        <f>SUM(O36:O37)</f>
        <v>-80</v>
      </c>
      <c r="P39" s="50">
        <f>SUM(P36:P37)</f>
        <v>-84</v>
      </c>
      <c r="Q39" s="644">
        <f>SUM(Q36:Q38)</f>
        <v>-280</v>
      </c>
      <c r="R39" s="50">
        <f>SUM(R36:R37)</f>
        <v>-79</v>
      </c>
      <c r="S39" s="50">
        <f>SUM(S36:S37)</f>
        <v>-80</v>
      </c>
      <c r="T39" s="50">
        <f>SUM(T36:T37)</f>
        <v>-53</v>
      </c>
      <c r="U39" s="50">
        <f>SUM(U36:U37)</f>
        <v>-44</v>
      </c>
      <c r="V39" s="644">
        <f>SUM(V36:V38)</f>
        <v>-255</v>
      </c>
      <c r="W39" s="642">
        <f>SUM(W36:W37)</f>
        <v>-47</v>
      </c>
      <c r="X39" s="642">
        <f>SUM(X36:X37)</f>
        <v>-42</v>
      </c>
      <c r="Y39" s="642">
        <f>SUM(Y36:Y37)</f>
        <v>-42</v>
      </c>
      <c r="Z39" s="642">
        <f>SUM(Z36:Z37)</f>
        <v>-31</v>
      </c>
      <c r="AA39" s="644">
        <f>SUM(AA36:AA38)</f>
        <v>-162</v>
      </c>
      <c r="AB39" s="642">
        <f>SUM(AB36:AB37)</f>
        <v>-37</v>
      </c>
      <c r="AC39" s="642">
        <f>SUM(AC36:AC37)</f>
        <v>-36</v>
      </c>
      <c r="AD39" s="642">
        <f>SUM(AD36:AD37)</f>
        <v>-35</v>
      </c>
      <c r="AE39" s="642">
        <f>SUM(AE36:AE37)</f>
        <v>-27</v>
      </c>
      <c r="AF39" s="645">
        <f>SUM(AF36:AF38)</f>
        <v>-135</v>
      </c>
    </row>
    <row r="40" spans="1:35">
      <c r="A40" s="153"/>
      <c r="B40" s="1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82"/>
    </row>
    <row r="41" spans="1:35">
      <c r="A41" s="153" t="s">
        <v>275</v>
      </c>
      <c r="B41" s="12"/>
      <c r="C41" s="52">
        <v>0</v>
      </c>
      <c r="D41" s="52">
        <v>0</v>
      </c>
      <c r="E41" s="52">
        <v>0</v>
      </c>
      <c r="F41" s="52">
        <v>0</v>
      </c>
      <c r="G41" s="52">
        <v>0</v>
      </c>
      <c r="H41" s="52">
        <v>0</v>
      </c>
      <c r="I41" s="52">
        <v>0</v>
      </c>
      <c r="J41" s="52">
        <v>0</v>
      </c>
      <c r="K41" s="52">
        <v>0</v>
      </c>
      <c r="L41" s="51">
        <v>0</v>
      </c>
      <c r="M41" s="52">
        <v>0</v>
      </c>
      <c r="N41" s="52">
        <v>-3</v>
      </c>
      <c r="O41" s="52">
        <v>0</v>
      </c>
      <c r="P41" s="52">
        <v>-1</v>
      </c>
      <c r="Q41" s="51">
        <f>SUM(M41:P41)</f>
        <v>-4</v>
      </c>
      <c r="R41" s="52">
        <v>0</v>
      </c>
      <c r="S41" s="52">
        <v>0</v>
      </c>
      <c r="T41" s="277">
        <v>0</v>
      </c>
      <c r="U41" s="277">
        <v>0</v>
      </c>
      <c r="V41" s="51">
        <v>0</v>
      </c>
      <c r="W41" s="277">
        <v>0</v>
      </c>
      <c r="X41" s="277">
        <v>0</v>
      </c>
      <c r="Y41" s="277">
        <v>0</v>
      </c>
      <c r="Z41" s="277">
        <v>0</v>
      </c>
      <c r="AA41" s="51">
        <v>0</v>
      </c>
      <c r="AB41" s="277">
        <v>0</v>
      </c>
      <c r="AC41" s="277">
        <v>0</v>
      </c>
      <c r="AD41" s="277">
        <v>0</v>
      </c>
      <c r="AE41" s="277">
        <v>0</v>
      </c>
      <c r="AF41" s="78">
        <v>0</v>
      </c>
    </row>
    <row r="42" spans="1:35">
      <c r="A42" s="153" t="s">
        <v>268</v>
      </c>
      <c r="B42" s="12"/>
      <c r="C42" s="52">
        <v>0</v>
      </c>
      <c r="D42" s="52">
        <v>0</v>
      </c>
      <c r="E42" s="52">
        <v>0</v>
      </c>
      <c r="F42" s="52">
        <v>0</v>
      </c>
      <c r="G42" s="51">
        <v>-1</v>
      </c>
      <c r="H42" s="51">
        <v>0</v>
      </c>
      <c r="I42" s="51">
        <v>0</v>
      </c>
      <c r="J42" s="51">
        <v>0</v>
      </c>
      <c r="K42" s="51">
        <v>0</v>
      </c>
      <c r="L42" s="51">
        <v>1</v>
      </c>
      <c r="M42" s="51">
        <v>0</v>
      </c>
      <c r="N42" s="51">
        <v>0</v>
      </c>
      <c r="O42" s="51">
        <v>0</v>
      </c>
      <c r="P42" s="51">
        <v>0</v>
      </c>
      <c r="Q42" s="51">
        <v>-1</v>
      </c>
      <c r="R42" s="52">
        <v>0</v>
      </c>
      <c r="S42" s="52">
        <v>0</v>
      </c>
      <c r="T42" s="277">
        <v>0</v>
      </c>
      <c r="U42" s="277">
        <v>0</v>
      </c>
      <c r="V42" s="51">
        <v>0</v>
      </c>
      <c r="W42" s="277">
        <v>0</v>
      </c>
      <c r="X42" s="277">
        <v>0</v>
      </c>
      <c r="Y42" s="277">
        <v>0</v>
      </c>
      <c r="Z42" s="277">
        <v>0</v>
      </c>
      <c r="AA42" s="51">
        <v>0</v>
      </c>
      <c r="AB42" s="277">
        <v>0</v>
      </c>
      <c r="AC42" s="277">
        <v>0</v>
      </c>
      <c r="AD42" s="277">
        <v>0</v>
      </c>
      <c r="AE42" s="277">
        <v>0</v>
      </c>
      <c r="AF42" s="78">
        <v>1</v>
      </c>
      <c r="AI42" s="80"/>
    </row>
    <row r="43" spans="1:35">
      <c r="A43" s="152" t="s">
        <v>276</v>
      </c>
      <c r="B43" s="15"/>
      <c r="C43" s="50">
        <f>C34+C39+C41+C42</f>
        <v>178</v>
      </c>
      <c r="D43" s="50">
        <f t="shared" ref="D43:F43" si="1">D34+D39+D41+D42</f>
        <v>223</v>
      </c>
      <c r="E43" s="50">
        <f t="shared" si="1"/>
        <v>58</v>
      </c>
      <c r="F43" s="50">
        <f t="shared" si="1"/>
        <v>836</v>
      </c>
      <c r="G43" s="646">
        <f>G34+G39+G41+G42</f>
        <v>1295</v>
      </c>
      <c r="H43" s="50">
        <f>H34+H39+H41+H42</f>
        <v>120</v>
      </c>
      <c r="I43" s="50">
        <f t="shared" ref="I43:AF43" si="2">I34+I39+I41+I42</f>
        <v>110</v>
      </c>
      <c r="J43" s="50">
        <f t="shared" si="2"/>
        <v>0</v>
      </c>
      <c r="K43" s="50">
        <f t="shared" si="2"/>
        <v>778</v>
      </c>
      <c r="L43" s="646">
        <f>L34+L39+L41+L42</f>
        <v>975</v>
      </c>
      <c r="M43" s="50">
        <f t="shared" si="2"/>
        <v>-698</v>
      </c>
      <c r="N43" s="50">
        <f t="shared" si="2"/>
        <v>-507</v>
      </c>
      <c r="O43" s="50">
        <f t="shared" si="2"/>
        <v>-186</v>
      </c>
      <c r="P43" s="50">
        <f t="shared" si="2"/>
        <v>206</v>
      </c>
      <c r="Q43" s="646">
        <f>Q34+Q39+Q41+Q42</f>
        <v>-1187</v>
      </c>
      <c r="R43" s="50">
        <f t="shared" si="2"/>
        <v>164</v>
      </c>
      <c r="S43" s="50">
        <f t="shared" si="2"/>
        <v>530</v>
      </c>
      <c r="T43" s="50">
        <f t="shared" si="2"/>
        <v>437</v>
      </c>
      <c r="U43" s="50">
        <f t="shared" si="2"/>
        <v>946</v>
      </c>
      <c r="V43" s="646">
        <f>V34+V39+V41+V42</f>
        <v>2079</v>
      </c>
      <c r="W43" s="50">
        <f t="shared" si="2"/>
        <v>389</v>
      </c>
      <c r="X43" s="50">
        <f t="shared" si="2"/>
        <v>366</v>
      </c>
      <c r="Y43" s="50">
        <f t="shared" si="2"/>
        <v>140</v>
      </c>
      <c r="Z43" s="50">
        <f t="shared" si="2"/>
        <v>624</v>
      </c>
      <c r="AA43" s="646">
        <f>AA34+AA39+AA41+AA42</f>
        <v>1478</v>
      </c>
      <c r="AB43" s="50">
        <f t="shared" si="2"/>
        <v>202</v>
      </c>
      <c r="AC43" s="50">
        <f t="shared" si="2"/>
        <v>92</v>
      </c>
      <c r="AD43" s="50">
        <f t="shared" si="2"/>
        <v>60</v>
      </c>
      <c r="AE43" s="50">
        <f t="shared" si="2"/>
        <v>775</v>
      </c>
      <c r="AF43" s="647">
        <f t="shared" si="2"/>
        <v>1129</v>
      </c>
    </row>
    <row r="44" spans="1:35">
      <c r="A44" s="153"/>
      <c r="B44" s="1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82"/>
    </row>
    <row r="45" spans="1:35">
      <c r="A45" s="153" t="s">
        <v>277</v>
      </c>
      <c r="B45" s="12"/>
      <c r="C45" s="52">
        <v>-19</v>
      </c>
      <c r="D45" s="52">
        <v>-17</v>
      </c>
      <c r="E45" s="52">
        <v>-3</v>
      </c>
      <c r="F45" s="52">
        <v>-41</v>
      </c>
      <c r="G45" s="51">
        <f>SUM(C45:F45)</f>
        <v>-80</v>
      </c>
      <c r="H45" s="52" t="s">
        <v>47</v>
      </c>
      <c r="I45" s="52" t="s">
        <v>47</v>
      </c>
      <c r="J45" s="52">
        <v>-5</v>
      </c>
      <c r="K45" s="52">
        <v>-313</v>
      </c>
      <c r="L45" s="51">
        <f t="shared" ref="L45:L50" si="3">SUM(H45:K45)</f>
        <v>-318</v>
      </c>
      <c r="M45" s="52">
        <v>-25</v>
      </c>
      <c r="N45" s="52">
        <v>-169</v>
      </c>
      <c r="O45" s="52">
        <v>-2</v>
      </c>
      <c r="P45" s="52">
        <v>-28</v>
      </c>
      <c r="Q45" s="51">
        <f t="shared" ref="Q45:Q50" si="4">SUM(M45:P45)</f>
        <v>-224</v>
      </c>
      <c r="R45" s="52" t="s">
        <v>47</v>
      </c>
      <c r="S45" s="52" t="s">
        <v>47</v>
      </c>
      <c r="T45" s="52" t="s">
        <v>47</v>
      </c>
      <c r="U45" s="52">
        <v>-3</v>
      </c>
      <c r="V45" s="51">
        <f>SUM(R45:U45)</f>
        <v>-3</v>
      </c>
      <c r="W45" s="51" t="s">
        <v>47</v>
      </c>
      <c r="X45" s="51" t="s">
        <v>47</v>
      </c>
      <c r="Y45" s="51" t="s">
        <v>47</v>
      </c>
      <c r="Z45" s="51">
        <v>-5</v>
      </c>
      <c r="AA45" s="51">
        <f t="shared" ref="AA45:AA50" si="5">SUM(W45:Z45)</f>
        <v>-5</v>
      </c>
      <c r="AB45" s="51" t="s">
        <v>47</v>
      </c>
      <c r="AC45" s="51" t="s">
        <v>47</v>
      </c>
      <c r="AD45" s="51" t="s">
        <v>47</v>
      </c>
      <c r="AE45" s="51">
        <v>-55</v>
      </c>
      <c r="AF45" s="78">
        <f t="shared" ref="AF45:AF50" si="6">SUM(AB45:AE45)</f>
        <v>-55</v>
      </c>
    </row>
    <row r="46" spans="1:35">
      <c r="A46" s="153" t="s">
        <v>278</v>
      </c>
      <c r="B46" s="12"/>
      <c r="C46" s="52" t="s">
        <v>47</v>
      </c>
      <c r="D46" s="52" t="s">
        <v>47</v>
      </c>
      <c r="E46" s="52" t="s">
        <v>47</v>
      </c>
      <c r="F46" s="52" t="s">
        <v>47</v>
      </c>
      <c r="G46" s="51">
        <f>SUM(C46:F46)</f>
        <v>0</v>
      </c>
      <c r="H46" s="52" t="s">
        <v>47</v>
      </c>
      <c r="I46" s="52" t="s">
        <v>47</v>
      </c>
      <c r="J46" s="52" t="s">
        <v>47</v>
      </c>
      <c r="K46" s="52" t="s">
        <v>47</v>
      </c>
      <c r="L46" s="51">
        <f t="shared" si="3"/>
        <v>0</v>
      </c>
      <c r="M46" s="52">
        <v>-3070</v>
      </c>
      <c r="N46" s="52" t="s">
        <v>47</v>
      </c>
      <c r="O46" s="52" t="s">
        <v>47</v>
      </c>
      <c r="P46" s="52">
        <v>0</v>
      </c>
      <c r="Q46" s="51">
        <f t="shared" si="4"/>
        <v>-3070</v>
      </c>
      <c r="R46" s="52" t="s">
        <v>47</v>
      </c>
      <c r="S46" s="52" t="s">
        <v>47</v>
      </c>
      <c r="T46" s="52" t="s">
        <v>47</v>
      </c>
      <c r="U46" s="52" t="s">
        <v>47</v>
      </c>
      <c r="V46" s="51">
        <f>SUM(R46:U46)</f>
        <v>0</v>
      </c>
      <c r="W46" s="51" t="s">
        <v>47</v>
      </c>
      <c r="X46" s="51" t="s">
        <v>47</v>
      </c>
      <c r="Y46" s="51" t="s">
        <v>47</v>
      </c>
      <c r="Z46" s="51" t="s">
        <v>47</v>
      </c>
      <c r="AA46" s="51">
        <f t="shared" si="5"/>
        <v>0</v>
      </c>
      <c r="AB46" s="51" t="s">
        <v>47</v>
      </c>
      <c r="AC46" s="51" t="s">
        <v>47</v>
      </c>
      <c r="AD46" s="51" t="s">
        <v>47</v>
      </c>
      <c r="AE46" s="51" t="s">
        <v>47</v>
      </c>
      <c r="AF46" s="78">
        <f t="shared" si="6"/>
        <v>0</v>
      </c>
    </row>
    <row r="47" spans="1:35">
      <c r="A47" s="153" t="s">
        <v>279</v>
      </c>
      <c r="B47" s="12"/>
      <c r="C47" s="52">
        <v>24</v>
      </c>
      <c r="D47" s="52">
        <v>46</v>
      </c>
      <c r="E47" s="52">
        <v>42</v>
      </c>
      <c r="F47" s="52">
        <v>278</v>
      </c>
      <c r="G47" s="51">
        <f>SUM(C47:F47)</f>
        <v>390</v>
      </c>
      <c r="H47" s="52">
        <v>43</v>
      </c>
      <c r="I47" s="52">
        <v>7</v>
      </c>
      <c r="J47" s="52">
        <v>17</v>
      </c>
      <c r="K47" s="52">
        <v>95</v>
      </c>
      <c r="L47" s="51">
        <f t="shared" si="3"/>
        <v>162</v>
      </c>
      <c r="M47" s="52">
        <v>16</v>
      </c>
      <c r="N47" s="52" t="s">
        <v>47</v>
      </c>
      <c r="O47" s="52">
        <v>3</v>
      </c>
      <c r="P47" s="52">
        <v>40</v>
      </c>
      <c r="Q47" s="51">
        <f t="shared" si="4"/>
        <v>59</v>
      </c>
      <c r="R47" s="52">
        <v>6</v>
      </c>
      <c r="S47" s="52">
        <v>6</v>
      </c>
      <c r="T47" s="52">
        <v>50</v>
      </c>
      <c r="U47" s="52">
        <v>30</v>
      </c>
      <c r="V47" s="51">
        <f>SUM(R47:U47)</f>
        <v>92</v>
      </c>
      <c r="W47" s="51">
        <v>42</v>
      </c>
      <c r="X47" s="51" t="s">
        <v>47</v>
      </c>
      <c r="Y47" s="51">
        <v>32</v>
      </c>
      <c r="Z47" s="51">
        <v>15</v>
      </c>
      <c r="AA47" s="51">
        <f t="shared" si="5"/>
        <v>89</v>
      </c>
      <c r="AB47" s="51">
        <v>11</v>
      </c>
      <c r="AC47" s="51">
        <v>4</v>
      </c>
      <c r="AD47" s="51">
        <v>5</v>
      </c>
      <c r="AE47" s="51">
        <v>41</v>
      </c>
      <c r="AF47" s="78">
        <f t="shared" si="6"/>
        <v>61</v>
      </c>
    </row>
    <row r="48" spans="1:35">
      <c r="A48" s="153" t="s">
        <v>280</v>
      </c>
      <c r="B48" s="12"/>
      <c r="C48" s="52" t="s">
        <v>47</v>
      </c>
      <c r="D48" s="52" t="s">
        <v>47</v>
      </c>
      <c r="E48" s="52" t="s">
        <v>47</v>
      </c>
      <c r="F48" s="52">
        <v>-64</v>
      </c>
      <c r="G48" s="51">
        <f>SUM(C48:F48)</f>
        <v>-64</v>
      </c>
      <c r="H48" s="52" t="s">
        <v>47</v>
      </c>
      <c r="I48" s="52">
        <v>-1</v>
      </c>
      <c r="J48" s="52" t="s">
        <v>47</v>
      </c>
      <c r="K48" s="52">
        <v>-35</v>
      </c>
      <c r="L48" s="51">
        <f t="shared" si="3"/>
        <v>-36</v>
      </c>
      <c r="M48" s="52">
        <v>-380</v>
      </c>
      <c r="N48" s="52">
        <v>-15</v>
      </c>
      <c r="O48" s="52">
        <v>-6</v>
      </c>
      <c r="P48" s="52">
        <v>190</v>
      </c>
      <c r="Q48" s="51">
        <f t="shared" si="4"/>
        <v>-211</v>
      </c>
      <c r="R48" s="52">
        <v>-19</v>
      </c>
      <c r="S48" s="52">
        <v>-2</v>
      </c>
      <c r="T48" s="52" t="s">
        <v>47</v>
      </c>
      <c r="U48" s="52">
        <v>15</v>
      </c>
      <c r="V48" s="51">
        <f>SUM(R48:U48)</f>
        <v>-6</v>
      </c>
      <c r="W48" s="51">
        <v>-8</v>
      </c>
      <c r="X48" s="51">
        <v>-2</v>
      </c>
      <c r="Y48" s="51">
        <v>-15</v>
      </c>
      <c r="Z48" s="51">
        <v>10</v>
      </c>
      <c r="AA48" s="51">
        <f t="shared" si="5"/>
        <v>-15</v>
      </c>
      <c r="AB48" s="51">
        <v>-2</v>
      </c>
      <c r="AC48" s="51">
        <v>-4</v>
      </c>
      <c r="AD48" s="51">
        <v>-15</v>
      </c>
      <c r="AE48" s="51">
        <v>-936</v>
      </c>
      <c r="AF48" s="78">
        <f t="shared" si="6"/>
        <v>-957</v>
      </c>
    </row>
    <row r="49" spans="1:40">
      <c r="A49" s="153" t="s">
        <v>281</v>
      </c>
      <c r="B49" s="12"/>
      <c r="C49" s="52" t="s">
        <v>47</v>
      </c>
      <c r="D49" s="52">
        <v>-5</v>
      </c>
      <c r="E49" s="52" t="s">
        <v>47</v>
      </c>
      <c r="F49" s="52" t="s">
        <v>47</v>
      </c>
      <c r="G49" s="51">
        <f>SUM(C49:F49)</f>
        <v>-5</v>
      </c>
      <c r="H49" s="52" t="s">
        <v>47</v>
      </c>
      <c r="I49" s="52" t="s">
        <v>47</v>
      </c>
      <c r="J49" s="52" t="s">
        <v>47</v>
      </c>
      <c r="K49" s="52" t="s">
        <v>47</v>
      </c>
      <c r="L49" s="51">
        <f t="shared" si="3"/>
        <v>0</v>
      </c>
      <c r="M49" s="52" t="s">
        <v>47</v>
      </c>
      <c r="N49" s="52" t="s">
        <v>47</v>
      </c>
      <c r="O49" s="52" t="s">
        <v>47</v>
      </c>
      <c r="P49" s="52" t="s">
        <v>47</v>
      </c>
      <c r="Q49" s="51">
        <f t="shared" si="4"/>
        <v>0</v>
      </c>
      <c r="R49" s="52">
        <v>-11</v>
      </c>
      <c r="S49" s="52">
        <v>-3</v>
      </c>
      <c r="T49" s="52">
        <v>-185</v>
      </c>
      <c r="U49" s="52" t="s">
        <v>47</v>
      </c>
      <c r="V49" s="51">
        <f>SUM(R49:U49)</f>
        <v>-199</v>
      </c>
      <c r="W49" s="51">
        <v>-31</v>
      </c>
      <c r="X49" s="51" t="s">
        <v>47</v>
      </c>
      <c r="Y49" s="51" t="s">
        <v>47</v>
      </c>
      <c r="Z49" s="51" t="s">
        <v>47</v>
      </c>
      <c r="AA49" s="51">
        <f t="shared" si="5"/>
        <v>-31</v>
      </c>
      <c r="AB49" s="51" t="s">
        <v>47</v>
      </c>
      <c r="AC49" s="51" t="s">
        <v>47</v>
      </c>
      <c r="AD49" s="51" t="s">
        <v>47</v>
      </c>
      <c r="AE49" s="51" t="s">
        <v>47</v>
      </c>
      <c r="AF49" s="78">
        <f t="shared" si="6"/>
        <v>0</v>
      </c>
      <c r="AH49" s="80"/>
      <c r="AI49" s="80"/>
      <c r="AJ49" s="80"/>
      <c r="AK49" s="80"/>
      <c r="AL49" s="80"/>
      <c r="AM49" s="80"/>
      <c r="AN49" s="80"/>
    </row>
    <row r="50" spans="1:40">
      <c r="A50" s="153" t="s">
        <v>282</v>
      </c>
      <c r="B50" s="12"/>
      <c r="C50" s="52" t="s">
        <v>47</v>
      </c>
      <c r="D50" s="52">
        <v>-50</v>
      </c>
      <c r="E50" s="52">
        <v>-23</v>
      </c>
      <c r="F50" s="52">
        <v>-43</v>
      </c>
      <c r="G50" s="51">
        <f t="shared" ref="G50" si="7">SUM(C50:F50)</f>
        <v>-116</v>
      </c>
      <c r="H50" s="52" t="s">
        <v>47</v>
      </c>
      <c r="I50" s="52" t="s">
        <v>47</v>
      </c>
      <c r="J50" s="52">
        <v>-12</v>
      </c>
      <c r="K50" s="52">
        <v>-76</v>
      </c>
      <c r="L50" s="51">
        <f t="shared" si="3"/>
        <v>-88</v>
      </c>
      <c r="M50" s="52" t="s">
        <v>47</v>
      </c>
      <c r="N50" s="52">
        <v>-38</v>
      </c>
      <c r="O50" s="52">
        <v>-26</v>
      </c>
      <c r="P50" s="52">
        <v>-94</v>
      </c>
      <c r="Q50" s="51">
        <f t="shared" si="4"/>
        <v>-158</v>
      </c>
      <c r="R50" s="52" t="s">
        <v>47</v>
      </c>
      <c r="S50" s="52">
        <v>-81</v>
      </c>
      <c r="T50" s="52">
        <v>-8</v>
      </c>
      <c r="U50" s="52">
        <v>-6</v>
      </c>
      <c r="V50" s="51">
        <f t="shared" ref="V50" si="8">SUM(R50:U50)</f>
        <v>-95</v>
      </c>
      <c r="W50" s="51" t="s">
        <v>47</v>
      </c>
      <c r="X50" s="51" t="s">
        <v>47</v>
      </c>
      <c r="Y50" s="51">
        <v>-32</v>
      </c>
      <c r="Z50" s="51">
        <v>-7</v>
      </c>
      <c r="AA50" s="51">
        <f t="shared" si="5"/>
        <v>-39</v>
      </c>
      <c r="AB50" s="51" t="s">
        <v>47</v>
      </c>
      <c r="AC50" s="51">
        <v>-122</v>
      </c>
      <c r="AD50" s="51">
        <v>-7</v>
      </c>
      <c r="AE50" s="51">
        <v>-5</v>
      </c>
      <c r="AF50" s="78">
        <f t="shared" si="6"/>
        <v>-134</v>
      </c>
    </row>
    <row r="51" spans="1:40">
      <c r="A51" s="154" t="s">
        <v>268</v>
      </c>
      <c r="B51" s="12"/>
      <c r="C51" s="52" t="s">
        <v>47</v>
      </c>
      <c r="D51" s="52" t="s">
        <v>47</v>
      </c>
      <c r="E51" s="52" t="s">
        <v>47</v>
      </c>
      <c r="F51" s="52" t="s">
        <v>47</v>
      </c>
      <c r="G51" s="51">
        <v>0</v>
      </c>
      <c r="H51" s="51" t="s">
        <v>47</v>
      </c>
      <c r="I51" s="51" t="s">
        <v>47</v>
      </c>
      <c r="J51" s="51" t="s">
        <v>47</v>
      </c>
      <c r="K51" s="51" t="s">
        <v>47</v>
      </c>
      <c r="L51" s="51">
        <v>33</v>
      </c>
      <c r="M51" s="51" t="s">
        <v>47</v>
      </c>
      <c r="N51" s="51" t="s">
        <v>47</v>
      </c>
      <c r="O51" s="51" t="s">
        <v>47</v>
      </c>
      <c r="P51" s="51" t="s">
        <v>47</v>
      </c>
      <c r="Q51" s="51">
        <v>1</v>
      </c>
      <c r="R51" s="51" t="s">
        <v>47</v>
      </c>
      <c r="S51" s="51">
        <v>0</v>
      </c>
      <c r="T51" s="51" t="s">
        <v>47</v>
      </c>
      <c r="U51" s="51" t="s">
        <v>47</v>
      </c>
      <c r="V51" s="51">
        <v>-2</v>
      </c>
      <c r="W51" s="51" t="s">
        <v>47</v>
      </c>
      <c r="X51" s="51" t="s">
        <v>47</v>
      </c>
      <c r="Y51" s="51" t="s">
        <v>47</v>
      </c>
      <c r="Z51" s="51" t="s">
        <v>47</v>
      </c>
      <c r="AA51" s="51">
        <v>0</v>
      </c>
      <c r="AB51" s="51" t="s">
        <v>47</v>
      </c>
      <c r="AC51" s="51" t="s">
        <v>47</v>
      </c>
      <c r="AD51" s="51" t="s">
        <v>47</v>
      </c>
      <c r="AE51" s="51" t="s">
        <v>47</v>
      </c>
      <c r="AF51" s="78">
        <v>-1</v>
      </c>
    </row>
    <row r="52" spans="1:40">
      <c r="A52" s="152" t="s">
        <v>283</v>
      </c>
      <c r="B52" s="15"/>
      <c r="C52" s="50">
        <f>C43+SUM(C45:C51)</f>
        <v>183</v>
      </c>
      <c r="D52" s="50">
        <f t="shared" ref="D52:AF52" si="9">D43+SUM(D45:D51)</f>
        <v>197</v>
      </c>
      <c r="E52" s="50">
        <f t="shared" si="9"/>
        <v>74</v>
      </c>
      <c r="F52" s="50">
        <f>F43+SUM(F45:F51)</f>
        <v>966</v>
      </c>
      <c r="G52" s="646">
        <f>G43+SUM(G45:G51)</f>
        <v>1420</v>
      </c>
      <c r="H52" s="50">
        <f t="shared" si="9"/>
        <v>163</v>
      </c>
      <c r="I52" s="50">
        <f t="shared" si="9"/>
        <v>116</v>
      </c>
      <c r="J52" s="50">
        <f t="shared" si="9"/>
        <v>0</v>
      </c>
      <c r="K52" s="50">
        <f t="shared" si="9"/>
        <v>449</v>
      </c>
      <c r="L52" s="646">
        <f t="shared" si="9"/>
        <v>728</v>
      </c>
      <c r="M52" s="50">
        <f t="shared" si="9"/>
        <v>-4157</v>
      </c>
      <c r="N52" s="50">
        <f t="shared" si="9"/>
        <v>-729</v>
      </c>
      <c r="O52" s="50">
        <f t="shared" si="9"/>
        <v>-217</v>
      </c>
      <c r="P52" s="50">
        <f t="shared" si="9"/>
        <v>314</v>
      </c>
      <c r="Q52" s="646">
        <f>Q43+SUM(Q45:Q51)</f>
        <v>-4790</v>
      </c>
      <c r="R52" s="50">
        <f t="shared" si="9"/>
        <v>140</v>
      </c>
      <c r="S52" s="50">
        <f>S43+SUM(S45:S51)</f>
        <v>450</v>
      </c>
      <c r="T52" s="50">
        <f t="shared" si="9"/>
        <v>294</v>
      </c>
      <c r="U52" s="50">
        <f>U43+SUM(U45:U51)</f>
        <v>982</v>
      </c>
      <c r="V52" s="646">
        <f t="shared" si="9"/>
        <v>1866</v>
      </c>
      <c r="W52" s="50">
        <f t="shared" si="9"/>
        <v>392</v>
      </c>
      <c r="X52" s="50">
        <f t="shared" si="9"/>
        <v>364</v>
      </c>
      <c r="Y52" s="50">
        <f t="shared" si="9"/>
        <v>125</v>
      </c>
      <c r="Z52" s="50">
        <f t="shared" si="9"/>
        <v>637</v>
      </c>
      <c r="AA52" s="646">
        <f t="shared" si="9"/>
        <v>1477</v>
      </c>
      <c r="AB52" s="50">
        <f t="shared" si="9"/>
        <v>211</v>
      </c>
      <c r="AC52" s="50">
        <f t="shared" si="9"/>
        <v>-30</v>
      </c>
      <c r="AD52" s="50">
        <f t="shared" si="9"/>
        <v>43</v>
      </c>
      <c r="AE52" s="50">
        <f t="shared" si="9"/>
        <v>-180</v>
      </c>
      <c r="AF52" s="647">
        <f t="shared" si="9"/>
        <v>43</v>
      </c>
    </row>
    <row r="53" spans="1:40">
      <c r="A53" s="152"/>
      <c r="B53" s="15"/>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83"/>
    </row>
    <row r="54" spans="1:40">
      <c r="A54" s="153"/>
      <c r="B54" s="1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82"/>
    </row>
    <row r="55" spans="1:40">
      <c r="A55" s="153" t="s">
        <v>284</v>
      </c>
      <c r="B55" s="12"/>
      <c r="C55" s="52">
        <v>52</v>
      </c>
      <c r="D55" s="52">
        <v>33</v>
      </c>
      <c r="E55" s="52">
        <v>12</v>
      </c>
      <c r="F55" s="52">
        <v>226</v>
      </c>
      <c r="G55" s="51">
        <v>322</v>
      </c>
      <c r="H55" s="52">
        <v>27</v>
      </c>
      <c r="I55" s="52">
        <v>30</v>
      </c>
      <c r="J55" s="52">
        <v>-2</v>
      </c>
      <c r="K55" s="52">
        <v>109</v>
      </c>
      <c r="L55" s="51">
        <f>SUM(H55:K55)</f>
        <v>164</v>
      </c>
      <c r="M55" s="52">
        <v>-576</v>
      </c>
      <c r="N55" s="52">
        <v>-298</v>
      </c>
      <c r="O55" s="52">
        <v>-126</v>
      </c>
      <c r="P55" s="52">
        <v>154</v>
      </c>
      <c r="Q55" s="51">
        <f>SUM(M55:P55)</f>
        <v>-846</v>
      </c>
      <c r="R55" s="52">
        <v>37</v>
      </c>
      <c r="S55" s="52">
        <v>105</v>
      </c>
      <c r="T55" s="52">
        <v>55</v>
      </c>
      <c r="U55" s="52">
        <v>239</v>
      </c>
      <c r="V55" s="51">
        <f>SUM(R55:U55)</f>
        <v>436</v>
      </c>
      <c r="W55" s="51">
        <v>106</v>
      </c>
      <c r="X55" s="51">
        <v>89</v>
      </c>
      <c r="Y55" s="51">
        <v>17</v>
      </c>
      <c r="Z55" s="51">
        <v>128</v>
      </c>
      <c r="AA55" s="51">
        <v>331</v>
      </c>
      <c r="AB55" s="51">
        <v>56</v>
      </c>
      <c r="AC55" s="51">
        <v>-8</v>
      </c>
      <c r="AD55" s="51">
        <v>2</v>
      </c>
      <c r="AE55" s="51">
        <v>-52</v>
      </c>
      <c r="AF55" s="78">
        <f>SUM(AB55:AE55)</f>
        <v>-2</v>
      </c>
    </row>
    <row r="56" spans="1:40">
      <c r="A56" s="152" t="s">
        <v>285</v>
      </c>
      <c r="B56" s="15"/>
      <c r="C56" s="50">
        <f>C52-C55</f>
        <v>131</v>
      </c>
      <c r="D56" s="50">
        <f t="shared" ref="D56:AF56" si="10">D52-D55</f>
        <v>164</v>
      </c>
      <c r="E56" s="50">
        <f t="shared" si="10"/>
        <v>62</v>
      </c>
      <c r="F56" s="50">
        <f>F52-F55</f>
        <v>740</v>
      </c>
      <c r="G56" s="642">
        <f t="shared" si="10"/>
        <v>1098</v>
      </c>
      <c r="H56" s="50">
        <f t="shared" si="10"/>
        <v>136</v>
      </c>
      <c r="I56" s="50">
        <f t="shared" si="10"/>
        <v>86</v>
      </c>
      <c r="J56" s="50">
        <f t="shared" si="10"/>
        <v>2</v>
      </c>
      <c r="K56" s="50">
        <f t="shared" si="10"/>
        <v>340</v>
      </c>
      <c r="L56" s="642">
        <f t="shared" si="10"/>
        <v>564</v>
      </c>
      <c r="M56" s="50">
        <f t="shared" si="10"/>
        <v>-3581</v>
      </c>
      <c r="N56" s="50">
        <f t="shared" si="10"/>
        <v>-431</v>
      </c>
      <c r="O56" s="50">
        <f t="shared" si="10"/>
        <v>-91</v>
      </c>
      <c r="P56" s="50">
        <f t="shared" si="10"/>
        <v>160</v>
      </c>
      <c r="Q56" s="642">
        <f t="shared" si="10"/>
        <v>-3944</v>
      </c>
      <c r="R56" s="50">
        <f t="shared" si="10"/>
        <v>103</v>
      </c>
      <c r="S56" s="50">
        <f t="shared" si="10"/>
        <v>345</v>
      </c>
      <c r="T56" s="50">
        <f t="shared" si="10"/>
        <v>239</v>
      </c>
      <c r="U56" s="50">
        <f>U52-U55</f>
        <v>743</v>
      </c>
      <c r="V56" s="642">
        <f t="shared" si="10"/>
        <v>1430</v>
      </c>
      <c r="W56" s="642">
        <f t="shared" si="10"/>
        <v>286</v>
      </c>
      <c r="X56" s="642">
        <f t="shared" si="10"/>
        <v>275</v>
      </c>
      <c r="Y56" s="642">
        <f t="shared" si="10"/>
        <v>108</v>
      </c>
      <c r="Z56" s="642">
        <f t="shared" si="10"/>
        <v>509</v>
      </c>
      <c r="AA56" s="642">
        <f t="shared" si="10"/>
        <v>1146</v>
      </c>
      <c r="AB56" s="642">
        <f t="shared" si="10"/>
        <v>155</v>
      </c>
      <c r="AC56" s="642">
        <f t="shared" si="10"/>
        <v>-22</v>
      </c>
      <c r="AD56" s="642">
        <f t="shared" si="10"/>
        <v>41</v>
      </c>
      <c r="AE56" s="642">
        <f t="shared" si="10"/>
        <v>-128</v>
      </c>
      <c r="AF56" s="643">
        <f t="shared" si="10"/>
        <v>45</v>
      </c>
    </row>
    <row r="57" spans="1:40">
      <c r="A57" s="153"/>
      <c r="B57" s="1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82"/>
    </row>
    <row r="58" spans="1:40">
      <c r="A58" s="153" t="s">
        <v>286</v>
      </c>
      <c r="B58" s="12"/>
      <c r="C58" s="52">
        <v>8</v>
      </c>
      <c r="D58" s="52">
        <v>2</v>
      </c>
      <c r="E58" s="52">
        <v>0</v>
      </c>
      <c r="F58" s="52">
        <v>0</v>
      </c>
      <c r="G58" s="51">
        <f>SUM(C58:F58)</f>
        <v>10</v>
      </c>
      <c r="H58" s="52">
        <v>0</v>
      </c>
      <c r="I58" s="52">
        <v>0</v>
      </c>
      <c r="J58" s="52">
        <v>0</v>
      </c>
      <c r="K58" s="52">
        <v>0</v>
      </c>
      <c r="L58" s="51">
        <v>0</v>
      </c>
      <c r="M58" s="52">
        <v>0</v>
      </c>
      <c r="N58" s="52">
        <v>0</v>
      </c>
      <c r="O58" s="52">
        <v>0</v>
      </c>
      <c r="P58" s="52">
        <v>0</v>
      </c>
      <c r="Q58" s="51">
        <v>0</v>
      </c>
      <c r="R58" s="52">
        <v>0</v>
      </c>
      <c r="S58" s="52">
        <v>0</v>
      </c>
      <c r="T58" s="52">
        <v>0</v>
      </c>
      <c r="U58" s="52">
        <v>0</v>
      </c>
      <c r="V58" s="51">
        <v>0</v>
      </c>
      <c r="W58" s="51">
        <v>0</v>
      </c>
      <c r="X58" s="51">
        <v>0</v>
      </c>
      <c r="Y58" s="51">
        <v>0</v>
      </c>
      <c r="Z58" s="51">
        <v>0</v>
      </c>
      <c r="AA58" s="51">
        <v>0</v>
      </c>
      <c r="AB58" s="51">
        <v>0</v>
      </c>
      <c r="AC58" s="51">
        <v>0</v>
      </c>
      <c r="AD58" s="51">
        <v>0</v>
      </c>
      <c r="AE58" s="51">
        <v>0</v>
      </c>
      <c r="AF58" s="78">
        <v>0</v>
      </c>
    </row>
    <row r="59" spans="1:40" ht="10.5" thickBot="1">
      <c r="A59" s="152" t="s">
        <v>287</v>
      </c>
      <c r="B59" s="15"/>
      <c r="C59" s="50">
        <f t="shared" ref="C59:AF59" si="11">C56+C58</f>
        <v>139</v>
      </c>
      <c r="D59" s="50">
        <f t="shared" si="11"/>
        <v>166</v>
      </c>
      <c r="E59" s="50">
        <f t="shared" si="11"/>
        <v>62</v>
      </c>
      <c r="F59" s="50">
        <f t="shared" si="11"/>
        <v>740</v>
      </c>
      <c r="G59" s="648">
        <f t="shared" si="11"/>
        <v>1108</v>
      </c>
      <c r="H59" s="50">
        <f t="shared" si="11"/>
        <v>136</v>
      </c>
      <c r="I59" s="50">
        <f t="shared" si="11"/>
        <v>86</v>
      </c>
      <c r="J59" s="50">
        <f t="shared" si="11"/>
        <v>2</v>
      </c>
      <c r="K59" s="50">
        <f t="shared" si="11"/>
        <v>340</v>
      </c>
      <c r="L59" s="648">
        <f t="shared" si="11"/>
        <v>564</v>
      </c>
      <c r="M59" s="50">
        <f t="shared" si="11"/>
        <v>-3581</v>
      </c>
      <c r="N59" s="50">
        <f t="shared" si="11"/>
        <v>-431</v>
      </c>
      <c r="O59" s="50">
        <f t="shared" si="11"/>
        <v>-91</v>
      </c>
      <c r="P59" s="50">
        <f>P56+P58</f>
        <v>160</v>
      </c>
      <c r="Q59" s="648">
        <f t="shared" si="11"/>
        <v>-3944</v>
      </c>
      <c r="R59" s="50">
        <f t="shared" si="11"/>
        <v>103</v>
      </c>
      <c r="S59" s="50">
        <f t="shared" si="11"/>
        <v>345</v>
      </c>
      <c r="T59" s="50">
        <f t="shared" si="11"/>
        <v>239</v>
      </c>
      <c r="U59" s="50">
        <f t="shared" si="11"/>
        <v>743</v>
      </c>
      <c r="V59" s="648">
        <f t="shared" si="11"/>
        <v>1430</v>
      </c>
      <c r="W59" s="50">
        <f t="shared" si="11"/>
        <v>286</v>
      </c>
      <c r="X59" s="50">
        <f t="shared" si="11"/>
        <v>275</v>
      </c>
      <c r="Y59" s="50">
        <f t="shared" si="11"/>
        <v>108</v>
      </c>
      <c r="Z59" s="50">
        <f t="shared" si="11"/>
        <v>509</v>
      </c>
      <c r="AA59" s="648">
        <f t="shared" si="11"/>
        <v>1146</v>
      </c>
      <c r="AB59" s="50">
        <f t="shared" si="11"/>
        <v>155</v>
      </c>
      <c r="AC59" s="50">
        <f t="shared" si="11"/>
        <v>-22</v>
      </c>
      <c r="AD59" s="50">
        <f t="shared" si="11"/>
        <v>41</v>
      </c>
      <c r="AE59" s="50">
        <f t="shared" si="11"/>
        <v>-128</v>
      </c>
      <c r="AF59" s="649">
        <f t="shared" si="11"/>
        <v>45</v>
      </c>
    </row>
    <row r="60" spans="1:40" ht="10.5" thickTop="1">
      <c r="A60" s="152"/>
      <c r="B60" s="15"/>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133"/>
    </row>
    <row r="61" spans="1:40" s="46" customFormat="1">
      <c r="A61" s="155"/>
      <c r="B61" s="48"/>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134"/>
    </row>
    <row r="62" spans="1:40" s="41" customFormat="1">
      <c r="A62" s="156" t="s">
        <v>288</v>
      </c>
      <c r="B62" s="43"/>
      <c r="C62" s="42">
        <v>0.45</v>
      </c>
      <c r="D62" s="42">
        <v>0.54</v>
      </c>
      <c r="E62" s="42">
        <v>0.2</v>
      </c>
      <c r="F62" s="42">
        <v>2.4</v>
      </c>
      <c r="G62" s="42">
        <v>3.6</v>
      </c>
      <c r="H62" s="22">
        <v>0.44</v>
      </c>
      <c r="I62" s="22">
        <v>0.28000000000000003</v>
      </c>
      <c r="J62" s="22">
        <v>0.01</v>
      </c>
      <c r="K62" s="22">
        <v>1.1000000000000001</v>
      </c>
      <c r="L62" s="42">
        <v>1.82</v>
      </c>
      <c r="M62" s="22">
        <v>-11.53</v>
      </c>
      <c r="N62" s="22">
        <v>-1.38</v>
      </c>
      <c r="O62" s="22">
        <v>-0.28999999999999998</v>
      </c>
      <c r="P62" s="22">
        <v>0.51</v>
      </c>
      <c r="Q62" s="42">
        <v>-12.68</v>
      </c>
      <c r="R62" s="22">
        <v>0.33</v>
      </c>
      <c r="S62" s="22">
        <v>1.1000000000000001</v>
      </c>
      <c r="T62" s="22">
        <v>0.78</v>
      </c>
      <c r="U62" s="22">
        <v>2.5099999999999998</v>
      </c>
      <c r="V62" s="42">
        <v>4.66</v>
      </c>
      <c r="W62" s="22">
        <v>1.01</v>
      </c>
      <c r="X62" s="22">
        <v>1.01</v>
      </c>
      <c r="Y62" s="22">
        <v>0.4</v>
      </c>
      <c r="Z62" s="22">
        <v>1.87</v>
      </c>
      <c r="AA62" s="42">
        <v>4.17</v>
      </c>
      <c r="AB62" s="22">
        <v>0.56999999999999995</v>
      </c>
      <c r="AC62" s="22">
        <v>-0.08</v>
      </c>
      <c r="AD62" s="22">
        <v>0.15</v>
      </c>
      <c r="AE62" s="22">
        <v>-0.47</v>
      </c>
      <c r="AF62" s="135">
        <v>0.16</v>
      </c>
    </row>
    <row r="63" spans="1:40" s="37" customFormat="1">
      <c r="A63" s="157" t="s">
        <v>289</v>
      </c>
      <c r="B63" s="39"/>
      <c r="C63" s="38">
        <v>306.60000000000002</v>
      </c>
      <c r="D63" s="38">
        <v>307.7</v>
      </c>
      <c r="E63" s="38">
        <v>308.10000000000002</v>
      </c>
      <c r="F63" s="38">
        <v>308.39999999999998</v>
      </c>
      <c r="G63" s="38">
        <v>307.7</v>
      </c>
      <c r="H63" s="21">
        <v>309.10000000000002</v>
      </c>
      <c r="I63" s="21">
        <v>309.8</v>
      </c>
      <c r="J63" s="21">
        <v>309.89999999999998</v>
      </c>
      <c r="K63" s="21">
        <v>309.89999999999998</v>
      </c>
      <c r="L63" s="38">
        <v>309.7</v>
      </c>
      <c r="M63" s="21">
        <v>310.60000000000002</v>
      </c>
      <c r="N63" s="21">
        <v>311.2</v>
      </c>
      <c r="O63" s="21">
        <v>311.2</v>
      </c>
      <c r="P63" s="21">
        <v>311.39999999999998</v>
      </c>
      <c r="Q63" s="38">
        <v>311.10000000000002</v>
      </c>
      <c r="R63" s="21">
        <v>311.60000000000002</v>
      </c>
      <c r="S63" s="21">
        <v>312.39999999999998</v>
      </c>
      <c r="T63" s="21">
        <v>306.89999999999998</v>
      </c>
      <c r="U63" s="21">
        <v>296.5</v>
      </c>
      <c r="V63" s="38">
        <v>306.8</v>
      </c>
      <c r="W63" s="21">
        <v>283.60000000000002</v>
      </c>
      <c r="X63" s="21">
        <v>271.10000000000002</v>
      </c>
      <c r="Y63" s="21">
        <v>272</v>
      </c>
      <c r="Z63" s="21">
        <v>272.2</v>
      </c>
      <c r="AA63" s="38">
        <v>274.7</v>
      </c>
      <c r="AB63" s="21">
        <v>273.10000000000002</v>
      </c>
      <c r="AC63" s="21">
        <v>273.8</v>
      </c>
      <c r="AD63" s="21">
        <v>274.7</v>
      </c>
      <c r="AE63" s="21">
        <v>275</v>
      </c>
      <c r="AF63" s="136">
        <v>274.2</v>
      </c>
    </row>
    <row r="64" spans="1:40">
      <c r="A64" s="152"/>
      <c r="B64" s="12"/>
      <c r="C64" s="45"/>
      <c r="D64" s="45"/>
      <c r="E64" s="45"/>
      <c r="F64" s="45"/>
      <c r="G64" s="36"/>
      <c r="H64" s="45"/>
      <c r="I64" s="45"/>
      <c r="J64" s="45"/>
      <c r="K64" s="45"/>
      <c r="L64" s="36"/>
      <c r="M64" s="45"/>
      <c r="N64" s="45"/>
      <c r="O64" s="45"/>
      <c r="P64" s="45"/>
      <c r="Q64" s="36"/>
      <c r="R64" s="45"/>
      <c r="S64" s="45"/>
      <c r="T64" s="45"/>
      <c r="U64" s="45"/>
      <c r="V64" s="36"/>
      <c r="W64" s="45"/>
      <c r="X64" s="45"/>
      <c r="Y64" s="45"/>
      <c r="Z64" s="45"/>
      <c r="AA64" s="36"/>
      <c r="AB64" s="45"/>
      <c r="AC64" s="45"/>
      <c r="AD64" s="45"/>
      <c r="AE64" s="45"/>
      <c r="AF64" s="137"/>
    </row>
    <row r="65" spans="1:32" s="41" customFormat="1">
      <c r="A65" s="156" t="s">
        <v>290</v>
      </c>
      <c r="B65" s="43"/>
      <c r="C65" s="42">
        <v>0.45</v>
      </c>
      <c r="D65" s="42">
        <v>0.53</v>
      </c>
      <c r="E65" s="42">
        <v>0.2</v>
      </c>
      <c r="F65" s="42">
        <v>2.38</v>
      </c>
      <c r="G65" s="42">
        <v>3.56</v>
      </c>
      <c r="H65" s="22">
        <v>0.44</v>
      </c>
      <c r="I65" s="22">
        <v>0.28000000000000003</v>
      </c>
      <c r="J65" s="22">
        <v>0.01</v>
      </c>
      <c r="K65" s="22">
        <v>1.0900000000000001</v>
      </c>
      <c r="L65" s="42">
        <v>1.81</v>
      </c>
      <c r="M65" s="22">
        <v>-11.53</v>
      </c>
      <c r="N65" s="22">
        <v>-1.39</v>
      </c>
      <c r="O65" s="22">
        <v>-0.28999999999999998</v>
      </c>
      <c r="P65" s="22">
        <v>0.51</v>
      </c>
      <c r="Q65" s="42">
        <v>-12.68</v>
      </c>
      <c r="R65" s="22">
        <v>0.32</v>
      </c>
      <c r="S65" s="22">
        <v>1.08</v>
      </c>
      <c r="T65" s="22">
        <v>0.76</v>
      </c>
      <c r="U65" s="22">
        <v>2.4300000000000002</v>
      </c>
      <c r="V65" s="42">
        <v>4.55</v>
      </c>
      <c r="W65" s="22">
        <v>0.98</v>
      </c>
      <c r="X65" s="22">
        <v>0.99</v>
      </c>
      <c r="Y65" s="22">
        <v>0.39</v>
      </c>
      <c r="Z65" s="22">
        <v>1.83</v>
      </c>
      <c r="AA65" s="42">
        <v>4.08</v>
      </c>
      <c r="AB65" s="22">
        <v>0.56000000000000005</v>
      </c>
      <c r="AC65" s="22">
        <v>-0.08</v>
      </c>
      <c r="AD65" s="22">
        <v>0.15</v>
      </c>
      <c r="AE65" s="22">
        <v>-0.47</v>
      </c>
      <c r="AF65" s="135">
        <v>0.16</v>
      </c>
    </row>
    <row r="66" spans="1:32" s="37" customFormat="1">
      <c r="A66" s="157" t="s">
        <v>291</v>
      </c>
      <c r="B66" s="39"/>
      <c r="C66" s="38">
        <v>309.39999999999998</v>
      </c>
      <c r="D66" s="38">
        <v>312</v>
      </c>
      <c r="E66" s="38">
        <v>312.2</v>
      </c>
      <c r="F66" s="38">
        <v>311.89999999999998</v>
      </c>
      <c r="G66" s="38">
        <v>311.39999999999998</v>
      </c>
      <c r="H66" s="21">
        <v>311.39999999999998</v>
      </c>
      <c r="I66" s="21">
        <v>311.60000000000002</v>
      </c>
      <c r="J66" s="21">
        <v>311</v>
      </c>
      <c r="K66" s="21">
        <v>311.5</v>
      </c>
      <c r="L66" s="38">
        <v>311.39999999999998</v>
      </c>
      <c r="M66" s="21">
        <v>310.60000000000002</v>
      </c>
      <c r="N66" s="21">
        <v>311.2</v>
      </c>
      <c r="O66" s="21">
        <v>311.2</v>
      </c>
      <c r="P66" s="21">
        <v>316.60000000000002</v>
      </c>
      <c r="Q66" s="38">
        <v>311.10000000000002</v>
      </c>
      <c r="R66" s="21">
        <v>318.60000000000002</v>
      </c>
      <c r="S66" s="21">
        <v>318.60000000000002</v>
      </c>
      <c r="T66" s="21">
        <v>313.8</v>
      </c>
      <c r="U66" s="21">
        <v>304.8</v>
      </c>
      <c r="V66" s="38">
        <v>314</v>
      </c>
      <c r="W66" s="21">
        <v>290.89999999999998</v>
      </c>
      <c r="X66" s="21">
        <v>277.39999999999998</v>
      </c>
      <c r="Y66" s="21">
        <v>277.7</v>
      </c>
      <c r="Z66" s="21">
        <v>278.5</v>
      </c>
      <c r="AA66" s="38">
        <v>281.10000000000002</v>
      </c>
      <c r="AB66" s="21">
        <v>277.8</v>
      </c>
      <c r="AC66" s="21">
        <v>273.8</v>
      </c>
      <c r="AD66" s="21">
        <v>277.60000000000002</v>
      </c>
      <c r="AE66" s="21">
        <v>275</v>
      </c>
      <c r="AF66" s="136">
        <v>278.2</v>
      </c>
    </row>
    <row r="67" spans="1:32">
      <c r="A67" s="153"/>
      <c r="B67" s="12"/>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137"/>
    </row>
    <row r="68" spans="1:32">
      <c r="A68" s="153"/>
      <c r="B68" s="12"/>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137"/>
    </row>
    <row r="69" spans="1:32" s="163" customFormat="1" ht="23" customHeight="1">
      <c r="A69" s="164" t="s">
        <v>292</v>
      </c>
      <c r="B69" s="165"/>
      <c r="C69" s="166"/>
      <c r="D69" s="166"/>
      <c r="E69" s="166"/>
      <c r="F69" s="166">
        <v>2019</v>
      </c>
      <c r="G69" s="166"/>
      <c r="H69" s="166"/>
      <c r="I69" s="166"/>
      <c r="J69" s="166"/>
      <c r="K69" s="166">
        <v>2020</v>
      </c>
      <c r="L69" s="166"/>
      <c r="M69" s="166"/>
      <c r="N69" s="166"/>
      <c r="O69" s="166"/>
      <c r="P69" s="166">
        <v>2021</v>
      </c>
      <c r="Q69" s="166"/>
      <c r="R69" s="166"/>
      <c r="S69" s="166"/>
      <c r="T69" s="166"/>
      <c r="U69" s="166">
        <v>2022</v>
      </c>
      <c r="V69" s="166"/>
      <c r="W69" s="166"/>
      <c r="X69" s="166"/>
      <c r="Y69" s="166"/>
      <c r="Z69" s="166">
        <v>2023</v>
      </c>
      <c r="AA69" s="166"/>
      <c r="AB69" s="166"/>
      <c r="AC69" s="166"/>
      <c r="AD69" s="166"/>
      <c r="AE69" s="167">
        <v>2024</v>
      </c>
      <c r="AF69" s="168"/>
    </row>
    <row r="70" spans="1:32" s="129" customFormat="1" ht="30">
      <c r="A70" s="130" t="s">
        <v>34</v>
      </c>
      <c r="B70" s="138"/>
      <c r="C70" s="138" t="s">
        <v>169</v>
      </c>
      <c r="D70" s="138" t="s">
        <v>170</v>
      </c>
      <c r="E70" s="138" t="s">
        <v>171</v>
      </c>
      <c r="F70" s="138" t="s">
        <v>172</v>
      </c>
      <c r="G70" s="138" t="s">
        <v>26</v>
      </c>
      <c r="H70" s="138" t="s">
        <v>173</v>
      </c>
      <c r="I70" s="138" t="s">
        <v>174</v>
      </c>
      <c r="J70" s="138" t="s">
        <v>175</v>
      </c>
      <c r="K70" s="138" t="s">
        <v>176</v>
      </c>
      <c r="L70" s="138" t="s">
        <v>27</v>
      </c>
      <c r="M70" s="138" t="s">
        <v>177</v>
      </c>
      <c r="N70" s="138" t="s">
        <v>178</v>
      </c>
      <c r="O70" s="138" t="s">
        <v>179</v>
      </c>
      <c r="P70" s="138" t="s">
        <v>180</v>
      </c>
      <c r="Q70" s="138" t="s">
        <v>28</v>
      </c>
      <c r="R70" s="138" t="s">
        <v>181</v>
      </c>
      <c r="S70" s="138" t="s">
        <v>182</v>
      </c>
      <c r="T70" s="138" t="s">
        <v>183</v>
      </c>
      <c r="U70" s="138" t="s">
        <v>184</v>
      </c>
      <c r="V70" s="138" t="s">
        <v>29</v>
      </c>
      <c r="W70" s="138" t="s">
        <v>185</v>
      </c>
      <c r="X70" s="138" t="s">
        <v>186</v>
      </c>
      <c r="Y70" s="138" t="s">
        <v>187</v>
      </c>
      <c r="Z70" s="138" t="s">
        <v>209</v>
      </c>
      <c r="AA70" s="138" t="s">
        <v>30</v>
      </c>
      <c r="AB70" s="138" t="s">
        <v>189</v>
      </c>
      <c r="AC70" s="138" t="s">
        <v>190</v>
      </c>
      <c r="AD70" s="138" t="s">
        <v>191</v>
      </c>
      <c r="AE70" s="138" t="s">
        <v>192</v>
      </c>
      <c r="AF70" s="128" t="s">
        <v>31</v>
      </c>
    </row>
    <row r="71" spans="1:32">
      <c r="A71" s="151" t="s">
        <v>193</v>
      </c>
      <c r="B71" s="112"/>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8"/>
    </row>
    <row r="72" spans="1:32">
      <c r="A72" s="152" t="s">
        <v>293</v>
      </c>
      <c r="B72" s="15"/>
      <c r="C72" s="54"/>
      <c r="D72" s="54"/>
      <c r="E72" s="54"/>
      <c r="F72" s="54"/>
      <c r="G72" s="45"/>
      <c r="H72" s="54"/>
      <c r="I72" s="54"/>
      <c r="J72" s="54"/>
      <c r="K72" s="54"/>
      <c r="L72" s="45"/>
      <c r="M72" s="54"/>
      <c r="N72" s="54"/>
      <c r="O72" s="54"/>
      <c r="P72" s="54"/>
      <c r="Q72" s="45"/>
      <c r="R72" s="54"/>
      <c r="S72" s="54"/>
      <c r="T72" s="54"/>
      <c r="U72" s="54"/>
      <c r="V72" s="45"/>
      <c r="W72" s="45"/>
      <c r="X72" s="45"/>
      <c r="Y72" s="45"/>
      <c r="Z72" s="45"/>
      <c r="AA72" s="45"/>
      <c r="AB72" s="45"/>
      <c r="AC72" s="45"/>
      <c r="AD72" s="45"/>
      <c r="AE72" s="45"/>
      <c r="AF72" s="86"/>
    </row>
    <row r="73" spans="1:32">
      <c r="A73" s="153" t="s">
        <v>294</v>
      </c>
      <c r="B73" s="12"/>
      <c r="C73" s="52">
        <v>1531</v>
      </c>
      <c r="D73" s="52">
        <v>1068</v>
      </c>
      <c r="E73" s="52">
        <v>736</v>
      </c>
      <c r="F73" s="52">
        <v>1162</v>
      </c>
      <c r="G73" s="51">
        <f>F73</f>
        <v>1162</v>
      </c>
      <c r="H73" s="52">
        <v>737</v>
      </c>
      <c r="I73" s="52">
        <v>674</v>
      </c>
      <c r="J73" s="52">
        <v>301</v>
      </c>
      <c r="K73" s="52">
        <v>685</v>
      </c>
      <c r="L73" s="51">
        <f>K73</f>
        <v>685</v>
      </c>
      <c r="M73" s="52">
        <v>1523</v>
      </c>
      <c r="N73" s="52">
        <v>1395</v>
      </c>
      <c r="O73" s="52">
        <v>1551</v>
      </c>
      <c r="P73" s="52">
        <v>1679</v>
      </c>
      <c r="Q73" s="51">
        <f>P73</f>
        <v>1679</v>
      </c>
      <c r="R73" s="52">
        <v>1798</v>
      </c>
      <c r="S73" s="52">
        <v>2137</v>
      </c>
      <c r="T73" s="52">
        <v>316</v>
      </c>
      <c r="U73" s="52">
        <v>1712</v>
      </c>
      <c r="V73" s="51">
        <f>U73</f>
        <v>1712</v>
      </c>
      <c r="W73" s="51">
        <v>672</v>
      </c>
      <c r="X73" s="51">
        <v>300</v>
      </c>
      <c r="Y73" s="51">
        <v>326</v>
      </c>
      <c r="Z73" s="51">
        <v>862</v>
      </c>
      <c r="AA73" s="51">
        <f>Z73</f>
        <v>862</v>
      </c>
      <c r="AB73" s="51">
        <v>603</v>
      </c>
      <c r="AC73" s="51">
        <v>438</v>
      </c>
      <c r="AD73" s="51">
        <v>364</v>
      </c>
      <c r="AE73" s="51">
        <v>1034</v>
      </c>
      <c r="AF73" s="78">
        <f>AE73</f>
        <v>1034</v>
      </c>
    </row>
    <row r="74" spans="1:32">
      <c r="A74" s="15" t="s">
        <v>295</v>
      </c>
      <c r="B74" s="12"/>
      <c r="C74" s="50">
        <v>1531</v>
      </c>
      <c r="D74" s="50">
        <v>1068</v>
      </c>
      <c r="E74" s="50">
        <v>736</v>
      </c>
      <c r="F74" s="50">
        <v>1162</v>
      </c>
      <c r="G74" s="644">
        <f>F74</f>
        <v>1162</v>
      </c>
      <c r="H74" s="50">
        <v>737</v>
      </c>
      <c r="I74" s="50">
        <v>674</v>
      </c>
      <c r="J74" s="50">
        <v>301</v>
      </c>
      <c r="K74" s="50">
        <v>685</v>
      </c>
      <c r="L74" s="644">
        <f>K74</f>
        <v>685</v>
      </c>
      <c r="M74" s="50">
        <v>1523</v>
      </c>
      <c r="N74" s="50">
        <v>1395</v>
      </c>
      <c r="O74" s="50">
        <v>1551</v>
      </c>
      <c r="P74" s="50">
        <v>1679</v>
      </c>
      <c r="Q74" s="644">
        <f>P74</f>
        <v>1679</v>
      </c>
      <c r="R74" s="50">
        <v>1798</v>
      </c>
      <c r="S74" s="50">
        <v>2137</v>
      </c>
      <c r="T74" s="50">
        <v>316</v>
      </c>
      <c r="U74" s="50">
        <v>1712</v>
      </c>
      <c r="V74" s="644">
        <f>U74</f>
        <v>1712</v>
      </c>
      <c r="W74" s="53">
        <v>672</v>
      </c>
      <c r="X74" s="53">
        <v>300</v>
      </c>
      <c r="Y74" s="53">
        <v>326</v>
      </c>
      <c r="Z74" s="53">
        <v>862</v>
      </c>
      <c r="AA74" s="644">
        <f>Z74</f>
        <v>862</v>
      </c>
      <c r="AB74" s="51">
        <f>AB73</f>
        <v>603</v>
      </c>
      <c r="AC74" s="51">
        <f>AC73</f>
        <v>438</v>
      </c>
      <c r="AD74" s="51">
        <f>AD73</f>
        <v>364</v>
      </c>
      <c r="AE74" s="51">
        <f>AE73</f>
        <v>1034</v>
      </c>
      <c r="AF74" s="645">
        <f>AE74</f>
        <v>1034</v>
      </c>
    </row>
    <row r="75" spans="1:32">
      <c r="A75" s="153"/>
      <c r="B75" s="15"/>
      <c r="C75" s="50"/>
      <c r="D75" s="50"/>
      <c r="E75" s="50"/>
      <c r="F75" s="50"/>
      <c r="G75" s="52"/>
      <c r="H75" s="50"/>
      <c r="I75" s="50"/>
      <c r="J75" s="50"/>
      <c r="K75" s="50"/>
      <c r="L75" s="52"/>
      <c r="M75" s="50"/>
      <c r="N75" s="50"/>
      <c r="O75" s="50"/>
      <c r="P75" s="50"/>
      <c r="Q75" s="52"/>
      <c r="R75" s="50"/>
      <c r="S75" s="50"/>
      <c r="T75" s="50"/>
      <c r="U75" s="50"/>
      <c r="V75" s="52"/>
      <c r="W75" s="53"/>
      <c r="X75" s="53"/>
      <c r="Y75" s="53"/>
      <c r="Z75" s="53"/>
      <c r="AA75" s="52"/>
      <c r="AB75" s="53"/>
      <c r="AC75" s="53"/>
      <c r="AD75" s="53"/>
      <c r="AE75" s="53"/>
      <c r="AF75" s="82"/>
    </row>
    <row r="76" spans="1:32">
      <c r="A76" s="153" t="s">
        <v>296</v>
      </c>
      <c r="B76" s="12"/>
      <c r="C76" s="52">
        <v>250</v>
      </c>
      <c r="D76" s="52">
        <v>261</v>
      </c>
      <c r="E76" s="52">
        <v>180</v>
      </c>
      <c r="F76" s="52">
        <v>400</v>
      </c>
      <c r="G76" s="51">
        <v>400</v>
      </c>
      <c r="H76" s="52">
        <v>237</v>
      </c>
      <c r="I76" s="52">
        <v>240</v>
      </c>
      <c r="J76" s="52">
        <v>175</v>
      </c>
      <c r="K76" s="52">
        <v>409</v>
      </c>
      <c r="L76" s="51">
        <v>409</v>
      </c>
      <c r="M76" s="52">
        <v>170</v>
      </c>
      <c r="N76" s="52">
        <v>184</v>
      </c>
      <c r="O76" s="52">
        <v>185</v>
      </c>
      <c r="P76" s="52">
        <v>276</v>
      </c>
      <c r="Q76" s="51">
        <v>276</v>
      </c>
      <c r="R76" s="52">
        <v>205</v>
      </c>
      <c r="S76" s="52">
        <v>221</v>
      </c>
      <c r="T76" s="52">
        <v>212</v>
      </c>
      <c r="U76" s="52">
        <v>297</v>
      </c>
      <c r="V76" s="51">
        <v>297</v>
      </c>
      <c r="W76" s="52">
        <v>233</v>
      </c>
      <c r="X76" s="52">
        <v>219</v>
      </c>
      <c r="Y76" s="52">
        <v>204</v>
      </c>
      <c r="Z76" s="52">
        <v>300</v>
      </c>
      <c r="AA76" s="51">
        <v>300</v>
      </c>
      <c r="AB76" s="52">
        <v>255</v>
      </c>
      <c r="AC76" s="52">
        <v>223</v>
      </c>
      <c r="AD76" s="52">
        <v>218</v>
      </c>
      <c r="AE76" s="52">
        <v>293</v>
      </c>
      <c r="AF76" s="78">
        <v>293</v>
      </c>
    </row>
    <row r="77" spans="1:32">
      <c r="A77" s="153" t="s">
        <v>297</v>
      </c>
      <c r="B77" s="12"/>
      <c r="C77" s="52">
        <v>0</v>
      </c>
      <c r="D77" s="52">
        <v>0</v>
      </c>
      <c r="E77" s="52">
        <v>10</v>
      </c>
      <c r="F77" s="52" t="s">
        <v>47</v>
      </c>
      <c r="G77" s="51" t="s">
        <v>47</v>
      </c>
      <c r="H77" s="52">
        <v>0</v>
      </c>
      <c r="I77" s="52">
        <v>0</v>
      </c>
      <c r="J77" s="52">
        <v>1</v>
      </c>
      <c r="K77" s="52" t="s">
        <v>47</v>
      </c>
      <c r="L77" s="51" t="s">
        <v>47</v>
      </c>
      <c r="M77" s="52">
        <v>0</v>
      </c>
      <c r="N77" s="52">
        <v>0</v>
      </c>
      <c r="O77" s="52">
        <v>0</v>
      </c>
      <c r="P77" s="52">
        <v>0</v>
      </c>
      <c r="Q77" s="51" t="s">
        <v>47</v>
      </c>
      <c r="R77" s="52">
        <v>520</v>
      </c>
      <c r="S77" s="52">
        <v>520</v>
      </c>
      <c r="T77" s="52">
        <v>590</v>
      </c>
      <c r="U77" s="52">
        <v>0</v>
      </c>
      <c r="V77" s="51" t="s">
        <v>47</v>
      </c>
      <c r="W77" s="51" t="s">
        <v>47</v>
      </c>
      <c r="X77" s="51" t="s">
        <v>47</v>
      </c>
      <c r="Y77" s="51" t="s">
        <v>47</v>
      </c>
      <c r="Z77" s="51" t="s">
        <v>47</v>
      </c>
      <c r="AA77" s="51" t="s">
        <v>47</v>
      </c>
      <c r="AB77" s="51" t="s">
        <v>47</v>
      </c>
      <c r="AC77" s="51">
        <v>70</v>
      </c>
      <c r="AD77" s="51">
        <v>73</v>
      </c>
      <c r="AE77" s="51" t="s">
        <v>47</v>
      </c>
      <c r="AF77" s="78" t="s">
        <v>47</v>
      </c>
    </row>
    <row r="78" spans="1:32">
      <c r="A78" s="152" t="s">
        <v>298</v>
      </c>
      <c r="B78" s="15"/>
      <c r="C78" s="50">
        <f>SUM(C76:C77)</f>
        <v>250</v>
      </c>
      <c r="D78" s="50">
        <f>SUM(D76:D77)</f>
        <v>261</v>
      </c>
      <c r="E78" s="50">
        <f>SUM(E76:E77)</f>
        <v>190</v>
      </c>
      <c r="F78" s="50">
        <f>SUM(F76:F77)</f>
        <v>400</v>
      </c>
      <c r="G78" s="642">
        <v>400</v>
      </c>
      <c r="H78" s="50">
        <f>SUM(H76:H77)</f>
        <v>237</v>
      </c>
      <c r="I78" s="50">
        <f>SUM(I76:I77)</f>
        <v>240</v>
      </c>
      <c r="J78" s="50">
        <f>SUM(J76:J77)</f>
        <v>176</v>
      </c>
      <c r="K78" s="50">
        <f>SUM(K76:K77)</f>
        <v>409</v>
      </c>
      <c r="L78" s="642">
        <v>409</v>
      </c>
      <c r="M78" s="50">
        <f>SUM(M76:M77)</f>
        <v>170</v>
      </c>
      <c r="N78" s="50">
        <f>SUM(N76:N77)</f>
        <v>184</v>
      </c>
      <c r="O78" s="50">
        <f>SUM(O76:O77)</f>
        <v>185</v>
      </c>
      <c r="P78" s="50">
        <f>SUM(P76:P77)</f>
        <v>276</v>
      </c>
      <c r="Q78" s="642">
        <v>276</v>
      </c>
      <c r="R78" s="50">
        <f>SUM(R76:R77)</f>
        <v>725</v>
      </c>
      <c r="S78" s="50">
        <f>SUM(S76:S77)</f>
        <v>741</v>
      </c>
      <c r="T78" s="50">
        <f>SUM(T76:T77)</f>
        <v>802</v>
      </c>
      <c r="U78" s="50">
        <f>SUM(U76:U77)</f>
        <v>297</v>
      </c>
      <c r="V78" s="642">
        <v>297</v>
      </c>
      <c r="W78" s="642">
        <f>SUM(W76:W77)</f>
        <v>233</v>
      </c>
      <c r="X78" s="642">
        <f>SUM(X76:X77)</f>
        <v>219</v>
      </c>
      <c r="Y78" s="642">
        <f>SUM(Y76:Y77)</f>
        <v>204</v>
      </c>
      <c r="Z78" s="642">
        <f>SUM(Z76:Z77)</f>
        <v>300</v>
      </c>
      <c r="AA78" s="642">
        <v>300</v>
      </c>
      <c r="AB78" s="642">
        <f>SUM(AB76:AB77)</f>
        <v>255</v>
      </c>
      <c r="AC78" s="642">
        <f>SUM(AC76:AC77)</f>
        <v>293</v>
      </c>
      <c r="AD78" s="642">
        <f>SUM(AD76:AD77)</f>
        <v>291</v>
      </c>
      <c r="AE78" s="642">
        <f>SUM(AE76:AE77)</f>
        <v>293</v>
      </c>
      <c r="AF78" s="643">
        <v>293</v>
      </c>
    </row>
    <row r="79" spans="1:32">
      <c r="A79" s="153"/>
      <c r="B79" s="1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82"/>
    </row>
    <row r="80" spans="1:32">
      <c r="A80" s="153" t="s">
        <v>215</v>
      </c>
      <c r="B80" s="12"/>
      <c r="C80" s="52">
        <v>5291</v>
      </c>
      <c r="D80" s="52">
        <v>4956</v>
      </c>
      <c r="E80" s="52">
        <v>7147</v>
      </c>
      <c r="F80" s="52">
        <v>5263</v>
      </c>
      <c r="G80" s="51">
        <v>5263</v>
      </c>
      <c r="H80" s="52">
        <v>5498</v>
      </c>
      <c r="I80" s="52">
        <v>5029</v>
      </c>
      <c r="J80" s="52">
        <v>7256</v>
      </c>
      <c r="K80" s="52">
        <v>5188</v>
      </c>
      <c r="L80" s="51">
        <v>5188</v>
      </c>
      <c r="M80" s="52">
        <v>4923</v>
      </c>
      <c r="N80" s="52">
        <v>3582</v>
      </c>
      <c r="O80" s="52">
        <v>5144</v>
      </c>
      <c r="P80" s="52">
        <v>3774</v>
      </c>
      <c r="Q80" s="51">
        <v>3774</v>
      </c>
      <c r="R80" s="52">
        <v>4230</v>
      </c>
      <c r="S80" s="52">
        <v>4298</v>
      </c>
      <c r="T80" s="52">
        <v>6141</v>
      </c>
      <c r="U80" s="52">
        <v>4383</v>
      </c>
      <c r="V80" s="51">
        <v>4383</v>
      </c>
      <c r="W80" s="51">
        <v>4956</v>
      </c>
      <c r="X80" s="51">
        <v>4610</v>
      </c>
      <c r="Y80" s="51">
        <v>6403</v>
      </c>
      <c r="Z80" s="51">
        <v>4267</v>
      </c>
      <c r="AA80" s="51">
        <v>4267</v>
      </c>
      <c r="AB80" s="51">
        <v>4607</v>
      </c>
      <c r="AC80" s="51">
        <v>4129</v>
      </c>
      <c r="AD80" s="51">
        <v>6025</v>
      </c>
      <c r="AE80" s="51">
        <v>4361</v>
      </c>
      <c r="AF80" s="78">
        <v>4361</v>
      </c>
    </row>
    <row r="81" spans="1:32">
      <c r="A81" s="153" t="s">
        <v>299</v>
      </c>
      <c r="B81" s="12"/>
      <c r="C81" s="52">
        <v>434</v>
      </c>
      <c r="D81" s="52">
        <v>415</v>
      </c>
      <c r="E81" s="52">
        <v>414</v>
      </c>
      <c r="F81" s="52">
        <v>368</v>
      </c>
      <c r="G81" s="51">
        <v>368</v>
      </c>
      <c r="H81" s="52">
        <v>433</v>
      </c>
      <c r="I81" s="52">
        <v>449</v>
      </c>
      <c r="J81" s="52">
        <v>404</v>
      </c>
      <c r="K81" s="52">
        <v>310</v>
      </c>
      <c r="L81" s="51">
        <v>310</v>
      </c>
      <c r="M81" s="52">
        <v>389</v>
      </c>
      <c r="N81" s="52">
        <v>356</v>
      </c>
      <c r="O81" s="52">
        <v>361</v>
      </c>
      <c r="P81" s="52">
        <v>316</v>
      </c>
      <c r="Q81" s="51">
        <v>316</v>
      </c>
      <c r="R81" s="52">
        <v>351</v>
      </c>
      <c r="S81" s="52">
        <v>320</v>
      </c>
      <c r="T81" s="52">
        <v>190</v>
      </c>
      <c r="U81" s="52">
        <v>207</v>
      </c>
      <c r="V81" s="51">
        <v>207</v>
      </c>
      <c r="W81" s="51">
        <v>228</v>
      </c>
      <c r="X81" s="51">
        <v>275</v>
      </c>
      <c r="Y81" s="51">
        <v>273</v>
      </c>
      <c r="Z81" s="51">
        <v>237</v>
      </c>
      <c r="AA81" s="51">
        <v>237</v>
      </c>
      <c r="AB81" s="51">
        <v>263</v>
      </c>
      <c r="AC81" s="51">
        <v>317</v>
      </c>
      <c r="AD81" s="51">
        <v>276</v>
      </c>
      <c r="AE81" s="51">
        <v>276</v>
      </c>
      <c r="AF81" s="78">
        <v>276</v>
      </c>
    </row>
    <row r="82" spans="1:32">
      <c r="A82" s="153" t="s">
        <v>300</v>
      </c>
      <c r="B82" s="12"/>
      <c r="C82" s="52" t="s">
        <v>47</v>
      </c>
      <c r="D82" s="52" t="s">
        <v>47</v>
      </c>
      <c r="E82" s="52" t="s">
        <v>47</v>
      </c>
      <c r="F82" s="52">
        <v>37</v>
      </c>
      <c r="G82" s="51">
        <v>37</v>
      </c>
      <c r="H82" s="52" t="s">
        <v>47</v>
      </c>
      <c r="I82" s="52" t="s">
        <v>47</v>
      </c>
      <c r="J82" s="52" t="s">
        <v>47</v>
      </c>
      <c r="K82" s="52">
        <v>37</v>
      </c>
      <c r="L82" s="51">
        <v>37</v>
      </c>
      <c r="M82" s="52" t="s">
        <v>47</v>
      </c>
      <c r="N82" s="52" t="s">
        <v>47</v>
      </c>
      <c r="O82" s="52" t="s">
        <v>47</v>
      </c>
      <c r="P82" s="52" t="s">
        <v>47</v>
      </c>
      <c r="Q82" s="51" t="s">
        <v>47</v>
      </c>
      <c r="R82" s="52" t="s">
        <v>47</v>
      </c>
      <c r="S82" s="52" t="s">
        <v>47</v>
      </c>
      <c r="T82" s="52" t="s">
        <v>47</v>
      </c>
      <c r="U82" s="52" t="s">
        <v>47</v>
      </c>
      <c r="V82" s="51" t="s">
        <v>47</v>
      </c>
      <c r="W82" s="51" t="s">
        <v>47</v>
      </c>
      <c r="X82" s="51" t="s">
        <v>47</v>
      </c>
      <c r="Y82" s="51" t="s">
        <v>47</v>
      </c>
      <c r="Z82" s="51" t="s">
        <v>47</v>
      </c>
      <c r="AA82" s="51" t="s">
        <v>47</v>
      </c>
      <c r="AB82" s="51" t="s">
        <v>47</v>
      </c>
      <c r="AC82" s="51" t="s">
        <v>47</v>
      </c>
      <c r="AD82" s="51" t="s">
        <v>47</v>
      </c>
      <c r="AE82" s="51" t="s">
        <v>47</v>
      </c>
      <c r="AF82" s="78" t="s">
        <v>47</v>
      </c>
    </row>
    <row r="83" spans="1:32">
      <c r="A83" s="153" t="s">
        <v>301</v>
      </c>
      <c r="B83" s="12"/>
      <c r="C83" s="52">
        <v>204</v>
      </c>
      <c r="D83" s="52">
        <v>165</v>
      </c>
      <c r="E83" s="52">
        <v>180</v>
      </c>
      <c r="F83" s="52">
        <v>215</v>
      </c>
      <c r="G83" s="51">
        <v>215</v>
      </c>
      <c r="H83" s="52">
        <v>200</v>
      </c>
      <c r="I83" s="52">
        <v>154</v>
      </c>
      <c r="J83" s="52">
        <v>164</v>
      </c>
      <c r="K83" s="52">
        <v>181</v>
      </c>
      <c r="L83" s="51">
        <v>181</v>
      </c>
      <c r="M83" s="52">
        <v>130</v>
      </c>
      <c r="N83" s="52">
        <v>114</v>
      </c>
      <c r="O83" s="52">
        <v>116</v>
      </c>
      <c r="P83" s="52">
        <v>139</v>
      </c>
      <c r="Q83" s="51">
        <v>139</v>
      </c>
      <c r="R83" s="52">
        <v>136</v>
      </c>
      <c r="S83" s="52">
        <v>115</v>
      </c>
      <c r="T83" s="52">
        <v>142</v>
      </c>
      <c r="U83" s="52">
        <v>159</v>
      </c>
      <c r="V83" s="51">
        <v>159</v>
      </c>
      <c r="W83" s="51">
        <v>144</v>
      </c>
      <c r="X83" s="51">
        <v>112</v>
      </c>
      <c r="Y83" s="51">
        <v>142</v>
      </c>
      <c r="Z83" s="51">
        <v>187</v>
      </c>
      <c r="AA83" s="51">
        <v>187</v>
      </c>
      <c r="AB83" s="51">
        <v>127</v>
      </c>
      <c r="AC83" s="51">
        <v>94</v>
      </c>
      <c r="AD83" s="51">
        <v>114</v>
      </c>
      <c r="AE83" s="51">
        <v>125</v>
      </c>
      <c r="AF83" s="78">
        <v>125</v>
      </c>
    </row>
    <row r="84" spans="1:32">
      <c r="A84" s="152" t="s">
        <v>302</v>
      </c>
      <c r="B84" s="12"/>
      <c r="C84" s="50">
        <f>SUM(C80:C83)+C78+C74</f>
        <v>7710</v>
      </c>
      <c r="D84" s="50">
        <f>SUM(D80:D83)+D78+D74</f>
        <v>6865</v>
      </c>
      <c r="E84" s="50">
        <f>SUM(E80:E83)+E78+E74</f>
        <v>8667</v>
      </c>
      <c r="F84" s="50">
        <f>SUM(F80:F83)+F78+F74</f>
        <v>7445</v>
      </c>
      <c r="G84" s="644">
        <v>7445</v>
      </c>
      <c r="H84" s="50">
        <f>SUM(H80:H83)+H78+H74</f>
        <v>7105</v>
      </c>
      <c r="I84" s="50">
        <f>SUM(I80:I83)+I78+I74</f>
        <v>6546</v>
      </c>
      <c r="J84" s="50">
        <f>SUM(J80:J83)+J78+J74</f>
        <v>8301</v>
      </c>
      <c r="K84" s="50">
        <f>SUM(K80:K83)+K78+K74</f>
        <v>6810</v>
      </c>
      <c r="L84" s="646">
        <v>6810</v>
      </c>
      <c r="M84" s="50">
        <f t="shared" ref="M84:AF84" si="12">SUM(M80:M83)+M78+M74</f>
        <v>7135</v>
      </c>
      <c r="N84" s="50">
        <f t="shared" si="12"/>
        <v>5631</v>
      </c>
      <c r="O84" s="50">
        <f t="shared" si="12"/>
        <v>7357</v>
      </c>
      <c r="P84" s="50">
        <f t="shared" si="12"/>
        <v>6184</v>
      </c>
      <c r="Q84" s="644">
        <f t="shared" si="12"/>
        <v>6184</v>
      </c>
      <c r="R84" s="50">
        <f t="shared" si="12"/>
        <v>7240</v>
      </c>
      <c r="S84" s="50">
        <f t="shared" si="12"/>
        <v>7611</v>
      </c>
      <c r="T84" s="50">
        <f t="shared" si="12"/>
        <v>7591</v>
      </c>
      <c r="U84" s="50">
        <f t="shared" si="12"/>
        <v>6758</v>
      </c>
      <c r="V84" s="644">
        <f t="shared" si="12"/>
        <v>6758</v>
      </c>
      <c r="W84" s="50">
        <f t="shared" si="12"/>
        <v>6233</v>
      </c>
      <c r="X84" s="50">
        <f t="shared" si="12"/>
        <v>5516</v>
      </c>
      <c r="Y84" s="50">
        <f t="shared" si="12"/>
        <v>7348</v>
      </c>
      <c r="Z84" s="50">
        <f t="shared" si="12"/>
        <v>5853</v>
      </c>
      <c r="AA84" s="644">
        <f t="shared" si="12"/>
        <v>5853</v>
      </c>
      <c r="AB84" s="50">
        <f t="shared" si="12"/>
        <v>5855</v>
      </c>
      <c r="AC84" s="50">
        <f t="shared" si="12"/>
        <v>5271</v>
      </c>
      <c r="AD84" s="50">
        <f t="shared" si="12"/>
        <v>7070</v>
      </c>
      <c r="AE84" s="50">
        <f t="shared" si="12"/>
        <v>6089</v>
      </c>
      <c r="AF84" s="647">
        <f t="shared" si="12"/>
        <v>6089</v>
      </c>
    </row>
    <row r="85" spans="1:32">
      <c r="A85" s="153"/>
      <c r="B85" s="15"/>
      <c r="C85" s="50"/>
      <c r="D85" s="50"/>
      <c r="E85" s="50"/>
      <c r="F85" s="50"/>
      <c r="G85" s="52"/>
      <c r="H85" s="50"/>
      <c r="I85" s="50"/>
      <c r="J85" s="50"/>
      <c r="K85" s="50"/>
      <c r="L85" s="52"/>
      <c r="M85" s="50"/>
      <c r="N85" s="50"/>
      <c r="O85" s="50"/>
      <c r="P85" s="50"/>
      <c r="Q85" s="52"/>
      <c r="R85" s="50"/>
      <c r="S85" s="50"/>
      <c r="T85" s="50"/>
      <c r="U85" s="50"/>
      <c r="V85" s="52"/>
      <c r="W85" s="53"/>
      <c r="X85" s="53"/>
      <c r="Y85" s="53"/>
      <c r="Z85" s="53"/>
      <c r="AA85" s="52"/>
      <c r="AB85" s="53"/>
      <c r="AC85" s="53"/>
      <c r="AD85" s="53"/>
      <c r="AE85" s="53"/>
      <c r="AF85" s="82"/>
    </row>
    <row r="86" spans="1:32">
      <c r="A86" s="153" t="s">
        <v>303</v>
      </c>
      <c r="B86" s="12"/>
      <c r="C86" s="52">
        <v>11340</v>
      </c>
      <c r="D86" s="52">
        <v>11461</v>
      </c>
      <c r="E86" s="52">
        <v>11656</v>
      </c>
      <c r="F86" s="52">
        <v>11132</v>
      </c>
      <c r="G86" s="51">
        <v>11132</v>
      </c>
      <c r="H86" s="52">
        <v>13763</v>
      </c>
      <c r="I86" s="52">
        <v>13879</v>
      </c>
      <c r="J86" s="52">
        <v>14092</v>
      </c>
      <c r="K86" s="52">
        <v>13705</v>
      </c>
      <c r="L86" s="51">
        <v>13705</v>
      </c>
      <c r="M86" s="52">
        <v>13657</v>
      </c>
      <c r="N86" s="52">
        <v>13956</v>
      </c>
      <c r="O86" s="52">
        <v>13966</v>
      </c>
      <c r="P86" s="52">
        <v>13231</v>
      </c>
      <c r="Q86" s="51">
        <v>13231</v>
      </c>
      <c r="R86" s="52">
        <v>13201</v>
      </c>
      <c r="S86" s="52">
        <v>13221</v>
      </c>
      <c r="T86" s="52">
        <v>13234</v>
      </c>
      <c r="U86" s="52">
        <v>13034</v>
      </c>
      <c r="V86" s="51">
        <v>13034</v>
      </c>
      <c r="W86" s="52">
        <v>13008</v>
      </c>
      <c r="X86" s="52">
        <v>13191</v>
      </c>
      <c r="Y86" s="52">
        <v>13487</v>
      </c>
      <c r="Z86" s="52">
        <v>13242</v>
      </c>
      <c r="AA86" s="51">
        <v>13242</v>
      </c>
      <c r="AB86" s="52">
        <v>13342</v>
      </c>
      <c r="AC86" s="52">
        <v>13473</v>
      </c>
      <c r="AD86" s="52">
        <v>13663</v>
      </c>
      <c r="AE86" s="52">
        <v>11902</v>
      </c>
      <c r="AF86" s="78">
        <v>11902</v>
      </c>
    </row>
    <row r="87" spans="1:32">
      <c r="A87" s="153" t="s">
        <v>304</v>
      </c>
      <c r="B87" s="15"/>
      <c r="C87" s="52">
        <v>-4765</v>
      </c>
      <c r="D87" s="52">
        <v>-4914</v>
      </c>
      <c r="E87" s="52">
        <v>-5084</v>
      </c>
      <c r="F87" s="52">
        <v>-4495</v>
      </c>
      <c r="G87" s="51">
        <v>-4495</v>
      </c>
      <c r="H87" s="50">
        <v>-4633</v>
      </c>
      <c r="I87" s="50">
        <v>-4760</v>
      </c>
      <c r="J87" s="50">
        <v>-4938</v>
      </c>
      <c r="K87" s="50">
        <v>-4404</v>
      </c>
      <c r="L87" s="51">
        <v>-4404</v>
      </c>
      <c r="M87" s="50">
        <v>-4560</v>
      </c>
      <c r="N87" s="50">
        <v>-4642</v>
      </c>
      <c r="O87" s="50">
        <v>-4816</v>
      </c>
      <c r="P87" s="50">
        <v>-4413</v>
      </c>
      <c r="Q87" s="51">
        <v>-4413</v>
      </c>
      <c r="R87" s="50">
        <v>-4550</v>
      </c>
      <c r="S87" s="50">
        <v>-4689</v>
      </c>
      <c r="T87" s="50">
        <v>-4826</v>
      </c>
      <c r="U87" s="50">
        <v>-4561</v>
      </c>
      <c r="V87" s="51">
        <v>-4561</v>
      </c>
      <c r="W87" s="50">
        <v>-4671</v>
      </c>
      <c r="X87" s="50">
        <v>-4820</v>
      </c>
      <c r="Y87" s="50">
        <v>-4957</v>
      </c>
      <c r="Z87" s="50">
        <v>-4646</v>
      </c>
      <c r="AA87" s="51">
        <v>-4646</v>
      </c>
      <c r="AB87" s="50">
        <v>-4763</v>
      </c>
      <c r="AC87" s="50">
        <v>-4905</v>
      </c>
      <c r="AD87" s="50">
        <v>-5066</v>
      </c>
      <c r="AE87" s="50">
        <v>-4289</v>
      </c>
      <c r="AF87" s="78">
        <v>-4289</v>
      </c>
    </row>
    <row r="88" spans="1:32">
      <c r="A88" s="152" t="s">
        <v>305</v>
      </c>
      <c r="B88" s="12"/>
      <c r="C88" s="50">
        <f>SUM(C86:C87)</f>
        <v>6575</v>
      </c>
      <c r="D88" s="50">
        <f>SUM(D86:D87)</f>
        <v>6547</v>
      </c>
      <c r="E88" s="50">
        <f>SUM(E86:E87)</f>
        <v>6572</v>
      </c>
      <c r="F88" s="50">
        <f>SUM(F86:F87)</f>
        <v>6637</v>
      </c>
      <c r="G88" s="642">
        <v>6637</v>
      </c>
      <c r="H88" s="50">
        <f t="shared" ref="H88:AF88" si="13">SUM(H86:H87)</f>
        <v>9130</v>
      </c>
      <c r="I88" s="50">
        <f t="shared" si="13"/>
        <v>9119</v>
      </c>
      <c r="J88" s="50">
        <f t="shared" si="13"/>
        <v>9154</v>
      </c>
      <c r="K88" s="50">
        <f t="shared" si="13"/>
        <v>9301</v>
      </c>
      <c r="L88" s="646">
        <f t="shared" si="13"/>
        <v>9301</v>
      </c>
      <c r="M88" s="50">
        <f t="shared" si="13"/>
        <v>9097</v>
      </c>
      <c r="N88" s="50">
        <f t="shared" si="13"/>
        <v>9314</v>
      </c>
      <c r="O88" s="50">
        <f t="shared" si="13"/>
        <v>9150</v>
      </c>
      <c r="P88" s="50">
        <f t="shared" si="13"/>
        <v>8818</v>
      </c>
      <c r="Q88" s="646">
        <f t="shared" si="13"/>
        <v>8818</v>
      </c>
      <c r="R88" s="50">
        <f t="shared" si="13"/>
        <v>8651</v>
      </c>
      <c r="S88" s="50">
        <f t="shared" si="13"/>
        <v>8532</v>
      </c>
      <c r="T88" s="50">
        <f t="shared" si="13"/>
        <v>8408</v>
      </c>
      <c r="U88" s="50">
        <f t="shared" si="13"/>
        <v>8473</v>
      </c>
      <c r="V88" s="646">
        <f t="shared" si="13"/>
        <v>8473</v>
      </c>
      <c r="W88" s="50">
        <f t="shared" si="13"/>
        <v>8337</v>
      </c>
      <c r="X88" s="50">
        <f t="shared" si="13"/>
        <v>8371</v>
      </c>
      <c r="Y88" s="50">
        <f t="shared" si="13"/>
        <v>8530</v>
      </c>
      <c r="Z88" s="50">
        <f t="shared" si="13"/>
        <v>8596</v>
      </c>
      <c r="AA88" s="646">
        <f t="shared" si="13"/>
        <v>8596</v>
      </c>
      <c r="AB88" s="50">
        <f t="shared" si="13"/>
        <v>8579</v>
      </c>
      <c r="AC88" s="50">
        <f t="shared" si="13"/>
        <v>8568</v>
      </c>
      <c r="AD88" s="50">
        <f t="shared" si="13"/>
        <v>8597</v>
      </c>
      <c r="AE88" s="50">
        <f t="shared" si="13"/>
        <v>7613</v>
      </c>
      <c r="AF88" s="647">
        <f t="shared" si="13"/>
        <v>7613</v>
      </c>
    </row>
    <row r="89" spans="1:32">
      <c r="A89" s="153"/>
      <c r="B89" s="12"/>
      <c r="C89" s="52"/>
      <c r="D89" s="52"/>
      <c r="E89" s="52"/>
      <c r="F89" s="52"/>
      <c r="G89" s="52"/>
      <c r="H89" s="52"/>
      <c r="I89" s="52"/>
      <c r="J89" s="52"/>
      <c r="K89" s="52"/>
      <c r="L89" s="52"/>
      <c r="M89" s="52"/>
      <c r="N89" s="52"/>
      <c r="O89" s="52"/>
      <c r="P89" s="52"/>
      <c r="Q89" s="52"/>
      <c r="R89" s="52"/>
      <c r="S89" s="52"/>
      <c r="T89" s="52"/>
      <c r="U89" s="52"/>
      <c r="V89" s="52"/>
      <c r="W89" s="51"/>
      <c r="X89" s="51"/>
      <c r="Y89" s="51"/>
      <c r="Z89" s="51"/>
      <c r="AA89" s="52"/>
      <c r="AB89" s="51"/>
      <c r="AC89" s="51"/>
      <c r="AD89" s="51"/>
      <c r="AE89" s="51"/>
      <c r="AF89" s="82"/>
    </row>
    <row r="90" spans="1:32">
      <c r="A90" s="153" t="s">
        <v>306</v>
      </c>
      <c r="B90" s="12"/>
      <c r="C90" s="52">
        <v>3908</v>
      </c>
      <c r="D90" s="52">
        <v>3908</v>
      </c>
      <c r="E90" s="52">
        <v>3908</v>
      </c>
      <c r="F90" s="52">
        <v>3908</v>
      </c>
      <c r="G90" s="51">
        <v>3908</v>
      </c>
      <c r="H90" s="52">
        <v>3908</v>
      </c>
      <c r="I90" s="52">
        <v>3908</v>
      </c>
      <c r="J90" s="52">
        <v>3908</v>
      </c>
      <c r="K90" s="52">
        <v>3908</v>
      </c>
      <c r="L90" s="51">
        <v>3908</v>
      </c>
      <c r="M90" s="52">
        <v>838</v>
      </c>
      <c r="N90" s="52">
        <v>828</v>
      </c>
      <c r="O90" s="52">
        <v>828</v>
      </c>
      <c r="P90" s="52">
        <v>828</v>
      </c>
      <c r="Q90" s="51">
        <v>828</v>
      </c>
      <c r="R90" s="52">
        <v>828</v>
      </c>
      <c r="S90" s="52">
        <v>828</v>
      </c>
      <c r="T90" s="52">
        <v>828</v>
      </c>
      <c r="U90" s="52">
        <v>828</v>
      </c>
      <c r="V90" s="51">
        <v>828</v>
      </c>
      <c r="W90" s="51">
        <v>828</v>
      </c>
      <c r="X90" s="51">
        <v>828</v>
      </c>
      <c r="Y90" s="51">
        <v>828</v>
      </c>
      <c r="Z90" s="51">
        <v>828</v>
      </c>
      <c r="AA90" s="51">
        <v>828</v>
      </c>
      <c r="AB90" s="51">
        <v>828</v>
      </c>
      <c r="AC90" s="51">
        <v>828</v>
      </c>
      <c r="AD90" s="51">
        <v>828</v>
      </c>
      <c r="AE90" s="51">
        <v>828</v>
      </c>
      <c r="AF90" s="78">
        <v>828</v>
      </c>
    </row>
    <row r="91" spans="1:32">
      <c r="A91" s="153" t="s">
        <v>307</v>
      </c>
      <c r="B91" s="12"/>
      <c r="C91" s="52">
        <v>486</v>
      </c>
      <c r="D91" s="52">
        <v>483</v>
      </c>
      <c r="E91" s="52">
        <v>481</v>
      </c>
      <c r="F91" s="52">
        <v>1148</v>
      </c>
      <c r="G91" s="51">
        <v>1148</v>
      </c>
      <c r="H91" s="51">
        <v>441</v>
      </c>
      <c r="I91" s="51">
        <v>440</v>
      </c>
      <c r="J91" s="51">
        <v>440</v>
      </c>
      <c r="K91" s="51">
        <v>1081</v>
      </c>
      <c r="L91" s="51">
        <v>1081</v>
      </c>
      <c r="M91" s="52">
        <v>439</v>
      </c>
      <c r="N91" s="52">
        <v>438</v>
      </c>
      <c r="O91" s="52">
        <v>437</v>
      </c>
      <c r="P91" s="52">
        <v>928</v>
      </c>
      <c r="Q91" s="51">
        <v>928</v>
      </c>
      <c r="R91" s="52">
        <v>436</v>
      </c>
      <c r="S91" s="52">
        <v>436</v>
      </c>
      <c r="T91" s="52">
        <v>435</v>
      </c>
      <c r="U91" s="52">
        <v>946</v>
      </c>
      <c r="V91" s="51">
        <v>946</v>
      </c>
      <c r="W91" s="51">
        <v>434</v>
      </c>
      <c r="X91" s="51">
        <v>433</v>
      </c>
      <c r="Y91" s="51">
        <v>433</v>
      </c>
      <c r="Z91" s="51">
        <v>1098</v>
      </c>
      <c r="AA91" s="51">
        <v>1098</v>
      </c>
      <c r="AB91" s="51">
        <v>432</v>
      </c>
      <c r="AC91" s="51">
        <v>431</v>
      </c>
      <c r="AD91" s="51">
        <v>431</v>
      </c>
      <c r="AE91" s="51">
        <v>1187</v>
      </c>
      <c r="AF91" s="78">
        <v>1187</v>
      </c>
    </row>
    <row r="92" spans="1:32">
      <c r="A92" s="153" t="s">
        <v>308</v>
      </c>
      <c r="B92" s="12"/>
      <c r="C92" s="52">
        <v>889</v>
      </c>
      <c r="D92" s="52">
        <v>865</v>
      </c>
      <c r="E92" s="52">
        <v>733</v>
      </c>
      <c r="F92" s="52">
        <v>56</v>
      </c>
      <c r="G92" s="51">
        <v>56</v>
      </c>
      <c r="H92" s="52">
        <v>712</v>
      </c>
      <c r="I92" s="52">
        <v>728</v>
      </c>
      <c r="J92" s="52">
        <v>744</v>
      </c>
      <c r="K92" s="52">
        <v>72</v>
      </c>
      <c r="L92" s="51">
        <v>72</v>
      </c>
      <c r="M92" s="52">
        <v>1072</v>
      </c>
      <c r="N92" s="52">
        <v>1403</v>
      </c>
      <c r="O92" s="52">
        <v>1442</v>
      </c>
      <c r="P92" s="52">
        <v>948</v>
      </c>
      <c r="Q92" s="51">
        <v>948</v>
      </c>
      <c r="R92" s="52">
        <v>927</v>
      </c>
      <c r="S92" s="52">
        <v>1010</v>
      </c>
      <c r="T92" s="52">
        <v>1017</v>
      </c>
      <c r="U92" s="52">
        <v>585</v>
      </c>
      <c r="V92" s="51">
        <v>585</v>
      </c>
      <c r="W92" s="52">
        <v>1140</v>
      </c>
      <c r="X92" s="52">
        <v>1194</v>
      </c>
      <c r="Y92" s="52">
        <v>1091</v>
      </c>
      <c r="Z92" s="52">
        <v>491</v>
      </c>
      <c r="AA92" s="51">
        <v>491</v>
      </c>
      <c r="AB92" s="52">
        <v>1174</v>
      </c>
      <c r="AC92" s="52">
        <v>1206</v>
      </c>
      <c r="AD92" s="52">
        <v>1185</v>
      </c>
      <c r="AE92" s="52">
        <v>529</v>
      </c>
      <c r="AF92" s="78">
        <v>529</v>
      </c>
    </row>
    <row r="93" spans="1:32">
      <c r="A93" s="152" t="s">
        <v>309</v>
      </c>
      <c r="B93" s="15"/>
      <c r="C93" s="50">
        <f t="shared" ref="C93:AF93" si="14">C88+SUM(C90:C92)</f>
        <v>11858</v>
      </c>
      <c r="D93" s="50">
        <f t="shared" si="14"/>
        <v>11803</v>
      </c>
      <c r="E93" s="50">
        <f t="shared" si="14"/>
        <v>11694</v>
      </c>
      <c r="F93" s="50">
        <f t="shared" si="14"/>
        <v>11749</v>
      </c>
      <c r="G93" s="646">
        <f t="shared" si="14"/>
        <v>11749</v>
      </c>
      <c r="H93" s="50">
        <f t="shared" si="14"/>
        <v>14191</v>
      </c>
      <c r="I93" s="50">
        <f t="shared" si="14"/>
        <v>14195</v>
      </c>
      <c r="J93" s="50">
        <f t="shared" si="14"/>
        <v>14246</v>
      </c>
      <c r="K93" s="50">
        <f t="shared" si="14"/>
        <v>14362</v>
      </c>
      <c r="L93" s="646">
        <f t="shared" si="14"/>
        <v>14362</v>
      </c>
      <c r="M93" s="50">
        <f t="shared" si="14"/>
        <v>11446</v>
      </c>
      <c r="N93" s="50">
        <f t="shared" si="14"/>
        <v>11983</v>
      </c>
      <c r="O93" s="50">
        <f t="shared" si="14"/>
        <v>11857</v>
      </c>
      <c r="P93" s="50">
        <f t="shared" si="14"/>
        <v>11522</v>
      </c>
      <c r="Q93" s="646">
        <f t="shared" si="14"/>
        <v>11522</v>
      </c>
      <c r="R93" s="50">
        <f t="shared" si="14"/>
        <v>10842</v>
      </c>
      <c r="S93" s="50">
        <f t="shared" si="14"/>
        <v>10806</v>
      </c>
      <c r="T93" s="50">
        <f t="shared" si="14"/>
        <v>10688</v>
      </c>
      <c r="U93" s="50">
        <f t="shared" si="14"/>
        <v>10832</v>
      </c>
      <c r="V93" s="646">
        <f t="shared" si="14"/>
        <v>10832</v>
      </c>
      <c r="W93" s="50">
        <f t="shared" si="14"/>
        <v>10739</v>
      </c>
      <c r="X93" s="50">
        <f t="shared" si="14"/>
        <v>10826</v>
      </c>
      <c r="Y93" s="50">
        <f t="shared" si="14"/>
        <v>10882</v>
      </c>
      <c r="Z93" s="50">
        <f t="shared" si="14"/>
        <v>11013</v>
      </c>
      <c r="AA93" s="646">
        <f t="shared" si="14"/>
        <v>11013</v>
      </c>
      <c r="AB93" s="50">
        <f t="shared" si="14"/>
        <v>11013</v>
      </c>
      <c r="AC93" s="50">
        <f t="shared" si="14"/>
        <v>11033</v>
      </c>
      <c r="AD93" s="50">
        <f t="shared" si="14"/>
        <v>11041</v>
      </c>
      <c r="AE93" s="50">
        <f t="shared" si="14"/>
        <v>10157</v>
      </c>
      <c r="AF93" s="647">
        <f t="shared" si="14"/>
        <v>10157</v>
      </c>
    </row>
    <row r="94" spans="1:32">
      <c r="A94" s="152"/>
      <c r="B94" s="15"/>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83"/>
    </row>
    <row r="95" spans="1:32" ht="14.25" thickBot="1">
      <c r="A95" s="230" t="s">
        <v>212</v>
      </c>
      <c r="B95" s="231"/>
      <c r="C95" s="232">
        <f t="shared" ref="C95:AF95" si="15">C84+C93</f>
        <v>19568</v>
      </c>
      <c r="D95" s="232">
        <f t="shared" si="15"/>
        <v>18668</v>
      </c>
      <c r="E95" s="232">
        <f t="shared" si="15"/>
        <v>20361</v>
      </c>
      <c r="F95" s="232">
        <f t="shared" si="15"/>
        <v>19194</v>
      </c>
      <c r="G95" s="650">
        <f t="shared" si="15"/>
        <v>19194</v>
      </c>
      <c r="H95" s="232">
        <f t="shared" si="15"/>
        <v>21296</v>
      </c>
      <c r="I95" s="232">
        <f t="shared" si="15"/>
        <v>20741</v>
      </c>
      <c r="J95" s="232">
        <f t="shared" si="15"/>
        <v>22547</v>
      </c>
      <c r="K95" s="232">
        <f t="shared" si="15"/>
        <v>21172</v>
      </c>
      <c r="L95" s="650">
        <f t="shared" si="15"/>
        <v>21172</v>
      </c>
      <c r="M95" s="232">
        <f t="shared" si="15"/>
        <v>18581</v>
      </c>
      <c r="N95" s="232">
        <f t="shared" si="15"/>
        <v>17614</v>
      </c>
      <c r="O95" s="232">
        <f t="shared" si="15"/>
        <v>19214</v>
      </c>
      <c r="P95" s="232">
        <f t="shared" si="15"/>
        <v>17706</v>
      </c>
      <c r="Q95" s="650">
        <f t="shared" si="15"/>
        <v>17706</v>
      </c>
      <c r="R95" s="232">
        <f t="shared" si="15"/>
        <v>18082</v>
      </c>
      <c r="S95" s="232">
        <f t="shared" si="15"/>
        <v>18417</v>
      </c>
      <c r="T95" s="232">
        <f t="shared" si="15"/>
        <v>18279</v>
      </c>
      <c r="U95" s="232">
        <f t="shared" si="15"/>
        <v>17590</v>
      </c>
      <c r="V95" s="650">
        <f t="shared" si="15"/>
        <v>17590</v>
      </c>
      <c r="W95" s="232">
        <f t="shared" si="15"/>
        <v>16972</v>
      </c>
      <c r="X95" s="232">
        <f t="shared" si="15"/>
        <v>16342</v>
      </c>
      <c r="Y95" s="232">
        <f t="shared" si="15"/>
        <v>18230</v>
      </c>
      <c r="Z95" s="232">
        <f t="shared" si="15"/>
        <v>16866</v>
      </c>
      <c r="AA95" s="650">
        <f t="shared" si="15"/>
        <v>16866</v>
      </c>
      <c r="AB95" s="232">
        <f t="shared" si="15"/>
        <v>16868</v>
      </c>
      <c r="AC95" s="232">
        <f t="shared" si="15"/>
        <v>16304</v>
      </c>
      <c r="AD95" s="232">
        <f t="shared" si="15"/>
        <v>18111</v>
      </c>
      <c r="AE95" s="232">
        <f t="shared" si="15"/>
        <v>16246</v>
      </c>
      <c r="AF95" s="651">
        <f t="shared" si="15"/>
        <v>16246</v>
      </c>
    </row>
    <row r="96" spans="1:32" ht="10.5" thickTop="1">
      <c r="A96" s="153"/>
      <c r="B96" s="15"/>
      <c r="C96" s="50"/>
      <c r="D96" s="50"/>
      <c r="E96" s="50"/>
      <c r="F96" s="50"/>
      <c r="G96" s="52"/>
      <c r="H96" s="50"/>
      <c r="I96" s="50"/>
      <c r="J96" s="50"/>
      <c r="K96" s="50"/>
      <c r="L96" s="52"/>
      <c r="M96" s="50"/>
      <c r="N96" s="50"/>
      <c r="O96" s="50"/>
      <c r="P96" s="50"/>
      <c r="Q96" s="52"/>
      <c r="R96" s="50"/>
      <c r="S96" s="50"/>
      <c r="T96" s="50"/>
      <c r="U96" s="50"/>
      <c r="V96" s="52"/>
      <c r="W96" s="53"/>
      <c r="X96" s="53"/>
      <c r="Y96" s="53"/>
      <c r="Z96" s="53"/>
      <c r="AA96" s="52"/>
      <c r="AB96" s="53"/>
      <c r="AC96" s="53"/>
      <c r="AD96" s="53"/>
      <c r="AE96" s="53"/>
      <c r="AF96" s="82"/>
    </row>
    <row r="97" spans="1:32">
      <c r="A97" s="152" t="s">
        <v>310</v>
      </c>
      <c r="B97" s="12"/>
      <c r="C97" s="52"/>
      <c r="D97" s="52"/>
      <c r="E97" s="52"/>
      <c r="F97" s="52"/>
      <c r="G97" s="51"/>
      <c r="H97" s="52"/>
      <c r="I97" s="52"/>
      <c r="J97" s="52"/>
      <c r="K97" s="52"/>
      <c r="L97" s="70"/>
      <c r="M97" s="52"/>
      <c r="N97" s="52"/>
      <c r="O97" s="52"/>
      <c r="P97" s="52"/>
      <c r="Q97" s="51"/>
      <c r="R97" s="52"/>
      <c r="S97" s="52"/>
      <c r="T97" s="52"/>
      <c r="U97" s="52"/>
      <c r="V97" s="51"/>
      <c r="W97" s="52"/>
      <c r="X97" s="52"/>
      <c r="Y97" s="52"/>
      <c r="Z97" s="52"/>
      <c r="AA97" s="51"/>
      <c r="AB97" s="52"/>
      <c r="AC97" s="52"/>
      <c r="AD97" s="52"/>
      <c r="AE97" s="52"/>
      <c r="AF97" s="78"/>
    </row>
    <row r="98" spans="1:32">
      <c r="A98" s="153" t="s">
        <v>219</v>
      </c>
      <c r="B98" s="12"/>
      <c r="C98" s="52">
        <v>3715</v>
      </c>
      <c r="D98" s="52">
        <v>3498</v>
      </c>
      <c r="E98" s="52">
        <v>5403</v>
      </c>
      <c r="F98" s="52">
        <v>2638</v>
      </c>
      <c r="G98" s="51">
        <f t="shared" ref="G98:G106" si="16">F98</f>
        <v>2638</v>
      </c>
      <c r="H98" s="52">
        <v>3443</v>
      </c>
      <c r="I98" s="52">
        <v>3181</v>
      </c>
      <c r="J98" s="52">
        <v>5209</v>
      </c>
      <c r="K98" s="52">
        <v>2659</v>
      </c>
      <c r="L98" s="51">
        <f t="shared" ref="L98:L106" si="17">K98</f>
        <v>2659</v>
      </c>
      <c r="M98" s="52">
        <v>3969</v>
      </c>
      <c r="N98" s="52">
        <v>3484</v>
      </c>
      <c r="O98" s="52">
        <v>5289</v>
      </c>
      <c r="P98" s="52">
        <v>2856</v>
      </c>
      <c r="Q98" s="51">
        <f t="shared" ref="Q98:Q106" si="18">P98</f>
        <v>2856</v>
      </c>
      <c r="R98" s="52">
        <v>4353</v>
      </c>
      <c r="S98" s="52">
        <v>4391</v>
      </c>
      <c r="T98" s="52">
        <v>5787</v>
      </c>
      <c r="U98" s="52">
        <v>3280</v>
      </c>
      <c r="V98" s="51">
        <f t="shared" ref="V98:V106" si="19">U98</f>
        <v>3280</v>
      </c>
      <c r="W98" s="51">
        <v>4648</v>
      </c>
      <c r="X98" s="51">
        <v>4113</v>
      </c>
      <c r="Y98" s="51">
        <v>5951</v>
      </c>
      <c r="Z98" s="51">
        <v>2874</v>
      </c>
      <c r="AA98" s="51">
        <f t="shared" ref="AA98:AA106" si="20">Z98</f>
        <v>2874</v>
      </c>
      <c r="AB98" s="51">
        <v>4074</v>
      </c>
      <c r="AC98" s="51">
        <v>3696</v>
      </c>
      <c r="AD98" s="51">
        <v>5328</v>
      </c>
      <c r="AE98" s="51">
        <v>2660</v>
      </c>
      <c r="AF98" s="78">
        <f t="shared" ref="AF98:AF106" si="21">AE98</f>
        <v>2660</v>
      </c>
    </row>
    <row r="99" spans="1:32">
      <c r="A99" s="153" t="s">
        <v>311</v>
      </c>
      <c r="B99" s="12"/>
      <c r="C99" s="52" t="s">
        <v>47</v>
      </c>
      <c r="D99" s="52" t="s">
        <v>47</v>
      </c>
      <c r="E99" s="52" t="s">
        <v>47</v>
      </c>
      <c r="F99" s="52">
        <v>939</v>
      </c>
      <c r="G99" s="51">
        <f t="shared" si="16"/>
        <v>939</v>
      </c>
      <c r="H99" s="52" t="s">
        <v>47</v>
      </c>
      <c r="I99" s="52" t="s">
        <v>47</v>
      </c>
      <c r="J99" s="52" t="s">
        <v>47</v>
      </c>
      <c r="K99" s="52">
        <v>731</v>
      </c>
      <c r="L99" s="51">
        <f t="shared" si="17"/>
        <v>731</v>
      </c>
      <c r="M99" s="52" t="s">
        <v>47</v>
      </c>
      <c r="N99" s="52" t="s">
        <v>47</v>
      </c>
      <c r="O99" s="52" t="s">
        <v>47</v>
      </c>
      <c r="P99" s="52">
        <v>844</v>
      </c>
      <c r="Q99" s="51">
        <f t="shared" si="18"/>
        <v>844</v>
      </c>
      <c r="R99" s="52" t="s">
        <v>47</v>
      </c>
      <c r="S99" s="52" t="s">
        <v>47</v>
      </c>
      <c r="T99" s="52" t="s">
        <v>47</v>
      </c>
      <c r="U99" s="52">
        <v>818</v>
      </c>
      <c r="V99" s="51">
        <f t="shared" si="19"/>
        <v>818</v>
      </c>
      <c r="W99" s="51" t="s">
        <v>47</v>
      </c>
      <c r="X99" s="51" t="s">
        <v>47</v>
      </c>
      <c r="Y99" s="51" t="s">
        <v>47</v>
      </c>
      <c r="Z99" s="51">
        <v>719</v>
      </c>
      <c r="AA99" s="51">
        <f t="shared" si="20"/>
        <v>719</v>
      </c>
      <c r="AB99" s="51" t="s">
        <v>47</v>
      </c>
      <c r="AC99" s="51" t="s">
        <v>47</v>
      </c>
      <c r="AD99" s="51" t="s">
        <v>47</v>
      </c>
      <c r="AE99" s="51">
        <v>680</v>
      </c>
      <c r="AF99" s="78">
        <f t="shared" si="21"/>
        <v>680</v>
      </c>
    </row>
    <row r="100" spans="1:32">
      <c r="A100" s="153" t="s">
        <v>312</v>
      </c>
      <c r="B100" s="12"/>
      <c r="C100" s="52" t="s">
        <v>47</v>
      </c>
      <c r="D100" s="52" t="s">
        <v>47</v>
      </c>
      <c r="E100" s="52" t="s">
        <v>47</v>
      </c>
      <c r="F100" s="52" t="s">
        <v>47</v>
      </c>
      <c r="G100" s="51" t="str">
        <f t="shared" si="16"/>
        <v>-</v>
      </c>
      <c r="H100" s="52" t="s">
        <v>47</v>
      </c>
      <c r="I100" s="52" t="s">
        <v>47</v>
      </c>
      <c r="J100" s="52" t="s">
        <v>47</v>
      </c>
      <c r="K100" s="52" t="s">
        <v>47</v>
      </c>
      <c r="L100" s="51" t="str">
        <f t="shared" si="17"/>
        <v>-</v>
      </c>
      <c r="M100" s="52" t="s">
        <v>47</v>
      </c>
      <c r="N100" s="52" t="s">
        <v>47</v>
      </c>
      <c r="O100" s="52" t="s">
        <v>47</v>
      </c>
      <c r="P100" s="52" t="s">
        <v>47</v>
      </c>
      <c r="Q100" s="51" t="str">
        <f t="shared" si="18"/>
        <v>-</v>
      </c>
      <c r="R100" s="52" t="s">
        <v>47</v>
      </c>
      <c r="S100" s="52" t="s">
        <v>47</v>
      </c>
      <c r="T100" s="52" t="s">
        <v>47</v>
      </c>
      <c r="U100" s="52" t="s">
        <v>47</v>
      </c>
      <c r="V100" s="51" t="str">
        <f t="shared" si="19"/>
        <v>-</v>
      </c>
      <c r="W100" s="51" t="s">
        <v>47</v>
      </c>
      <c r="X100" s="51" t="s">
        <v>47</v>
      </c>
      <c r="Y100" s="51" t="s">
        <v>47</v>
      </c>
      <c r="Z100" s="51" t="s">
        <v>47</v>
      </c>
      <c r="AA100" s="51" t="str">
        <f t="shared" si="20"/>
        <v>-</v>
      </c>
      <c r="AB100" s="51" t="s">
        <v>47</v>
      </c>
      <c r="AC100" s="51" t="s">
        <v>47</v>
      </c>
      <c r="AD100" s="51" t="s">
        <v>47</v>
      </c>
      <c r="AE100" s="51" t="s">
        <v>47</v>
      </c>
      <c r="AF100" s="78" t="str">
        <f t="shared" si="21"/>
        <v>-</v>
      </c>
    </row>
    <row r="101" spans="1:32">
      <c r="A101" s="153" t="s">
        <v>313</v>
      </c>
      <c r="B101" s="12"/>
      <c r="C101" s="52">
        <v>25</v>
      </c>
      <c r="D101" s="52">
        <v>63</v>
      </c>
      <c r="E101" s="52">
        <v>65</v>
      </c>
      <c r="F101" s="52">
        <v>36</v>
      </c>
      <c r="G101" s="51">
        <f t="shared" si="16"/>
        <v>36</v>
      </c>
      <c r="H101" s="52">
        <v>41</v>
      </c>
      <c r="I101" s="52">
        <v>6</v>
      </c>
      <c r="J101" s="52">
        <v>6</v>
      </c>
      <c r="K101" s="52">
        <v>539</v>
      </c>
      <c r="L101" s="51">
        <f t="shared" si="17"/>
        <v>539</v>
      </c>
      <c r="M101" s="52">
        <v>739</v>
      </c>
      <c r="N101" s="52">
        <v>539</v>
      </c>
      <c r="O101" s="52">
        <v>536</v>
      </c>
      <c r="P101" s="52">
        <v>452</v>
      </c>
      <c r="Q101" s="51">
        <f t="shared" si="18"/>
        <v>452</v>
      </c>
      <c r="R101" s="52">
        <v>294</v>
      </c>
      <c r="S101" s="52">
        <v>1546</v>
      </c>
      <c r="T101" s="52">
        <v>140</v>
      </c>
      <c r="U101" s="52" t="s">
        <v>47</v>
      </c>
      <c r="V101" s="51" t="str">
        <f t="shared" si="19"/>
        <v>-</v>
      </c>
      <c r="W101" s="51" t="s">
        <v>47</v>
      </c>
      <c r="X101" s="51" t="s">
        <v>47</v>
      </c>
      <c r="Y101" s="51">
        <v>183</v>
      </c>
      <c r="Z101" s="51" t="s">
        <v>47</v>
      </c>
      <c r="AA101" s="51" t="str">
        <f t="shared" si="20"/>
        <v>-</v>
      </c>
      <c r="AB101" s="51" t="s">
        <v>47</v>
      </c>
      <c r="AC101" s="51" t="s">
        <v>47</v>
      </c>
      <c r="AD101" s="51">
        <v>160</v>
      </c>
      <c r="AE101" s="51" t="s">
        <v>47</v>
      </c>
      <c r="AF101" s="78" t="str">
        <f t="shared" si="21"/>
        <v>-</v>
      </c>
    </row>
    <row r="102" spans="1:32">
      <c r="A102" s="153" t="s">
        <v>314</v>
      </c>
      <c r="B102" s="12"/>
      <c r="C102" s="52" t="s">
        <v>47</v>
      </c>
      <c r="D102" s="52" t="s">
        <v>47</v>
      </c>
      <c r="E102" s="52" t="s">
        <v>47</v>
      </c>
      <c r="F102" s="52">
        <v>7</v>
      </c>
      <c r="G102" s="51">
        <f t="shared" si="16"/>
        <v>7</v>
      </c>
      <c r="H102" s="52">
        <v>363</v>
      </c>
      <c r="I102" s="52">
        <v>351</v>
      </c>
      <c r="J102" s="52">
        <v>314</v>
      </c>
      <c r="K102" s="52">
        <v>333</v>
      </c>
      <c r="L102" s="51">
        <f t="shared" si="17"/>
        <v>333</v>
      </c>
      <c r="M102" s="52" t="s">
        <v>47</v>
      </c>
      <c r="N102" s="52" t="s">
        <v>47</v>
      </c>
      <c r="O102" s="52" t="s">
        <v>47</v>
      </c>
      <c r="P102" s="52">
        <v>200</v>
      </c>
      <c r="Q102" s="51">
        <f t="shared" si="18"/>
        <v>200</v>
      </c>
      <c r="R102" s="52" t="s">
        <v>47</v>
      </c>
      <c r="S102" s="52" t="s">
        <v>47</v>
      </c>
      <c r="T102" s="52" t="s">
        <v>47</v>
      </c>
      <c r="U102" s="52">
        <v>330</v>
      </c>
      <c r="V102" s="51">
        <f t="shared" si="19"/>
        <v>330</v>
      </c>
      <c r="W102" s="51" t="s">
        <v>47</v>
      </c>
      <c r="X102" s="51" t="s">
        <v>47</v>
      </c>
      <c r="Y102" s="51" t="s">
        <v>47</v>
      </c>
      <c r="Z102" s="51">
        <v>335</v>
      </c>
      <c r="AA102" s="51">
        <f t="shared" si="20"/>
        <v>335</v>
      </c>
      <c r="AB102" s="51" t="s">
        <v>47</v>
      </c>
      <c r="AC102" s="51" t="s">
        <v>47</v>
      </c>
      <c r="AD102" s="51" t="s">
        <v>47</v>
      </c>
      <c r="AE102" s="51">
        <v>358</v>
      </c>
      <c r="AF102" s="78">
        <f t="shared" si="21"/>
        <v>358</v>
      </c>
    </row>
    <row r="103" spans="1:32">
      <c r="A103" s="153" t="s">
        <v>315</v>
      </c>
      <c r="B103" s="12"/>
      <c r="C103" s="52">
        <v>312</v>
      </c>
      <c r="D103" s="52">
        <v>15</v>
      </c>
      <c r="E103" s="52" t="s">
        <v>47</v>
      </c>
      <c r="F103" s="52">
        <v>168</v>
      </c>
      <c r="G103" s="51">
        <f t="shared" si="16"/>
        <v>168</v>
      </c>
      <c r="H103" s="52">
        <v>182</v>
      </c>
      <c r="I103" s="52">
        <v>20</v>
      </c>
      <c r="J103" s="52" t="s">
        <v>47</v>
      </c>
      <c r="K103" s="52">
        <v>81</v>
      </c>
      <c r="L103" s="51">
        <f t="shared" si="17"/>
        <v>81</v>
      </c>
      <c r="M103" s="52">
        <v>80</v>
      </c>
      <c r="N103" s="52" t="s">
        <v>47</v>
      </c>
      <c r="O103" s="52" t="s">
        <v>47</v>
      </c>
      <c r="P103" s="52" t="s">
        <v>47</v>
      </c>
      <c r="Q103" s="51" t="str">
        <f t="shared" si="18"/>
        <v>-</v>
      </c>
      <c r="R103" s="52">
        <v>63</v>
      </c>
      <c r="S103" s="52">
        <v>18</v>
      </c>
      <c r="T103" s="52" t="s">
        <v>47</v>
      </c>
      <c r="U103" s="52">
        <v>108</v>
      </c>
      <c r="V103" s="51">
        <f t="shared" si="19"/>
        <v>108</v>
      </c>
      <c r="W103" s="51">
        <v>222</v>
      </c>
      <c r="X103" s="51">
        <v>23</v>
      </c>
      <c r="Y103" s="51">
        <v>21</v>
      </c>
      <c r="Z103" s="51">
        <v>58</v>
      </c>
      <c r="AA103" s="51">
        <f t="shared" si="20"/>
        <v>58</v>
      </c>
      <c r="AB103" s="51">
        <v>134</v>
      </c>
      <c r="AC103" s="51" t="s">
        <v>47</v>
      </c>
      <c r="AD103" s="51" t="s">
        <v>47</v>
      </c>
      <c r="AE103" s="51">
        <v>48</v>
      </c>
      <c r="AF103" s="78">
        <f t="shared" si="21"/>
        <v>48</v>
      </c>
    </row>
    <row r="104" spans="1:32">
      <c r="A104" s="153" t="s">
        <v>316</v>
      </c>
      <c r="B104" s="12"/>
      <c r="C104" s="52">
        <v>727</v>
      </c>
      <c r="D104" s="52">
        <v>662</v>
      </c>
      <c r="E104" s="52">
        <v>711</v>
      </c>
      <c r="F104" s="52">
        <v>879</v>
      </c>
      <c r="G104" s="51">
        <f t="shared" si="16"/>
        <v>879</v>
      </c>
      <c r="H104" s="52">
        <v>696</v>
      </c>
      <c r="I104" s="52">
        <v>654</v>
      </c>
      <c r="J104" s="52">
        <v>705</v>
      </c>
      <c r="K104" s="52">
        <v>839</v>
      </c>
      <c r="L104" s="51">
        <f t="shared" si="17"/>
        <v>839</v>
      </c>
      <c r="M104" s="52">
        <v>732</v>
      </c>
      <c r="N104" s="52">
        <v>675</v>
      </c>
      <c r="O104" s="52">
        <v>639</v>
      </c>
      <c r="P104" s="52">
        <v>616</v>
      </c>
      <c r="Q104" s="51">
        <f t="shared" si="18"/>
        <v>616</v>
      </c>
      <c r="R104" s="52">
        <v>580</v>
      </c>
      <c r="S104" s="52">
        <v>547</v>
      </c>
      <c r="T104" s="52">
        <v>500</v>
      </c>
      <c r="U104" s="52">
        <v>481</v>
      </c>
      <c r="V104" s="51">
        <f t="shared" si="19"/>
        <v>481</v>
      </c>
      <c r="W104" s="52">
        <v>428</v>
      </c>
      <c r="X104" s="52">
        <v>386</v>
      </c>
      <c r="Y104" s="52">
        <v>355</v>
      </c>
      <c r="Z104" s="52">
        <v>399</v>
      </c>
      <c r="AA104" s="51">
        <f t="shared" si="20"/>
        <v>399</v>
      </c>
      <c r="AB104" s="52">
        <v>360</v>
      </c>
      <c r="AC104" s="52">
        <v>340</v>
      </c>
      <c r="AD104" s="52">
        <v>336</v>
      </c>
      <c r="AE104" s="52">
        <v>384</v>
      </c>
      <c r="AF104" s="78">
        <f t="shared" si="21"/>
        <v>384</v>
      </c>
    </row>
    <row r="105" spans="1:32">
      <c r="A105" s="153" t="s">
        <v>317</v>
      </c>
      <c r="B105" s="12"/>
      <c r="C105" s="52">
        <v>298</v>
      </c>
      <c r="D105" s="52">
        <v>243</v>
      </c>
      <c r="E105" s="52">
        <v>265</v>
      </c>
      <c r="F105" s="52">
        <v>565</v>
      </c>
      <c r="G105" s="51">
        <f t="shared" si="16"/>
        <v>565</v>
      </c>
      <c r="H105" s="52">
        <v>294</v>
      </c>
      <c r="I105" s="52">
        <v>227</v>
      </c>
      <c r="J105" s="52">
        <v>245</v>
      </c>
      <c r="K105" s="52">
        <v>568</v>
      </c>
      <c r="L105" s="51">
        <f t="shared" si="17"/>
        <v>568</v>
      </c>
      <c r="M105" s="52">
        <v>252</v>
      </c>
      <c r="N105" s="52">
        <v>156</v>
      </c>
      <c r="O105" s="52">
        <v>187</v>
      </c>
      <c r="P105" s="52">
        <v>389</v>
      </c>
      <c r="Q105" s="51">
        <f t="shared" si="18"/>
        <v>389</v>
      </c>
      <c r="R105" s="52">
        <v>228</v>
      </c>
      <c r="S105" s="52">
        <v>198</v>
      </c>
      <c r="T105" s="52">
        <v>244</v>
      </c>
      <c r="U105" s="52">
        <v>399</v>
      </c>
      <c r="V105" s="51">
        <f t="shared" si="19"/>
        <v>399</v>
      </c>
      <c r="W105" s="51">
        <v>245</v>
      </c>
      <c r="X105" s="51">
        <v>186</v>
      </c>
      <c r="Y105" s="51">
        <v>233</v>
      </c>
      <c r="Z105" s="51">
        <v>476</v>
      </c>
      <c r="AA105" s="51">
        <f t="shared" si="20"/>
        <v>476</v>
      </c>
      <c r="AB105" s="51">
        <v>214</v>
      </c>
      <c r="AC105" s="51">
        <v>148</v>
      </c>
      <c r="AD105" s="51">
        <v>190</v>
      </c>
      <c r="AE105" s="51">
        <v>402</v>
      </c>
      <c r="AF105" s="78">
        <f t="shared" si="21"/>
        <v>402</v>
      </c>
    </row>
    <row r="106" spans="1:32">
      <c r="A106" s="152" t="s">
        <v>318</v>
      </c>
      <c r="B106" s="15"/>
      <c r="C106" s="50">
        <f>SUM(C98:C105)</f>
        <v>5077</v>
      </c>
      <c r="D106" s="50">
        <f>SUM(D98:D105)</f>
        <v>4481</v>
      </c>
      <c r="E106" s="50">
        <f>SUM(E98:E105)</f>
        <v>6444</v>
      </c>
      <c r="F106" s="50">
        <f>SUM(F98:F105)</f>
        <v>5232</v>
      </c>
      <c r="G106" s="646">
        <f t="shared" si="16"/>
        <v>5232</v>
      </c>
      <c r="H106" s="50">
        <f>SUM(H98:H105)</f>
        <v>5019</v>
      </c>
      <c r="I106" s="50">
        <f>SUM(I98:I105)</f>
        <v>4439</v>
      </c>
      <c r="J106" s="50">
        <f>SUM(J98:J105)</f>
        <v>6479</v>
      </c>
      <c r="K106" s="50">
        <f>SUM(K98:K105)</f>
        <v>5750</v>
      </c>
      <c r="L106" s="642">
        <f t="shared" si="17"/>
        <v>5750</v>
      </c>
      <c r="M106" s="50">
        <f>SUM(M98:M105)</f>
        <v>5772</v>
      </c>
      <c r="N106" s="50">
        <f>SUM(N98:N105)</f>
        <v>4854</v>
      </c>
      <c r="O106" s="50">
        <f>SUM(O98:O105)</f>
        <v>6651</v>
      </c>
      <c r="P106" s="50">
        <f>SUM(P98:P105)</f>
        <v>5357</v>
      </c>
      <c r="Q106" s="646">
        <f t="shared" si="18"/>
        <v>5357</v>
      </c>
      <c r="R106" s="50">
        <f>SUM(R98:R105)</f>
        <v>5518</v>
      </c>
      <c r="S106" s="50">
        <f>SUM(S98:S105)</f>
        <v>6700</v>
      </c>
      <c r="T106" s="50">
        <f>SUM(T98:T105)</f>
        <v>6671</v>
      </c>
      <c r="U106" s="50">
        <f>SUM(U98:U105)</f>
        <v>5416</v>
      </c>
      <c r="V106" s="646">
        <f t="shared" si="19"/>
        <v>5416</v>
      </c>
      <c r="W106" s="50">
        <f>SUM(W98:W105)</f>
        <v>5543</v>
      </c>
      <c r="X106" s="50">
        <f>SUM(X98:X105)</f>
        <v>4708</v>
      </c>
      <c r="Y106" s="50">
        <f>SUM(Y98:Y105)</f>
        <v>6743</v>
      </c>
      <c r="Z106" s="50">
        <f>SUM(Z98:Z105)</f>
        <v>4861</v>
      </c>
      <c r="AA106" s="646">
        <f t="shared" si="20"/>
        <v>4861</v>
      </c>
      <c r="AB106" s="50">
        <f>SUM(AB98:AB105)</f>
        <v>4782</v>
      </c>
      <c r="AC106" s="50">
        <f>SUM(AC98:AC105)</f>
        <v>4184</v>
      </c>
      <c r="AD106" s="50">
        <f>SUM(AD98:AD105)</f>
        <v>6014</v>
      </c>
      <c r="AE106" s="50">
        <f>SUM(AE98:AE105)</f>
        <v>4532</v>
      </c>
      <c r="AF106" s="645">
        <f t="shared" si="21"/>
        <v>4532</v>
      </c>
    </row>
    <row r="107" spans="1:32">
      <c r="A107" s="153"/>
      <c r="B107" s="12"/>
      <c r="C107" s="52"/>
      <c r="D107" s="52"/>
      <c r="E107" s="52"/>
      <c r="F107" s="52"/>
      <c r="G107" s="70"/>
      <c r="H107" s="52"/>
      <c r="I107" s="52"/>
      <c r="J107" s="52"/>
      <c r="K107" s="52"/>
      <c r="L107" s="51"/>
      <c r="M107" s="52"/>
      <c r="N107" s="52"/>
      <c r="O107" s="52"/>
      <c r="P107" s="52"/>
      <c r="Q107" s="51"/>
      <c r="R107" s="52"/>
      <c r="S107" s="52"/>
      <c r="T107" s="52"/>
      <c r="U107" s="52"/>
      <c r="V107" s="51"/>
      <c r="W107" s="52"/>
      <c r="X107" s="52"/>
      <c r="Y107" s="52"/>
      <c r="Z107" s="52"/>
      <c r="AA107" s="51"/>
      <c r="AB107" s="52"/>
      <c r="AC107" s="52"/>
      <c r="AD107" s="52"/>
      <c r="AE107" s="52"/>
      <c r="AF107" s="78"/>
    </row>
    <row r="108" spans="1:32">
      <c r="A108" s="153" t="s">
        <v>319</v>
      </c>
      <c r="B108" s="12"/>
      <c r="C108" s="52">
        <v>5857</v>
      </c>
      <c r="D108" s="52">
        <v>5473</v>
      </c>
      <c r="E108" s="52">
        <v>5469</v>
      </c>
      <c r="F108" s="52">
        <v>4683</v>
      </c>
      <c r="G108" s="51">
        <f t="shared" ref="G108:G113" si="22">F108</f>
        <v>4683</v>
      </c>
      <c r="H108" s="52">
        <v>4680</v>
      </c>
      <c r="I108" s="52">
        <v>4680</v>
      </c>
      <c r="J108" s="52">
        <v>4677</v>
      </c>
      <c r="K108" s="52">
        <v>3621</v>
      </c>
      <c r="L108" s="51">
        <f t="shared" ref="L108:L113" si="23">K108</f>
        <v>3621</v>
      </c>
      <c r="M108" s="52">
        <v>4918</v>
      </c>
      <c r="N108" s="52">
        <v>4851</v>
      </c>
      <c r="O108" s="52">
        <v>4852</v>
      </c>
      <c r="P108" s="52">
        <v>4407</v>
      </c>
      <c r="Q108" s="51">
        <f t="shared" ref="Q108:Q113" si="24">P108</f>
        <v>4407</v>
      </c>
      <c r="R108" s="52">
        <v>4558</v>
      </c>
      <c r="S108" s="52">
        <v>3295</v>
      </c>
      <c r="T108" s="52">
        <v>3295</v>
      </c>
      <c r="U108" s="52">
        <v>3295</v>
      </c>
      <c r="V108" s="51">
        <f t="shared" ref="V108:V113" si="25">U108</f>
        <v>3295</v>
      </c>
      <c r="W108" s="51">
        <v>2994</v>
      </c>
      <c r="X108" s="51">
        <v>2995</v>
      </c>
      <c r="Y108" s="51">
        <v>2996</v>
      </c>
      <c r="Z108" s="51">
        <v>2996</v>
      </c>
      <c r="AA108" s="51">
        <f t="shared" ref="AA108:AA113" si="26">Z108</f>
        <v>2996</v>
      </c>
      <c r="AB108" s="51">
        <v>2996</v>
      </c>
      <c r="AC108" s="51">
        <v>2997</v>
      </c>
      <c r="AD108" s="51">
        <v>2997</v>
      </c>
      <c r="AE108" s="51">
        <v>2998</v>
      </c>
      <c r="AF108" s="78">
        <f t="shared" ref="AF108:AF113" si="27">AE108</f>
        <v>2998</v>
      </c>
    </row>
    <row r="109" spans="1:32">
      <c r="A109" s="153" t="s">
        <v>320</v>
      </c>
      <c r="B109" s="12"/>
      <c r="C109" s="52" t="s">
        <v>47</v>
      </c>
      <c r="D109" s="52" t="s">
        <v>47</v>
      </c>
      <c r="E109" s="52" t="s">
        <v>47</v>
      </c>
      <c r="F109" s="52">
        <v>25</v>
      </c>
      <c r="G109" s="51">
        <f t="shared" si="22"/>
        <v>25</v>
      </c>
      <c r="H109" s="52">
        <v>2823</v>
      </c>
      <c r="I109" s="52">
        <v>2836</v>
      </c>
      <c r="J109" s="52">
        <v>2819</v>
      </c>
      <c r="K109" s="52">
        <v>2918</v>
      </c>
      <c r="L109" s="51">
        <f t="shared" si="23"/>
        <v>2918</v>
      </c>
      <c r="M109" s="52">
        <v>2923</v>
      </c>
      <c r="N109" s="52">
        <v>3269</v>
      </c>
      <c r="O109" s="52">
        <v>3266</v>
      </c>
      <c r="P109" s="52">
        <v>3185</v>
      </c>
      <c r="Q109" s="51">
        <f t="shared" si="24"/>
        <v>3185</v>
      </c>
      <c r="R109" s="52">
        <v>3166</v>
      </c>
      <c r="S109" s="52">
        <v>3096</v>
      </c>
      <c r="T109" s="52">
        <v>3090</v>
      </c>
      <c r="U109" s="52">
        <v>3098</v>
      </c>
      <c r="V109" s="51">
        <f t="shared" si="25"/>
        <v>3098</v>
      </c>
      <c r="W109" s="52">
        <v>3030</v>
      </c>
      <c r="X109" s="52">
        <v>3008</v>
      </c>
      <c r="Y109" s="52">
        <v>2988</v>
      </c>
      <c r="Z109" s="52">
        <v>2963</v>
      </c>
      <c r="AA109" s="51">
        <f t="shared" si="26"/>
        <v>2963</v>
      </c>
      <c r="AB109" s="52">
        <v>2996</v>
      </c>
      <c r="AC109" s="52">
        <v>2975</v>
      </c>
      <c r="AD109" s="52">
        <v>3034</v>
      </c>
      <c r="AE109" s="52">
        <v>2986</v>
      </c>
      <c r="AF109" s="78">
        <f t="shared" si="27"/>
        <v>2986</v>
      </c>
    </row>
    <row r="110" spans="1:32">
      <c r="A110" s="153" t="s">
        <v>321</v>
      </c>
      <c r="B110" s="12"/>
      <c r="C110" s="52" t="s">
        <v>47</v>
      </c>
      <c r="D110" s="52" t="s">
        <v>47</v>
      </c>
      <c r="E110" s="52" t="s">
        <v>47</v>
      </c>
      <c r="F110" s="52">
        <v>698</v>
      </c>
      <c r="G110" s="51">
        <f t="shared" si="22"/>
        <v>698</v>
      </c>
      <c r="H110" s="52" t="s">
        <v>47</v>
      </c>
      <c r="I110" s="52" t="s">
        <v>47</v>
      </c>
      <c r="J110" s="52" t="s">
        <v>47</v>
      </c>
      <c r="K110" s="52">
        <v>745</v>
      </c>
      <c r="L110" s="51">
        <f t="shared" si="23"/>
        <v>745</v>
      </c>
      <c r="M110" s="52" t="s">
        <v>47</v>
      </c>
      <c r="N110" s="52" t="s">
        <v>47</v>
      </c>
      <c r="O110" s="52" t="s">
        <v>47</v>
      </c>
      <c r="P110" s="52">
        <v>660</v>
      </c>
      <c r="Q110" s="51">
        <f t="shared" si="24"/>
        <v>660</v>
      </c>
      <c r="R110" s="52" t="s">
        <v>47</v>
      </c>
      <c r="S110" s="52" t="s">
        <v>47</v>
      </c>
      <c r="T110" s="52" t="s">
        <v>47</v>
      </c>
      <c r="U110" s="52">
        <v>598</v>
      </c>
      <c r="V110" s="51">
        <f t="shared" si="25"/>
        <v>598</v>
      </c>
      <c r="W110" s="52" t="s">
        <v>47</v>
      </c>
      <c r="X110" s="52" t="s">
        <v>47</v>
      </c>
      <c r="Y110" s="52" t="s">
        <v>47</v>
      </c>
      <c r="Z110" s="52">
        <v>495</v>
      </c>
      <c r="AA110" s="51">
        <f t="shared" si="26"/>
        <v>495</v>
      </c>
      <c r="AB110" s="52" t="s">
        <v>47</v>
      </c>
      <c r="AC110" s="52" t="s">
        <v>47</v>
      </c>
      <c r="AD110" s="52" t="s">
        <v>47</v>
      </c>
      <c r="AE110" s="52">
        <v>456</v>
      </c>
      <c r="AF110" s="78">
        <f t="shared" si="27"/>
        <v>456</v>
      </c>
    </row>
    <row r="111" spans="1:32">
      <c r="A111" s="153" t="s">
        <v>322</v>
      </c>
      <c r="B111" s="43"/>
      <c r="C111" s="51">
        <v>1169</v>
      </c>
      <c r="D111" s="51">
        <v>1194</v>
      </c>
      <c r="E111" s="51">
        <v>1185</v>
      </c>
      <c r="F111" s="51">
        <v>1238</v>
      </c>
      <c r="G111" s="51">
        <f t="shared" si="22"/>
        <v>1238</v>
      </c>
      <c r="H111" s="51">
        <v>1193</v>
      </c>
      <c r="I111" s="51">
        <v>1206</v>
      </c>
      <c r="J111" s="51">
        <v>1200</v>
      </c>
      <c r="K111" s="51">
        <v>1169</v>
      </c>
      <c r="L111" s="51">
        <f t="shared" si="23"/>
        <v>1169</v>
      </c>
      <c r="M111" s="51">
        <v>944</v>
      </c>
      <c r="N111" s="51">
        <v>921</v>
      </c>
      <c r="O111" s="51">
        <v>917</v>
      </c>
      <c r="P111" s="51">
        <v>908</v>
      </c>
      <c r="Q111" s="51">
        <f t="shared" si="24"/>
        <v>908</v>
      </c>
      <c r="R111" s="51">
        <v>868</v>
      </c>
      <c r="S111" s="51">
        <v>913</v>
      </c>
      <c r="T111" s="51">
        <v>970</v>
      </c>
      <c r="U111" s="51">
        <v>983</v>
      </c>
      <c r="V111" s="51">
        <f t="shared" si="25"/>
        <v>983</v>
      </c>
      <c r="W111" s="51">
        <v>968</v>
      </c>
      <c r="X111" s="51">
        <v>948</v>
      </c>
      <c r="Y111" s="51">
        <v>884</v>
      </c>
      <c r="Z111" s="51">
        <v>947</v>
      </c>
      <c r="AA111" s="51">
        <f t="shared" si="26"/>
        <v>947</v>
      </c>
      <c r="AB111" s="51">
        <v>916</v>
      </c>
      <c r="AC111" s="51">
        <v>933</v>
      </c>
      <c r="AD111" s="51">
        <v>925</v>
      </c>
      <c r="AE111" s="51">
        <v>745</v>
      </c>
      <c r="AF111" s="78">
        <f t="shared" si="27"/>
        <v>745</v>
      </c>
    </row>
    <row r="112" spans="1:32">
      <c r="A112" s="153" t="s">
        <v>323</v>
      </c>
      <c r="B112" s="39"/>
      <c r="C112" s="51">
        <v>1664</v>
      </c>
      <c r="D112" s="51">
        <v>1626</v>
      </c>
      <c r="E112" s="51">
        <v>1618</v>
      </c>
      <c r="F112" s="51">
        <v>882</v>
      </c>
      <c r="G112" s="51">
        <f t="shared" si="22"/>
        <v>882</v>
      </c>
      <c r="H112" s="51">
        <v>1258</v>
      </c>
      <c r="I112" s="51">
        <v>1265</v>
      </c>
      <c r="J112" s="51">
        <v>1315</v>
      </c>
      <c r="K112" s="51">
        <v>592</v>
      </c>
      <c r="L112" s="51">
        <f t="shared" si="23"/>
        <v>592</v>
      </c>
      <c r="M112" s="51">
        <v>1327</v>
      </c>
      <c r="N112" s="51">
        <v>1395</v>
      </c>
      <c r="O112" s="51">
        <v>1285</v>
      </c>
      <c r="P112" s="51">
        <v>636</v>
      </c>
      <c r="Q112" s="51">
        <f t="shared" si="24"/>
        <v>636</v>
      </c>
      <c r="R112" s="51">
        <v>1297</v>
      </c>
      <c r="S112" s="51">
        <v>1267</v>
      </c>
      <c r="T112" s="51">
        <v>1245</v>
      </c>
      <c r="U112" s="51">
        <v>579</v>
      </c>
      <c r="V112" s="51">
        <f t="shared" si="25"/>
        <v>579</v>
      </c>
      <c r="W112" s="51">
        <v>1159</v>
      </c>
      <c r="X112" s="51">
        <v>1152</v>
      </c>
      <c r="Y112" s="51">
        <v>1144</v>
      </c>
      <c r="Z112" s="51">
        <v>522</v>
      </c>
      <c r="AA112" s="51">
        <f t="shared" si="26"/>
        <v>522</v>
      </c>
      <c r="AB112" s="51">
        <v>1008</v>
      </c>
      <c r="AC112" s="51">
        <v>1005</v>
      </c>
      <c r="AD112" s="51">
        <v>997</v>
      </c>
      <c r="AE112" s="51">
        <v>494</v>
      </c>
      <c r="AF112" s="78">
        <f t="shared" si="27"/>
        <v>494</v>
      </c>
    </row>
    <row r="113" spans="1:32">
      <c r="A113" s="152" t="s">
        <v>324</v>
      </c>
      <c r="B113" s="40"/>
      <c r="C113" s="50">
        <f>SUM(C108:C112)</f>
        <v>8690</v>
      </c>
      <c r="D113" s="50">
        <f>SUM(D108:D112)</f>
        <v>8293</v>
      </c>
      <c r="E113" s="50">
        <f>SUM(E108:E112)</f>
        <v>8272</v>
      </c>
      <c r="F113" s="50">
        <f>SUM(F108:F112)</f>
        <v>7526</v>
      </c>
      <c r="G113" s="646">
        <f t="shared" si="22"/>
        <v>7526</v>
      </c>
      <c r="H113" s="50">
        <f>SUM(H108:H112)</f>
        <v>9954</v>
      </c>
      <c r="I113" s="50">
        <f>SUM(I108:I112)</f>
        <v>9987</v>
      </c>
      <c r="J113" s="50">
        <f>SUM(J108:J112)</f>
        <v>10011</v>
      </c>
      <c r="K113" s="50">
        <f>SUM(K108:K112)</f>
        <v>9045</v>
      </c>
      <c r="L113" s="646">
        <f t="shared" si="23"/>
        <v>9045</v>
      </c>
      <c r="M113" s="50">
        <f>SUM(M108:M112)</f>
        <v>10112</v>
      </c>
      <c r="N113" s="50">
        <f>SUM(N108:N112)</f>
        <v>10436</v>
      </c>
      <c r="O113" s="50">
        <f>SUM(O108:O112)</f>
        <v>10320</v>
      </c>
      <c r="P113" s="50">
        <f>SUM(P108:P112)</f>
        <v>9796</v>
      </c>
      <c r="Q113" s="646">
        <f t="shared" si="24"/>
        <v>9796</v>
      </c>
      <c r="R113" s="50">
        <f>SUM(R108:R112)</f>
        <v>9889</v>
      </c>
      <c r="S113" s="50">
        <f>SUM(S108:S112)</f>
        <v>8571</v>
      </c>
      <c r="T113" s="50">
        <f>SUM(T108:T112)</f>
        <v>8600</v>
      </c>
      <c r="U113" s="50">
        <f>SUM(U108:U112)</f>
        <v>8553</v>
      </c>
      <c r="V113" s="646">
        <f t="shared" si="25"/>
        <v>8553</v>
      </c>
      <c r="W113" s="50">
        <f>SUM(W108:W112)</f>
        <v>8151</v>
      </c>
      <c r="X113" s="50">
        <f>SUM(X108:X112)</f>
        <v>8103</v>
      </c>
      <c r="Y113" s="50">
        <f>SUM(Y108:Y112)</f>
        <v>8012</v>
      </c>
      <c r="Z113" s="50">
        <f>SUM(Z108:Z112)</f>
        <v>7923</v>
      </c>
      <c r="AA113" s="644">
        <f t="shared" si="26"/>
        <v>7923</v>
      </c>
      <c r="AB113" s="50">
        <f>SUM(AB108:AB112)</f>
        <v>7916</v>
      </c>
      <c r="AC113" s="50">
        <f>SUM(AC108:AC112)</f>
        <v>7910</v>
      </c>
      <c r="AD113" s="50">
        <f>SUM(AD108:AD112)</f>
        <v>7953</v>
      </c>
      <c r="AE113" s="50">
        <f>SUM(AE108:AE112)</f>
        <v>7679</v>
      </c>
      <c r="AF113" s="645">
        <f t="shared" si="27"/>
        <v>7679</v>
      </c>
    </row>
    <row r="114" spans="1:32">
      <c r="A114" s="152"/>
      <c r="B114" s="40"/>
      <c r="C114" s="50"/>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74"/>
    </row>
    <row r="115" spans="1:32" ht="13.15">
      <c r="A115" s="158" t="s">
        <v>325</v>
      </c>
      <c r="B115" s="121"/>
      <c r="C115" s="122">
        <f t="shared" ref="C115:AF115" si="28">C106+C113</f>
        <v>13767</v>
      </c>
      <c r="D115" s="122">
        <f t="shared" si="28"/>
        <v>12774</v>
      </c>
      <c r="E115" s="122">
        <f t="shared" si="28"/>
        <v>14716</v>
      </c>
      <c r="F115" s="122">
        <f t="shared" si="28"/>
        <v>12758</v>
      </c>
      <c r="G115" s="652">
        <f t="shared" si="28"/>
        <v>12758</v>
      </c>
      <c r="H115" s="122">
        <f t="shared" si="28"/>
        <v>14973</v>
      </c>
      <c r="I115" s="122">
        <f t="shared" si="28"/>
        <v>14426</v>
      </c>
      <c r="J115" s="122">
        <f t="shared" si="28"/>
        <v>16490</v>
      </c>
      <c r="K115" s="122">
        <f t="shared" si="28"/>
        <v>14795</v>
      </c>
      <c r="L115" s="652">
        <f t="shared" si="28"/>
        <v>14795</v>
      </c>
      <c r="M115" s="122">
        <f t="shared" si="28"/>
        <v>15884</v>
      </c>
      <c r="N115" s="122">
        <f t="shared" si="28"/>
        <v>15290</v>
      </c>
      <c r="O115" s="122">
        <f t="shared" si="28"/>
        <v>16971</v>
      </c>
      <c r="P115" s="122">
        <f t="shared" si="28"/>
        <v>15153</v>
      </c>
      <c r="Q115" s="652">
        <f t="shared" si="28"/>
        <v>15153</v>
      </c>
      <c r="R115" s="122">
        <f t="shared" si="28"/>
        <v>15407</v>
      </c>
      <c r="S115" s="122">
        <f t="shared" si="28"/>
        <v>15271</v>
      </c>
      <c r="T115" s="122">
        <f t="shared" si="28"/>
        <v>15271</v>
      </c>
      <c r="U115" s="122">
        <f t="shared" si="28"/>
        <v>13969</v>
      </c>
      <c r="V115" s="652">
        <f t="shared" si="28"/>
        <v>13969</v>
      </c>
      <c r="W115" s="122">
        <f t="shared" si="28"/>
        <v>13694</v>
      </c>
      <c r="X115" s="122">
        <f t="shared" si="28"/>
        <v>12811</v>
      </c>
      <c r="Y115" s="122">
        <f t="shared" si="28"/>
        <v>14755</v>
      </c>
      <c r="Z115" s="122">
        <f t="shared" si="28"/>
        <v>12784</v>
      </c>
      <c r="AA115" s="652">
        <f t="shared" si="28"/>
        <v>12784</v>
      </c>
      <c r="AB115" s="122">
        <f t="shared" si="28"/>
        <v>12698</v>
      </c>
      <c r="AC115" s="122">
        <f t="shared" si="28"/>
        <v>12094</v>
      </c>
      <c r="AD115" s="122">
        <f t="shared" si="28"/>
        <v>13967</v>
      </c>
      <c r="AE115" s="122">
        <f t="shared" si="28"/>
        <v>12211</v>
      </c>
      <c r="AF115" s="653">
        <f t="shared" si="28"/>
        <v>12211</v>
      </c>
    </row>
    <row r="116" spans="1:32">
      <c r="A116" s="153"/>
      <c r="B116" s="43"/>
      <c r="C116" s="51"/>
      <c r="D116" s="51"/>
      <c r="E116" s="51"/>
      <c r="F116" s="51"/>
      <c r="G116" s="80"/>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78"/>
    </row>
    <row r="117" spans="1:32">
      <c r="A117" s="153" t="s">
        <v>326</v>
      </c>
      <c r="B117" s="39"/>
      <c r="C117" s="51">
        <v>5821</v>
      </c>
      <c r="D117" s="51">
        <v>5916</v>
      </c>
      <c r="E117" s="51">
        <v>5667</v>
      </c>
      <c r="F117" s="51">
        <v>3</v>
      </c>
      <c r="G117" s="51">
        <f t="shared" ref="G117:G122" si="29">F117</f>
        <v>3</v>
      </c>
      <c r="H117" s="51">
        <v>3</v>
      </c>
      <c r="I117" s="51">
        <v>3</v>
      </c>
      <c r="J117" s="51">
        <v>3</v>
      </c>
      <c r="K117" s="51">
        <v>3</v>
      </c>
      <c r="L117" s="51">
        <f t="shared" ref="L117:L122" si="30">K117</f>
        <v>3</v>
      </c>
      <c r="M117" s="51">
        <v>3</v>
      </c>
      <c r="N117" s="51">
        <v>3</v>
      </c>
      <c r="O117" s="51">
        <v>3</v>
      </c>
      <c r="P117" s="51">
        <v>3</v>
      </c>
      <c r="Q117" s="51">
        <f t="shared" ref="Q117:Q122" si="31">P117</f>
        <v>3</v>
      </c>
      <c r="R117" s="51">
        <v>3</v>
      </c>
      <c r="S117" s="51">
        <v>3</v>
      </c>
      <c r="T117" s="51">
        <v>3</v>
      </c>
      <c r="U117" s="51">
        <v>3</v>
      </c>
      <c r="V117" s="51">
        <f t="shared" ref="V117:V122" si="32">U117</f>
        <v>3</v>
      </c>
      <c r="W117" s="51">
        <v>3</v>
      </c>
      <c r="X117" s="51">
        <v>3</v>
      </c>
      <c r="Y117" s="51">
        <v>3</v>
      </c>
      <c r="Z117" s="51">
        <v>3</v>
      </c>
      <c r="AA117" s="51">
        <f t="shared" ref="AA117:AA122" si="33">Z117</f>
        <v>3</v>
      </c>
      <c r="AB117" s="51">
        <v>3</v>
      </c>
      <c r="AC117" s="51">
        <v>3</v>
      </c>
      <c r="AD117" s="51">
        <v>3</v>
      </c>
      <c r="AE117" s="51">
        <v>3</v>
      </c>
      <c r="AF117" s="78">
        <f t="shared" ref="AF117:AF122" si="34">AE117</f>
        <v>3</v>
      </c>
    </row>
    <row r="118" spans="1:32">
      <c r="A118" s="153" t="s">
        <v>327</v>
      </c>
      <c r="B118" s="12"/>
      <c r="C118" s="52" t="s">
        <v>47</v>
      </c>
      <c r="D118" s="52" t="s">
        <v>47</v>
      </c>
      <c r="E118" s="52" t="s">
        <v>47</v>
      </c>
      <c r="F118" s="52">
        <v>652</v>
      </c>
      <c r="G118" s="51">
        <f t="shared" si="29"/>
        <v>652</v>
      </c>
      <c r="H118" s="52">
        <v>606</v>
      </c>
      <c r="I118" s="52">
        <v>617</v>
      </c>
      <c r="J118" s="52">
        <v>626</v>
      </c>
      <c r="K118" s="52">
        <v>621</v>
      </c>
      <c r="L118" s="51">
        <f t="shared" si="30"/>
        <v>621</v>
      </c>
      <c r="M118" s="52">
        <v>565</v>
      </c>
      <c r="N118" s="52">
        <v>568</v>
      </c>
      <c r="O118" s="52">
        <v>575</v>
      </c>
      <c r="P118" s="52">
        <v>571</v>
      </c>
      <c r="Q118" s="51">
        <f t="shared" si="31"/>
        <v>571</v>
      </c>
      <c r="R118" s="52">
        <v>558</v>
      </c>
      <c r="S118" s="52">
        <v>498</v>
      </c>
      <c r="T118" s="52">
        <v>507</v>
      </c>
      <c r="U118" s="52">
        <v>517</v>
      </c>
      <c r="V118" s="51">
        <f t="shared" si="32"/>
        <v>517</v>
      </c>
      <c r="W118" s="52">
        <v>476</v>
      </c>
      <c r="X118" s="52">
        <v>450</v>
      </c>
      <c r="Y118" s="52">
        <v>463</v>
      </c>
      <c r="Z118" s="52">
        <v>467</v>
      </c>
      <c r="AA118" s="51">
        <f t="shared" si="33"/>
        <v>467</v>
      </c>
      <c r="AB118" s="52">
        <v>373</v>
      </c>
      <c r="AC118" s="52">
        <v>352</v>
      </c>
      <c r="AD118" s="52">
        <v>367</v>
      </c>
      <c r="AE118" s="52">
        <v>352</v>
      </c>
      <c r="AF118" s="78">
        <f t="shared" si="34"/>
        <v>352</v>
      </c>
    </row>
    <row r="119" spans="1:32">
      <c r="A119" s="153" t="s">
        <v>328</v>
      </c>
      <c r="B119" s="12"/>
      <c r="C119" s="52" t="s">
        <v>47</v>
      </c>
      <c r="D119" s="52" t="s">
        <v>47</v>
      </c>
      <c r="E119" s="52" t="s">
        <v>47</v>
      </c>
      <c r="F119" s="52">
        <v>8050</v>
      </c>
      <c r="G119" s="51">
        <f t="shared" si="29"/>
        <v>8050</v>
      </c>
      <c r="H119" s="52">
        <v>7911</v>
      </c>
      <c r="I119" s="52">
        <v>7883</v>
      </c>
      <c r="J119" s="52">
        <v>7649</v>
      </c>
      <c r="K119" s="52">
        <v>7989</v>
      </c>
      <c r="L119" s="51">
        <f t="shared" si="30"/>
        <v>7989</v>
      </c>
      <c r="M119" s="52">
        <v>4291</v>
      </c>
      <c r="N119" s="52">
        <v>3860</v>
      </c>
      <c r="O119" s="52">
        <v>3769</v>
      </c>
      <c r="P119" s="52">
        <v>3928</v>
      </c>
      <c r="Q119" s="51">
        <f t="shared" si="31"/>
        <v>3928</v>
      </c>
      <c r="R119" s="52">
        <v>4031</v>
      </c>
      <c r="S119" s="52">
        <v>4376</v>
      </c>
      <c r="T119" s="52">
        <v>4523</v>
      </c>
      <c r="U119" s="52">
        <v>5268</v>
      </c>
      <c r="V119" s="51">
        <f t="shared" si="32"/>
        <v>5268</v>
      </c>
      <c r="W119" s="52">
        <v>5509</v>
      </c>
      <c r="X119" s="52">
        <v>5742</v>
      </c>
      <c r="Y119" s="52">
        <v>5764</v>
      </c>
      <c r="Z119" s="52">
        <v>6268</v>
      </c>
      <c r="AA119" s="51">
        <f t="shared" si="33"/>
        <v>6268</v>
      </c>
      <c r="AB119" s="52">
        <v>6378</v>
      </c>
      <c r="AC119" s="52">
        <v>6310</v>
      </c>
      <c r="AD119" s="52">
        <v>6261</v>
      </c>
      <c r="AE119" s="52">
        <v>6088</v>
      </c>
      <c r="AF119" s="78">
        <f t="shared" si="34"/>
        <v>6088</v>
      </c>
    </row>
    <row r="120" spans="1:32">
      <c r="A120" s="153" t="s">
        <v>329</v>
      </c>
      <c r="B120" s="12"/>
      <c r="C120" s="52" t="s">
        <v>47</v>
      </c>
      <c r="D120" s="52" t="s">
        <v>47</v>
      </c>
      <c r="E120" s="52" t="s">
        <v>47</v>
      </c>
      <c r="F120" s="52">
        <v>-1318</v>
      </c>
      <c r="G120" s="51">
        <f t="shared" si="29"/>
        <v>-1318</v>
      </c>
      <c r="H120" s="52">
        <v>-1252</v>
      </c>
      <c r="I120" s="52">
        <v>-1248</v>
      </c>
      <c r="J120" s="52">
        <v>-1244</v>
      </c>
      <c r="K120" s="52">
        <v>-1241</v>
      </c>
      <c r="L120" s="51">
        <f t="shared" si="30"/>
        <v>-1241</v>
      </c>
      <c r="M120" s="52">
        <v>-1180</v>
      </c>
      <c r="N120" s="52">
        <v>-1176</v>
      </c>
      <c r="O120" s="52">
        <v>-1175</v>
      </c>
      <c r="P120" s="52">
        <v>-1161</v>
      </c>
      <c r="Q120" s="51">
        <f t="shared" si="31"/>
        <v>-1161</v>
      </c>
      <c r="R120" s="52">
        <v>-1137</v>
      </c>
      <c r="S120" s="52">
        <v>-1066</v>
      </c>
      <c r="T120" s="52">
        <v>-1364</v>
      </c>
      <c r="U120" s="52">
        <v>-1545</v>
      </c>
      <c r="V120" s="51">
        <f t="shared" si="32"/>
        <v>-1545</v>
      </c>
      <c r="W120" s="52">
        <v>-2092</v>
      </c>
      <c r="X120" s="52">
        <v>-2049</v>
      </c>
      <c r="Y120" s="52">
        <v>-2048</v>
      </c>
      <c r="Z120" s="52">
        <v>-2038</v>
      </c>
      <c r="AA120" s="51">
        <f t="shared" si="33"/>
        <v>-2038</v>
      </c>
      <c r="AB120" s="52">
        <v>-1967</v>
      </c>
      <c r="AC120" s="52">
        <v>-1929</v>
      </c>
      <c r="AD120" s="52">
        <v>-1928</v>
      </c>
      <c r="AE120" s="52">
        <v>-1912</v>
      </c>
      <c r="AF120" s="78">
        <f t="shared" si="34"/>
        <v>-1912</v>
      </c>
    </row>
    <row r="121" spans="1:32">
      <c r="A121" s="153" t="s">
        <v>330</v>
      </c>
      <c r="B121" s="10"/>
      <c r="C121" s="79" t="s">
        <v>47</v>
      </c>
      <c r="D121" s="79" t="s">
        <v>47</v>
      </c>
      <c r="E121" s="79" t="s">
        <v>47</v>
      </c>
      <c r="F121" s="79">
        <v>-951</v>
      </c>
      <c r="G121" s="51">
        <f t="shared" si="29"/>
        <v>-951</v>
      </c>
      <c r="H121" s="79" t="s">
        <v>47</v>
      </c>
      <c r="I121" s="79" t="s">
        <v>47</v>
      </c>
      <c r="J121" s="79" t="s">
        <v>47</v>
      </c>
      <c r="K121" s="79">
        <v>-995</v>
      </c>
      <c r="L121" s="51">
        <f t="shared" si="30"/>
        <v>-995</v>
      </c>
      <c r="M121" s="79" t="s">
        <v>47</v>
      </c>
      <c r="N121" s="79" t="s">
        <v>47</v>
      </c>
      <c r="O121" s="79" t="s">
        <v>47</v>
      </c>
      <c r="P121" s="79">
        <v>-788</v>
      </c>
      <c r="Q121" s="51">
        <f t="shared" si="31"/>
        <v>-788</v>
      </c>
      <c r="R121" s="79" t="s">
        <v>47</v>
      </c>
      <c r="S121" s="79" t="s">
        <v>47</v>
      </c>
      <c r="T121" s="79" t="s">
        <v>47</v>
      </c>
      <c r="U121" s="79">
        <v>-622</v>
      </c>
      <c r="V121" s="51">
        <f t="shared" si="32"/>
        <v>-622</v>
      </c>
      <c r="W121" s="70" t="s">
        <v>47</v>
      </c>
      <c r="X121" s="70" t="s">
        <v>47</v>
      </c>
      <c r="Y121" s="70" t="s">
        <v>47</v>
      </c>
      <c r="Z121" s="70">
        <v>-618</v>
      </c>
      <c r="AA121" s="51">
        <f t="shared" si="33"/>
        <v>-618</v>
      </c>
      <c r="AB121" s="70" t="s">
        <v>47</v>
      </c>
      <c r="AC121" s="70" t="s">
        <v>47</v>
      </c>
      <c r="AD121" s="70" t="s">
        <v>47</v>
      </c>
      <c r="AE121" s="70">
        <v>-496</v>
      </c>
      <c r="AF121" s="78">
        <f t="shared" si="34"/>
        <v>-496</v>
      </c>
    </row>
    <row r="122" spans="1:32">
      <c r="A122" s="152" t="s">
        <v>331</v>
      </c>
      <c r="B122" s="30"/>
      <c r="C122" s="77">
        <f>SUM(C117:C121)</f>
        <v>5821</v>
      </c>
      <c r="D122" s="77">
        <f>SUM(D117:D121)</f>
        <v>5916</v>
      </c>
      <c r="E122" s="77">
        <f>SUM(E117:E121)</f>
        <v>5667</v>
      </c>
      <c r="F122" s="77">
        <f>SUM(F117:F121)</f>
        <v>6436</v>
      </c>
      <c r="G122" s="644">
        <f t="shared" si="29"/>
        <v>6436</v>
      </c>
      <c r="H122" s="77">
        <f>SUM(H117:H121)</f>
        <v>7268</v>
      </c>
      <c r="I122" s="77">
        <f>SUM(I117:I121)</f>
        <v>7255</v>
      </c>
      <c r="J122" s="77">
        <f>SUM(J117:J121)</f>
        <v>7034</v>
      </c>
      <c r="K122" s="77">
        <f>SUM(K117:K121)</f>
        <v>6377</v>
      </c>
      <c r="L122" s="644">
        <f t="shared" si="30"/>
        <v>6377</v>
      </c>
      <c r="M122" s="77">
        <f>SUM(M117:M121)</f>
        <v>3679</v>
      </c>
      <c r="N122" s="77">
        <f>SUM(N117:N121)</f>
        <v>3255</v>
      </c>
      <c r="O122" s="77">
        <f>SUM(O117:O121)</f>
        <v>3172</v>
      </c>
      <c r="P122" s="77">
        <f>SUM(P117:P121)</f>
        <v>2553</v>
      </c>
      <c r="Q122" s="644">
        <f t="shared" si="31"/>
        <v>2553</v>
      </c>
      <c r="R122" s="77">
        <f>SUM(R117:R121)</f>
        <v>3455</v>
      </c>
      <c r="S122" s="77">
        <f>SUM(S117:S121)</f>
        <v>3811</v>
      </c>
      <c r="T122" s="77">
        <f>SUM(T117:T121)</f>
        <v>3669</v>
      </c>
      <c r="U122" s="77">
        <f>SUM(U117:U121)</f>
        <v>3621</v>
      </c>
      <c r="V122" s="654">
        <f t="shared" si="32"/>
        <v>3621</v>
      </c>
      <c r="W122" s="77">
        <f>SUM(W117:W121)</f>
        <v>3896</v>
      </c>
      <c r="X122" s="77">
        <f>SUM(X117:X121)</f>
        <v>4146</v>
      </c>
      <c r="Y122" s="77">
        <f>SUM(Y117:Y121)</f>
        <v>4182</v>
      </c>
      <c r="Z122" s="77">
        <f>SUM(Z117:Z121)</f>
        <v>4082</v>
      </c>
      <c r="AA122" s="644">
        <f t="shared" si="33"/>
        <v>4082</v>
      </c>
      <c r="AB122" s="77">
        <f>SUM(AB117:AB121)</f>
        <v>4787</v>
      </c>
      <c r="AC122" s="77">
        <f>SUM(AC117:AC121)</f>
        <v>4736</v>
      </c>
      <c r="AD122" s="77">
        <f>SUM(AD117:AD121)</f>
        <v>4703</v>
      </c>
      <c r="AE122" s="77">
        <f>SUM(AE117:AE121)</f>
        <v>4035</v>
      </c>
      <c r="AF122" s="645">
        <f t="shared" si="34"/>
        <v>4035</v>
      </c>
    </row>
    <row r="123" spans="1:32">
      <c r="A123" s="152"/>
      <c r="C123" s="70"/>
      <c r="D123" s="70"/>
      <c r="E123" s="70"/>
      <c r="F123" s="70"/>
      <c r="G123" s="53"/>
      <c r="H123" s="70"/>
      <c r="I123" s="70"/>
      <c r="J123" s="70"/>
      <c r="K123" s="70"/>
      <c r="L123" s="53"/>
      <c r="M123" s="70"/>
      <c r="N123" s="70"/>
      <c r="O123" s="70"/>
      <c r="P123" s="70"/>
      <c r="Q123" s="53"/>
      <c r="R123" s="70"/>
      <c r="S123" s="70"/>
      <c r="T123" s="70"/>
      <c r="U123" s="70"/>
      <c r="V123" s="53"/>
      <c r="W123" s="70"/>
      <c r="X123" s="70"/>
      <c r="Y123" s="70"/>
      <c r="Z123" s="70"/>
      <c r="AA123" s="53"/>
      <c r="AB123" s="70"/>
      <c r="AC123" s="70"/>
      <c r="AD123" s="70"/>
      <c r="AE123" s="70"/>
      <c r="AF123" s="74"/>
    </row>
    <row r="124" spans="1:32">
      <c r="A124" s="153" t="s">
        <v>332</v>
      </c>
      <c r="C124" s="70">
        <v>-20</v>
      </c>
      <c r="D124" s="70">
        <v>-22</v>
      </c>
      <c r="E124" s="70">
        <v>-22</v>
      </c>
      <c r="F124" s="70">
        <v>0</v>
      </c>
      <c r="G124" s="51">
        <f>F124</f>
        <v>0</v>
      </c>
      <c r="H124" s="70">
        <v>0</v>
      </c>
      <c r="I124" s="70">
        <v>0</v>
      </c>
      <c r="J124" s="70">
        <v>0</v>
      </c>
      <c r="K124" s="70">
        <v>0</v>
      </c>
      <c r="L124" s="70">
        <v>0</v>
      </c>
      <c r="M124" s="70">
        <v>0</v>
      </c>
      <c r="N124" s="70">
        <v>0</v>
      </c>
      <c r="O124" s="70">
        <v>0</v>
      </c>
      <c r="P124" s="70">
        <v>0</v>
      </c>
      <c r="Q124" s="70">
        <v>0</v>
      </c>
      <c r="R124" s="70">
        <v>0</v>
      </c>
      <c r="S124" s="70">
        <v>0</v>
      </c>
      <c r="T124" s="70">
        <v>0</v>
      </c>
      <c r="U124" s="70">
        <v>0</v>
      </c>
      <c r="V124" s="70">
        <v>0</v>
      </c>
      <c r="W124" s="70">
        <v>0</v>
      </c>
      <c r="X124" s="70">
        <v>0</v>
      </c>
      <c r="Y124" s="70">
        <v>0</v>
      </c>
      <c r="Z124" s="70">
        <v>0</v>
      </c>
      <c r="AA124" s="70">
        <v>0</v>
      </c>
      <c r="AB124" s="70">
        <v>0</v>
      </c>
      <c r="AC124" s="70">
        <v>0</v>
      </c>
      <c r="AD124" s="70">
        <v>0</v>
      </c>
      <c r="AE124" s="70">
        <v>0</v>
      </c>
      <c r="AF124" s="140">
        <v>0</v>
      </c>
    </row>
    <row r="125" spans="1:32">
      <c r="A125" s="152"/>
      <c r="C125" s="70"/>
      <c r="D125" s="70"/>
      <c r="E125" s="70"/>
      <c r="F125" s="70"/>
      <c r="G125" s="73"/>
      <c r="H125" s="70"/>
      <c r="I125" s="70"/>
      <c r="J125" s="70"/>
      <c r="K125" s="70"/>
      <c r="L125" s="73"/>
      <c r="M125" s="70"/>
      <c r="N125" s="70"/>
      <c r="O125" s="70"/>
      <c r="P125" s="70"/>
      <c r="Q125" s="73"/>
      <c r="R125" s="70"/>
      <c r="S125" s="70"/>
      <c r="T125" s="70"/>
      <c r="U125" s="70"/>
      <c r="V125" s="73"/>
      <c r="W125" s="70"/>
      <c r="X125" s="70"/>
      <c r="Y125" s="70"/>
      <c r="Z125" s="70"/>
      <c r="AA125" s="73"/>
      <c r="AB125" s="70"/>
      <c r="AC125" s="70"/>
      <c r="AD125" s="70"/>
      <c r="AE125" s="70"/>
      <c r="AF125" s="72"/>
    </row>
    <row r="126" spans="1:32" ht="13.15">
      <c r="A126" s="158" t="s">
        <v>333</v>
      </c>
      <c r="B126" s="125"/>
      <c r="C126" s="126">
        <f t="shared" ref="C126:AF126" si="35">C122+C124</f>
        <v>5801</v>
      </c>
      <c r="D126" s="126">
        <f t="shared" si="35"/>
        <v>5894</v>
      </c>
      <c r="E126" s="126">
        <f t="shared" si="35"/>
        <v>5645</v>
      </c>
      <c r="F126" s="126">
        <f t="shared" si="35"/>
        <v>6436</v>
      </c>
      <c r="G126" s="655">
        <f t="shared" si="35"/>
        <v>6436</v>
      </c>
      <c r="H126" s="126">
        <f t="shared" si="35"/>
        <v>7268</v>
      </c>
      <c r="I126" s="126">
        <f t="shared" si="35"/>
        <v>7255</v>
      </c>
      <c r="J126" s="126">
        <f t="shared" si="35"/>
        <v>7034</v>
      </c>
      <c r="K126" s="126">
        <f t="shared" si="35"/>
        <v>6377</v>
      </c>
      <c r="L126" s="655">
        <f t="shared" si="35"/>
        <v>6377</v>
      </c>
      <c r="M126" s="126">
        <f t="shared" si="35"/>
        <v>3679</v>
      </c>
      <c r="N126" s="126">
        <f t="shared" si="35"/>
        <v>3255</v>
      </c>
      <c r="O126" s="126">
        <f t="shared" si="35"/>
        <v>3172</v>
      </c>
      <c r="P126" s="126">
        <f t="shared" si="35"/>
        <v>2553</v>
      </c>
      <c r="Q126" s="655">
        <f t="shared" si="35"/>
        <v>2553</v>
      </c>
      <c r="R126" s="126">
        <f t="shared" si="35"/>
        <v>3455</v>
      </c>
      <c r="S126" s="126">
        <f t="shared" si="35"/>
        <v>3811</v>
      </c>
      <c r="T126" s="126">
        <f t="shared" si="35"/>
        <v>3669</v>
      </c>
      <c r="U126" s="126">
        <f t="shared" si="35"/>
        <v>3621</v>
      </c>
      <c r="V126" s="655">
        <f t="shared" si="35"/>
        <v>3621</v>
      </c>
      <c r="W126" s="126">
        <f t="shared" si="35"/>
        <v>3896</v>
      </c>
      <c r="X126" s="126">
        <f t="shared" si="35"/>
        <v>4146</v>
      </c>
      <c r="Y126" s="126">
        <f t="shared" si="35"/>
        <v>4182</v>
      </c>
      <c r="Z126" s="126">
        <f t="shared" si="35"/>
        <v>4082</v>
      </c>
      <c r="AA126" s="655">
        <f t="shared" si="35"/>
        <v>4082</v>
      </c>
      <c r="AB126" s="126">
        <f t="shared" si="35"/>
        <v>4787</v>
      </c>
      <c r="AC126" s="126">
        <f t="shared" si="35"/>
        <v>4736</v>
      </c>
      <c r="AD126" s="126">
        <f t="shared" si="35"/>
        <v>4703</v>
      </c>
      <c r="AE126" s="126">
        <f t="shared" si="35"/>
        <v>4035</v>
      </c>
      <c r="AF126" s="656">
        <f t="shared" si="35"/>
        <v>4035</v>
      </c>
    </row>
    <row r="127" spans="1:32">
      <c r="A127" s="153"/>
      <c r="C127" s="70"/>
      <c r="D127" s="70"/>
      <c r="E127" s="70"/>
      <c r="F127" s="70"/>
      <c r="G127" s="71"/>
      <c r="H127" s="70"/>
      <c r="I127" s="70"/>
      <c r="J127" s="70"/>
      <c r="K127" s="70"/>
      <c r="L127" s="71"/>
      <c r="M127" s="70"/>
      <c r="N127" s="70"/>
      <c r="O127" s="70"/>
      <c r="P127" s="70"/>
      <c r="Q127" s="71"/>
      <c r="R127" s="70"/>
      <c r="S127" s="70"/>
      <c r="T127" s="70"/>
      <c r="U127" s="70"/>
      <c r="V127" s="71"/>
      <c r="W127" s="70"/>
      <c r="X127" s="70"/>
      <c r="Y127" s="70"/>
      <c r="Z127" s="70"/>
      <c r="AA127" s="71"/>
      <c r="AB127" s="70"/>
      <c r="AC127" s="70"/>
      <c r="AD127" s="70"/>
      <c r="AE127" s="70"/>
      <c r="AF127" s="69"/>
    </row>
    <row r="128" spans="1:32" s="236" customFormat="1" ht="13.5" thickBot="1">
      <c r="A128" s="233" t="s">
        <v>334</v>
      </c>
      <c r="B128" s="234"/>
      <c r="C128" s="235">
        <f t="shared" ref="C128:AF128" si="36">C115+C126</f>
        <v>19568</v>
      </c>
      <c r="D128" s="235">
        <f t="shared" si="36"/>
        <v>18668</v>
      </c>
      <c r="E128" s="235">
        <f t="shared" si="36"/>
        <v>20361</v>
      </c>
      <c r="F128" s="235">
        <f t="shared" si="36"/>
        <v>19194</v>
      </c>
      <c r="G128" s="657">
        <f t="shared" si="36"/>
        <v>19194</v>
      </c>
      <c r="H128" s="235">
        <f t="shared" si="36"/>
        <v>22241</v>
      </c>
      <c r="I128" s="235">
        <f t="shared" si="36"/>
        <v>21681</v>
      </c>
      <c r="J128" s="235">
        <f t="shared" si="36"/>
        <v>23524</v>
      </c>
      <c r="K128" s="235">
        <f t="shared" si="36"/>
        <v>21172</v>
      </c>
      <c r="L128" s="657">
        <f t="shared" si="36"/>
        <v>21172</v>
      </c>
      <c r="M128" s="235">
        <f t="shared" si="36"/>
        <v>19563</v>
      </c>
      <c r="N128" s="235">
        <f t="shared" si="36"/>
        <v>18545</v>
      </c>
      <c r="O128" s="235">
        <f t="shared" si="36"/>
        <v>20143</v>
      </c>
      <c r="P128" s="235">
        <f t="shared" si="36"/>
        <v>17706</v>
      </c>
      <c r="Q128" s="657">
        <f t="shared" si="36"/>
        <v>17706</v>
      </c>
      <c r="R128" s="235">
        <f t="shared" si="36"/>
        <v>18862</v>
      </c>
      <c r="S128" s="235">
        <f t="shared" si="36"/>
        <v>19082</v>
      </c>
      <c r="T128" s="235">
        <f t="shared" si="36"/>
        <v>18940</v>
      </c>
      <c r="U128" s="235">
        <f t="shared" si="36"/>
        <v>17590</v>
      </c>
      <c r="V128" s="657">
        <f t="shared" si="36"/>
        <v>17590</v>
      </c>
      <c r="W128" s="235">
        <f t="shared" si="36"/>
        <v>17590</v>
      </c>
      <c r="X128" s="235">
        <f t="shared" si="36"/>
        <v>16957</v>
      </c>
      <c r="Y128" s="235">
        <f t="shared" si="36"/>
        <v>18937</v>
      </c>
      <c r="Z128" s="235">
        <f t="shared" si="36"/>
        <v>16866</v>
      </c>
      <c r="AA128" s="657">
        <f t="shared" si="36"/>
        <v>16866</v>
      </c>
      <c r="AB128" s="235">
        <f t="shared" si="36"/>
        <v>17485</v>
      </c>
      <c r="AC128" s="235">
        <f t="shared" si="36"/>
        <v>16830</v>
      </c>
      <c r="AD128" s="235">
        <f t="shared" si="36"/>
        <v>18670</v>
      </c>
      <c r="AE128" s="235">
        <f t="shared" si="36"/>
        <v>16246</v>
      </c>
      <c r="AF128" s="658">
        <f t="shared" si="36"/>
        <v>16246</v>
      </c>
    </row>
    <row r="129" spans="1:32" ht="10.5" thickTop="1">
      <c r="A129" s="145"/>
    </row>
    <row r="130" spans="1:32">
      <c r="A130" s="145"/>
    </row>
    <row r="131" spans="1:32" s="185" customFormat="1">
      <c r="A131" s="184" t="s">
        <v>335</v>
      </c>
      <c r="C131" s="186" t="str">
        <f t="shared" ref="C131:AF131" si="37">IF(C95=C128, "True", C95-C128)</f>
        <v>True</v>
      </c>
      <c r="D131" s="186" t="str">
        <f t="shared" si="37"/>
        <v>True</v>
      </c>
      <c r="E131" s="186" t="str">
        <f t="shared" si="37"/>
        <v>True</v>
      </c>
      <c r="F131" s="186" t="str">
        <f t="shared" si="37"/>
        <v>True</v>
      </c>
      <c r="G131" s="186" t="str">
        <f t="shared" si="37"/>
        <v>True</v>
      </c>
      <c r="H131" s="186">
        <f t="shared" si="37"/>
        <v>-945</v>
      </c>
      <c r="I131" s="186">
        <f t="shared" si="37"/>
        <v>-940</v>
      </c>
      <c r="J131" s="186">
        <f t="shared" si="37"/>
        <v>-977</v>
      </c>
      <c r="K131" s="186" t="str">
        <f t="shared" si="37"/>
        <v>True</v>
      </c>
      <c r="L131" s="186" t="str">
        <f t="shared" si="37"/>
        <v>True</v>
      </c>
      <c r="M131" s="186">
        <f t="shared" si="37"/>
        <v>-982</v>
      </c>
      <c r="N131" s="186">
        <f t="shared" si="37"/>
        <v>-931</v>
      </c>
      <c r="O131" s="186">
        <f t="shared" si="37"/>
        <v>-929</v>
      </c>
      <c r="P131" s="186" t="str">
        <f t="shared" si="37"/>
        <v>True</v>
      </c>
      <c r="Q131" s="186" t="str">
        <f t="shared" si="37"/>
        <v>True</v>
      </c>
      <c r="R131" s="186">
        <f t="shared" si="37"/>
        <v>-780</v>
      </c>
      <c r="S131" s="186">
        <f t="shared" si="37"/>
        <v>-665</v>
      </c>
      <c r="T131" s="186">
        <f t="shared" si="37"/>
        <v>-661</v>
      </c>
      <c r="U131" s="186" t="str">
        <f t="shared" si="37"/>
        <v>True</v>
      </c>
      <c r="V131" s="186" t="str">
        <f t="shared" si="37"/>
        <v>True</v>
      </c>
      <c r="W131" s="186">
        <f t="shared" si="37"/>
        <v>-618</v>
      </c>
      <c r="X131" s="186">
        <f t="shared" si="37"/>
        <v>-615</v>
      </c>
      <c r="Y131" s="186">
        <f t="shared" si="37"/>
        <v>-707</v>
      </c>
      <c r="Z131" s="186" t="str">
        <f t="shared" si="37"/>
        <v>True</v>
      </c>
      <c r="AA131" s="186" t="str">
        <f t="shared" si="37"/>
        <v>True</v>
      </c>
      <c r="AB131" s="186">
        <f t="shared" si="37"/>
        <v>-617</v>
      </c>
      <c r="AC131" s="186">
        <f t="shared" si="37"/>
        <v>-526</v>
      </c>
      <c r="AD131" s="186">
        <f t="shared" si="37"/>
        <v>-559</v>
      </c>
      <c r="AE131" s="186" t="str">
        <f t="shared" si="37"/>
        <v>True</v>
      </c>
      <c r="AF131" s="187" t="str">
        <f t="shared" si="37"/>
        <v>True</v>
      </c>
    </row>
    <row r="132" spans="1:32">
      <c r="A132" s="145"/>
    </row>
    <row r="133" spans="1:32" s="169" customFormat="1" ht="27" customHeight="1">
      <c r="A133" s="170" t="s">
        <v>336</v>
      </c>
      <c r="B133" s="171"/>
      <c r="C133" s="172"/>
      <c r="D133" s="172"/>
      <c r="E133" s="172"/>
      <c r="F133" s="172"/>
      <c r="G133" s="172">
        <v>2019</v>
      </c>
      <c r="H133" s="172"/>
      <c r="I133" s="172"/>
      <c r="J133" s="172"/>
      <c r="K133" s="172"/>
      <c r="L133" s="172">
        <v>2020</v>
      </c>
      <c r="M133" s="172"/>
      <c r="N133" s="172"/>
      <c r="O133" s="172"/>
      <c r="P133" s="172"/>
      <c r="Q133" s="172">
        <v>2021</v>
      </c>
      <c r="R133" s="172"/>
      <c r="S133" s="172"/>
      <c r="T133" s="172"/>
      <c r="U133" s="172"/>
      <c r="V133" s="172">
        <v>2022</v>
      </c>
      <c r="W133" s="172"/>
      <c r="X133" s="172"/>
      <c r="Y133" s="172"/>
      <c r="Z133" s="172"/>
      <c r="AA133" s="172">
        <v>2023</v>
      </c>
      <c r="AB133" s="172"/>
      <c r="AC133" s="172"/>
      <c r="AD133" s="172"/>
      <c r="AE133" s="172"/>
      <c r="AF133" s="170">
        <v>2024</v>
      </c>
    </row>
    <row r="134" spans="1:32" s="129" customFormat="1" ht="30">
      <c r="A134" s="130" t="s">
        <v>34</v>
      </c>
      <c r="B134" s="142"/>
      <c r="C134" s="138" t="s">
        <v>169</v>
      </c>
      <c r="D134" s="138" t="s">
        <v>170</v>
      </c>
      <c r="E134" s="138" t="s">
        <v>171</v>
      </c>
      <c r="F134" s="138" t="s">
        <v>172</v>
      </c>
      <c r="G134" s="138" t="s">
        <v>26</v>
      </c>
      <c r="H134" s="138" t="s">
        <v>173</v>
      </c>
      <c r="I134" s="138" t="s">
        <v>174</v>
      </c>
      <c r="J134" s="138" t="s">
        <v>175</v>
      </c>
      <c r="K134" s="138" t="s">
        <v>176</v>
      </c>
      <c r="L134" s="138" t="s">
        <v>27</v>
      </c>
      <c r="M134" s="138" t="s">
        <v>177</v>
      </c>
      <c r="N134" s="138" t="s">
        <v>178</v>
      </c>
      <c r="O134" s="138" t="s">
        <v>179</v>
      </c>
      <c r="P134" s="138" t="s">
        <v>180</v>
      </c>
      <c r="Q134" s="138" t="s">
        <v>28</v>
      </c>
      <c r="R134" s="138" t="s">
        <v>181</v>
      </c>
      <c r="S134" s="138" t="s">
        <v>182</v>
      </c>
      <c r="T134" s="138" t="s">
        <v>183</v>
      </c>
      <c r="U134" s="138" t="s">
        <v>184</v>
      </c>
      <c r="V134" s="138" t="s">
        <v>29</v>
      </c>
      <c r="W134" s="138" t="s">
        <v>185</v>
      </c>
      <c r="X134" s="138" t="s">
        <v>186</v>
      </c>
      <c r="Y134" s="138" t="s">
        <v>187</v>
      </c>
      <c r="Z134" s="138" t="s">
        <v>209</v>
      </c>
      <c r="AA134" s="138" t="s">
        <v>30</v>
      </c>
      <c r="AB134" s="138" t="s">
        <v>189</v>
      </c>
      <c r="AC134" s="138" t="s">
        <v>190</v>
      </c>
      <c r="AD134" s="138" t="s">
        <v>191</v>
      </c>
      <c r="AE134" s="138" t="s">
        <v>192</v>
      </c>
      <c r="AF134" s="128" t="s">
        <v>31</v>
      </c>
    </row>
    <row r="135" spans="1:32">
      <c r="A135" s="151" t="s">
        <v>193</v>
      </c>
      <c r="B135" s="114"/>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8"/>
    </row>
    <row r="136" spans="1:32">
      <c r="A136" s="152"/>
      <c r="C136" s="54"/>
      <c r="D136" s="54"/>
      <c r="E136" s="54"/>
      <c r="F136" s="54"/>
      <c r="G136" s="45"/>
      <c r="H136" s="54"/>
      <c r="I136" s="54"/>
      <c r="J136" s="54"/>
      <c r="K136" s="54"/>
      <c r="L136" s="45"/>
      <c r="M136" s="54"/>
      <c r="N136" s="54"/>
      <c r="O136" s="54"/>
      <c r="P136" s="54"/>
      <c r="Q136" s="45"/>
      <c r="R136" s="54"/>
      <c r="S136" s="54"/>
      <c r="T136" s="54"/>
      <c r="U136" s="54"/>
      <c r="V136" s="45"/>
      <c r="W136" s="45"/>
      <c r="X136" s="45"/>
      <c r="Y136" s="45"/>
      <c r="Z136" s="45"/>
      <c r="AA136" s="45"/>
      <c r="AB136" s="45"/>
      <c r="AC136" s="45"/>
      <c r="AD136" s="45"/>
      <c r="AE136" s="45"/>
      <c r="AF136" s="86"/>
    </row>
    <row r="137" spans="1:32">
      <c r="A137" s="152" t="s">
        <v>53</v>
      </c>
      <c r="C137" s="50">
        <v>139</v>
      </c>
      <c r="D137" s="50">
        <v>167</v>
      </c>
      <c r="E137" s="50">
        <v>62</v>
      </c>
      <c r="F137" s="50">
        <v>740</v>
      </c>
      <c r="G137" s="53">
        <f>SUM(C137:F137)</f>
        <v>1108</v>
      </c>
      <c r="H137" s="50">
        <v>136</v>
      </c>
      <c r="I137" s="50">
        <v>87</v>
      </c>
      <c r="J137" s="50">
        <v>1</v>
      </c>
      <c r="K137" s="50">
        <v>340</v>
      </c>
      <c r="L137" s="53">
        <f>SUM(H137:K137)</f>
        <v>564</v>
      </c>
      <c r="M137" s="50">
        <v>-3581</v>
      </c>
      <c r="N137" s="50">
        <v>-431</v>
      </c>
      <c r="O137" s="50">
        <v>-92</v>
      </c>
      <c r="P137" s="50">
        <v>160</v>
      </c>
      <c r="Q137" s="53">
        <f>SUM(M137:P137)</f>
        <v>-3944</v>
      </c>
      <c r="R137" s="50">
        <v>103</v>
      </c>
      <c r="S137" s="50">
        <v>345</v>
      </c>
      <c r="T137" s="50">
        <v>239</v>
      </c>
      <c r="U137" s="50">
        <v>743</v>
      </c>
      <c r="V137" s="53">
        <f>SUM(R137:U137)</f>
        <v>1430</v>
      </c>
      <c r="W137" s="53">
        <v>286</v>
      </c>
      <c r="X137" s="53">
        <v>275</v>
      </c>
      <c r="Y137" s="53">
        <v>107</v>
      </c>
      <c r="Z137" s="53">
        <v>509</v>
      </c>
      <c r="AA137" s="53">
        <f>SUM(W137:Z137)</f>
        <v>1177</v>
      </c>
      <c r="AB137" s="53">
        <v>155</v>
      </c>
      <c r="AC137" s="53">
        <v>-22</v>
      </c>
      <c r="AD137" s="53">
        <v>40</v>
      </c>
      <c r="AE137" s="53">
        <v>-128</v>
      </c>
      <c r="AF137" s="143">
        <f>SUM(AB137:AE137)</f>
        <v>45</v>
      </c>
    </row>
    <row r="138" spans="1:32">
      <c r="A138" s="153" t="s">
        <v>266</v>
      </c>
      <c r="C138" s="52">
        <v>235</v>
      </c>
      <c r="D138" s="52">
        <v>235</v>
      </c>
      <c r="E138" s="52">
        <v>248</v>
      </c>
      <c r="F138" s="52">
        <v>-52</v>
      </c>
      <c r="G138" s="51">
        <f>SUM(C138:F138)</f>
        <v>666</v>
      </c>
      <c r="H138" s="52">
        <v>236</v>
      </c>
      <c r="I138" s="52">
        <v>236</v>
      </c>
      <c r="J138" s="52">
        <v>253</v>
      </c>
      <c r="K138" s="52">
        <v>-29</v>
      </c>
      <c r="L138" s="51">
        <f>SUM(H138:K138)</f>
        <v>696</v>
      </c>
      <c r="M138" s="52">
        <v>237</v>
      </c>
      <c r="N138" s="52">
        <v>235</v>
      </c>
      <c r="O138" s="52">
        <v>250</v>
      </c>
      <c r="P138" s="52">
        <v>-31</v>
      </c>
      <c r="Q138" s="53">
        <f>SUM(M138:P138)</f>
        <v>691</v>
      </c>
      <c r="R138" s="52">
        <v>224</v>
      </c>
      <c r="S138" s="52">
        <v>220</v>
      </c>
      <c r="T138" s="52">
        <v>224</v>
      </c>
      <c r="U138" s="52">
        <v>-32</v>
      </c>
      <c r="V138" s="51">
        <f>SUM(R138:U138)</f>
        <v>636</v>
      </c>
      <c r="W138" s="51">
        <v>206</v>
      </c>
      <c r="X138" s="51">
        <v>207</v>
      </c>
      <c r="Y138" s="51">
        <v>225</v>
      </c>
      <c r="Z138" s="51">
        <v>-16</v>
      </c>
      <c r="AA138" s="51">
        <f>SUM(W138:Z138)</f>
        <v>622</v>
      </c>
      <c r="AB138" s="51">
        <v>218</v>
      </c>
      <c r="AC138" s="51">
        <v>215</v>
      </c>
      <c r="AD138" s="51">
        <v>232</v>
      </c>
      <c r="AE138" s="51">
        <v>-37</v>
      </c>
      <c r="AF138" s="144">
        <f>SUM(AB138:AE138)</f>
        <v>628</v>
      </c>
    </row>
    <row r="139" spans="1:32">
      <c r="A139" s="152" t="s">
        <v>337</v>
      </c>
      <c r="C139" s="50">
        <f t="shared" ref="C139:AF139" si="38">C138</f>
        <v>235</v>
      </c>
      <c r="D139" s="50">
        <f t="shared" si="38"/>
        <v>235</v>
      </c>
      <c r="E139" s="50">
        <f t="shared" si="38"/>
        <v>248</v>
      </c>
      <c r="F139" s="50">
        <f t="shared" si="38"/>
        <v>-52</v>
      </c>
      <c r="G139" s="646">
        <f t="shared" si="38"/>
        <v>666</v>
      </c>
      <c r="H139" s="50">
        <f t="shared" si="38"/>
        <v>236</v>
      </c>
      <c r="I139" s="50">
        <f t="shared" si="38"/>
        <v>236</v>
      </c>
      <c r="J139" s="50">
        <f t="shared" si="38"/>
        <v>253</v>
      </c>
      <c r="K139" s="50">
        <f t="shared" si="38"/>
        <v>-29</v>
      </c>
      <c r="L139" s="646">
        <f t="shared" si="38"/>
        <v>696</v>
      </c>
      <c r="M139" s="50">
        <f t="shared" si="38"/>
        <v>237</v>
      </c>
      <c r="N139" s="50">
        <f t="shared" si="38"/>
        <v>235</v>
      </c>
      <c r="O139" s="50">
        <f t="shared" si="38"/>
        <v>250</v>
      </c>
      <c r="P139" s="50">
        <f t="shared" si="38"/>
        <v>-31</v>
      </c>
      <c r="Q139" s="646">
        <f t="shared" si="38"/>
        <v>691</v>
      </c>
      <c r="R139" s="50">
        <f t="shared" si="38"/>
        <v>224</v>
      </c>
      <c r="S139" s="50">
        <f t="shared" si="38"/>
        <v>220</v>
      </c>
      <c r="T139" s="50">
        <f t="shared" si="38"/>
        <v>224</v>
      </c>
      <c r="U139" s="50">
        <f t="shared" si="38"/>
        <v>-32</v>
      </c>
      <c r="V139" s="646">
        <f t="shared" si="38"/>
        <v>636</v>
      </c>
      <c r="W139" s="53">
        <f t="shared" si="38"/>
        <v>206</v>
      </c>
      <c r="X139" s="53">
        <f t="shared" si="38"/>
        <v>207</v>
      </c>
      <c r="Y139" s="53">
        <f t="shared" si="38"/>
        <v>225</v>
      </c>
      <c r="Z139" s="53">
        <f t="shared" si="38"/>
        <v>-16</v>
      </c>
      <c r="AA139" s="646">
        <f t="shared" si="38"/>
        <v>622</v>
      </c>
      <c r="AB139" s="53">
        <f t="shared" si="38"/>
        <v>218</v>
      </c>
      <c r="AC139" s="53">
        <f t="shared" si="38"/>
        <v>215</v>
      </c>
      <c r="AD139" s="53">
        <f t="shared" si="38"/>
        <v>232</v>
      </c>
      <c r="AE139" s="53">
        <f t="shared" si="38"/>
        <v>-37</v>
      </c>
      <c r="AF139" s="659">
        <f t="shared" si="38"/>
        <v>628</v>
      </c>
    </row>
    <row r="140" spans="1:32">
      <c r="A140" s="153"/>
      <c r="C140" s="52"/>
      <c r="D140" s="52"/>
      <c r="E140" s="52"/>
      <c r="F140" s="52"/>
      <c r="G140" s="51"/>
      <c r="H140" s="52"/>
      <c r="I140" s="52"/>
      <c r="J140" s="52"/>
      <c r="K140" s="52"/>
      <c r="L140" s="51"/>
      <c r="M140" s="52"/>
      <c r="N140" s="52"/>
      <c r="O140" s="52"/>
      <c r="P140" s="52"/>
      <c r="Q140" s="51"/>
      <c r="R140" s="52"/>
      <c r="S140" s="52"/>
      <c r="T140" s="52"/>
      <c r="U140" s="52"/>
      <c r="V140" s="51"/>
      <c r="W140" s="52"/>
      <c r="X140" s="52"/>
      <c r="Y140" s="52"/>
      <c r="Z140" s="52"/>
      <c r="AA140" s="51"/>
      <c r="AB140" s="52"/>
      <c r="AC140" s="52"/>
      <c r="AD140" s="52"/>
      <c r="AE140" s="52"/>
      <c r="AF140" s="145"/>
    </row>
    <row r="141" spans="1:32">
      <c r="A141" s="153" t="s">
        <v>338</v>
      </c>
      <c r="C141" s="52" t="s">
        <v>47</v>
      </c>
      <c r="D141" s="52">
        <v>-5</v>
      </c>
      <c r="E141" s="52">
        <v>0</v>
      </c>
      <c r="F141" s="52">
        <v>286</v>
      </c>
      <c r="G141" s="51">
        <f t="shared" ref="G141:G150" si="39">SUM(C141:F141)</f>
        <v>281</v>
      </c>
      <c r="H141" s="52" t="s">
        <v>47</v>
      </c>
      <c r="I141" s="52">
        <v>1</v>
      </c>
      <c r="J141" s="52">
        <v>0</v>
      </c>
      <c r="K141" s="52">
        <v>288</v>
      </c>
      <c r="L141" s="51">
        <f t="shared" ref="L141:L150" si="40">SUM(H141:K141)</f>
        <v>289</v>
      </c>
      <c r="M141" s="52" t="s">
        <v>47</v>
      </c>
      <c r="N141" s="52">
        <v>4</v>
      </c>
      <c r="O141" s="52">
        <v>7</v>
      </c>
      <c r="P141" s="52">
        <v>275</v>
      </c>
      <c r="Q141" s="51">
        <f t="shared" ref="Q141:Q150" si="41">SUM(M141:P141)</f>
        <v>286</v>
      </c>
      <c r="R141" s="52">
        <v>8</v>
      </c>
      <c r="S141" s="52">
        <v>6</v>
      </c>
      <c r="T141" s="52">
        <v>52</v>
      </c>
      <c r="U141" s="52">
        <v>242</v>
      </c>
      <c r="V141" s="51">
        <f t="shared" ref="V141:V150" si="42">SUM(R141:U141)</f>
        <v>308</v>
      </c>
      <c r="W141" s="51">
        <v>2</v>
      </c>
      <c r="X141" s="51">
        <v>3</v>
      </c>
      <c r="Y141" s="51">
        <v>3</v>
      </c>
      <c r="Z141" s="51">
        <v>238</v>
      </c>
      <c r="AA141" s="51">
        <f t="shared" ref="AA141:AA150" si="43">SUM(W141:Z141)</f>
        <v>246</v>
      </c>
      <c r="AB141" s="51">
        <v>3</v>
      </c>
      <c r="AC141" s="51">
        <v>2</v>
      </c>
      <c r="AD141" s="51">
        <v>3</v>
      </c>
      <c r="AE141" s="51">
        <v>271</v>
      </c>
      <c r="AF141" s="144">
        <f t="shared" ref="AF141:AF150" si="44">SUM(AB141:AE141)</f>
        <v>279</v>
      </c>
    </row>
    <row r="142" spans="1:32">
      <c r="A142" s="153" t="s">
        <v>339</v>
      </c>
      <c r="C142" s="52">
        <v>-24</v>
      </c>
      <c r="D142" s="52">
        <v>-46</v>
      </c>
      <c r="E142" s="52">
        <v>-41</v>
      </c>
      <c r="F142" s="52">
        <v>-278</v>
      </c>
      <c r="G142" s="51">
        <f t="shared" si="39"/>
        <v>-389</v>
      </c>
      <c r="H142" s="52">
        <v>-43</v>
      </c>
      <c r="I142" s="52">
        <v>-6</v>
      </c>
      <c r="J142" s="52">
        <v>-18</v>
      </c>
      <c r="K142" s="52">
        <v>-95</v>
      </c>
      <c r="L142" s="51">
        <f t="shared" si="40"/>
        <v>-162</v>
      </c>
      <c r="M142" s="52">
        <v>-16</v>
      </c>
      <c r="N142" s="52">
        <v>0</v>
      </c>
      <c r="O142" s="52">
        <v>-4</v>
      </c>
      <c r="P142" s="52">
        <v>-40</v>
      </c>
      <c r="Q142" s="51">
        <f t="shared" si="41"/>
        <v>-60</v>
      </c>
      <c r="R142" s="52">
        <v>-6</v>
      </c>
      <c r="S142" s="52">
        <v>-6</v>
      </c>
      <c r="T142" s="52">
        <v>-49</v>
      </c>
      <c r="U142" s="52">
        <v>-30</v>
      </c>
      <c r="V142" s="51">
        <f t="shared" si="42"/>
        <v>-91</v>
      </c>
      <c r="W142" s="51">
        <v>-42</v>
      </c>
      <c r="X142" s="51">
        <v>0</v>
      </c>
      <c r="Y142" s="51">
        <v>-32</v>
      </c>
      <c r="Z142" s="51">
        <v>-15</v>
      </c>
      <c r="AA142" s="51">
        <f t="shared" si="43"/>
        <v>-89</v>
      </c>
      <c r="AB142" s="51">
        <v>-11</v>
      </c>
      <c r="AC142" s="51">
        <v>-4</v>
      </c>
      <c r="AD142" s="51">
        <v>-5</v>
      </c>
      <c r="AE142" s="51">
        <v>-41</v>
      </c>
      <c r="AF142" s="144">
        <f t="shared" si="44"/>
        <v>-61</v>
      </c>
    </row>
    <row r="143" spans="1:32">
      <c r="A143" s="153" t="s">
        <v>340</v>
      </c>
      <c r="C143" s="52">
        <v>19</v>
      </c>
      <c r="D143" s="52">
        <v>17</v>
      </c>
      <c r="E143" s="52">
        <v>3</v>
      </c>
      <c r="F143" s="52">
        <v>105</v>
      </c>
      <c r="G143" s="51">
        <f t="shared" si="39"/>
        <v>144</v>
      </c>
      <c r="H143" s="52" t="s">
        <v>47</v>
      </c>
      <c r="I143" s="52">
        <v>1</v>
      </c>
      <c r="J143" s="52">
        <v>5</v>
      </c>
      <c r="K143" s="52">
        <v>348</v>
      </c>
      <c r="L143" s="51">
        <f t="shared" si="40"/>
        <v>354</v>
      </c>
      <c r="M143" s="52">
        <v>3175</v>
      </c>
      <c r="N143" s="52">
        <v>183</v>
      </c>
      <c r="O143" s="52">
        <v>8</v>
      </c>
      <c r="P143" s="52">
        <v>138</v>
      </c>
      <c r="Q143" s="51">
        <f t="shared" si="41"/>
        <v>3504</v>
      </c>
      <c r="R143" s="52">
        <v>19</v>
      </c>
      <c r="S143" s="52">
        <v>2</v>
      </c>
      <c r="T143" s="52">
        <v>0</v>
      </c>
      <c r="U143" s="52">
        <v>-12</v>
      </c>
      <c r="V143" s="51">
        <f t="shared" si="42"/>
        <v>9</v>
      </c>
      <c r="W143" s="52">
        <v>8</v>
      </c>
      <c r="X143" s="52">
        <v>2</v>
      </c>
      <c r="Y143" s="52">
        <v>15</v>
      </c>
      <c r="Z143" s="52">
        <v>-5</v>
      </c>
      <c r="AA143" s="51">
        <f t="shared" si="43"/>
        <v>20</v>
      </c>
      <c r="AB143" s="52">
        <v>2</v>
      </c>
      <c r="AC143" s="52">
        <v>4</v>
      </c>
      <c r="AD143" s="52">
        <v>15</v>
      </c>
      <c r="AE143" s="52">
        <v>991</v>
      </c>
      <c r="AF143" s="144">
        <f t="shared" si="44"/>
        <v>1012</v>
      </c>
    </row>
    <row r="144" spans="1:32">
      <c r="A144" s="153" t="s">
        <v>341</v>
      </c>
      <c r="C144" s="52">
        <v>17</v>
      </c>
      <c r="D144" s="52">
        <v>14</v>
      </c>
      <c r="E144" s="52">
        <v>17</v>
      </c>
      <c r="F144" s="52">
        <v>15</v>
      </c>
      <c r="G144" s="51">
        <f t="shared" si="39"/>
        <v>63</v>
      </c>
      <c r="H144" s="52">
        <v>14</v>
      </c>
      <c r="I144" s="52">
        <v>14</v>
      </c>
      <c r="J144" s="52">
        <v>12</v>
      </c>
      <c r="K144" s="52">
        <v>-2</v>
      </c>
      <c r="L144" s="51">
        <f t="shared" si="40"/>
        <v>38</v>
      </c>
      <c r="M144" s="52">
        <v>6</v>
      </c>
      <c r="N144" s="52">
        <v>7</v>
      </c>
      <c r="O144" s="52">
        <v>8</v>
      </c>
      <c r="P144" s="52">
        <v>10</v>
      </c>
      <c r="Q144" s="51">
        <f t="shared" si="41"/>
        <v>31</v>
      </c>
      <c r="R144" s="52">
        <v>11</v>
      </c>
      <c r="S144" s="52">
        <v>11</v>
      </c>
      <c r="T144" s="52">
        <v>10</v>
      </c>
      <c r="U144" s="52">
        <v>23</v>
      </c>
      <c r="V144" s="51">
        <f t="shared" si="42"/>
        <v>55</v>
      </c>
      <c r="W144" s="51">
        <v>13</v>
      </c>
      <c r="X144" s="51">
        <v>17</v>
      </c>
      <c r="Y144" s="51">
        <v>14</v>
      </c>
      <c r="Z144" s="51">
        <v>10</v>
      </c>
      <c r="AA144" s="51">
        <f t="shared" si="43"/>
        <v>54</v>
      </c>
      <c r="AB144" s="51">
        <v>14</v>
      </c>
      <c r="AC144" s="51">
        <v>16</v>
      </c>
      <c r="AD144" s="51">
        <v>15</v>
      </c>
      <c r="AE144" s="51">
        <v>2</v>
      </c>
      <c r="AF144" s="144">
        <f t="shared" si="44"/>
        <v>47</v>
      </c>
    </row>
    <row r="145" spans="1:32">
      <c r="A145" s="153" t="s">
        <v>342</v>
      </c>
      <c r="C145" s="52">
        <v>20</v>
      </c>
      <c r="D145" s="52">
        <v>74</v>
      </c>
      <c r="E145" s="52">
        <v>56</v>
      </c>
      <c r="F145" s="52">
        <v>62</v>
      </c>
      <c r="G145" s="51">
        <f t="shared" si="39"/>
        <v>212</v>
      </c>
      <c r="H145" s="52">
        <v>16</v>
      </c>
      <c r="I145" s="52">
        <v>18</v>
      </c>
      <c r="J145" s="52">
        <v>36</v>
      </c>
      <c r="K145" s="52">
        <v>13</v>
      </c>
      <c r="L145" s="51">
        <f t="shared" si="40"/>
        <v>83</v>
      </c>
      <c r="M145" s="52">
        <v>-204</v>
      </c>
      <c r="N145" s="52">
        <v>68</v>
      </c>
      <c r="O145" s="52">
        <v>46</v>
      </c>
      <c r="P145" s="52">
        <v>-31</v>
      </c>
      <c r="Q145" s="51">
        <f t="shared" si="41"/>
        <v>-121</v>
      </c>
      <c r="R145" s="52">
        <v>-33</v>
      </c>
      <c r="S145" s="52">
        <v>97</v>
      </c>
      <c r="T145" s="52">
        <v>72</v>
      </c>
      <c r="U145" s="52">
        <v>34</v>
      </c>
      <c r="V145" s="51">
        <f t="shared" si="42"/>
        <v>170</v>
      </c>
      <c r="W145" s="51">
        <v>-12</v>
      </c>
      <c r="X145" s="51">
        <v>-16</v>
      </c>
      <c r="Y145" s="51">
        <v>5</v>
      </c>
      <c r="Z145" s="51">
        <v>62</v>
      </c>
      <c r="AA145" s="51">
        <f t="shared" si="43"/>
        <v>39</v>
      </c>
      <c r="AB145" s="51">
        <v>-30</v>
      </c>
      <c r="AC145" s="51">
        <v>109</v>
      </c>
      <c r="AD145" s="51">
        <v>11</v>
      </c>
      <c r="AE145" s="51">
        <v>-181</v>
      </c>
      <c r="AF145" s="144">
        <f t="shared" si="44"/>
        <v>-91</v>
      </c>
    </row>
    <row r="146" spans="1:32">
      <c r="A146" s="153" t="s">
        <v>343</v>
      </c>
      <c r="C146" s="52">
        <v>105</v>
      </c>
      <c r="D146" s="52">
        <v>-17</v>
      </c>
      <c r="E146" s="52">
        <v>75</v>
      </c>
      <c r="F146" s="52">
        <v>-224</v>
      </c>
      <c r="G146" s="51">
        <f t="shared" si="39"/>
        <v>-61</v>
      </c>
      <c r="H146" s="52">
        <v>163</v>
      </c>
      <c r="I146" s="52">
        <v>-3</v>
      </c>
      <c r="J146" s="52">
        <v>64</v>
      </c>
      <c r="K146" s="52">
        <v>-233</v>
      </c>
      <c r="L146" s="51">
        <f t="shared" si="40"/>
        <v>-9</v>
      </c>
      <c r="M146" s="52">
        <v>236</v>
      </c>
      <c r="N146" s="52">
        <v>-14</v>
      </c>
      <c r="O146" s="52">
        <v>1</v>
      </c>
      <c r="P146" s="52">
        <v>-91</v>
      </c>
      <c r="Q146" s="51">
        <f t="shared" si="41"/>
        <v>132</v>
      </c>
      <c r="R146" s="52">
        <v>71</v>
      </c>
      <c r="S146" s="52">
        <v>-16</v>
      </c>
      <c r="T146" s="52">
        <v>9</v>
      </c>
      <c r="U146" s="52">
        <v>-85</v>
      </c>
      <c r="V146" s="51">
        <f t="shared" si="42"/>
        <v>-21</v>
      </c>
      <c r="W146" s="51">
        <v>65</v>
      </c>
      <c r="X146" s="51">
        <v>13</v>
      </c>
      <c r="Y146" s="51">
        <v>15</v>
      </c>
      <c r="Z146" s="51">
        <v>-96</v>
      </c>
      <c r="AA146" s="51">
        <f t="shared" si="43"/>
        <v>-3</v>
      </c>
      <c r="AB146" s="51">
        <v>45</v>
      </c>
      <c r="AC146" s="51">
        <v>32</v>
      </c>
      <c r="AD146" s="51">
        <v>5</v>
      </c>
      <c r="AE146" s="51">
        <v>-75</v>
      </c>
      <c r="AF146" s="144">
        <f t="shared" si="44"/>
        <v>7</v>
      </c>
    </row>
    <row r="147" spans="1:32">
      <c r="A147" s="153" t="s">
        <v>344</v>
      </c>
      <c r="C147" s="52">
        <v>-115</v>
      </c>
      <c r="D147" s="52">
        <v>336</v>
      </c>
      <c r="E147" s="52">
        <v>-2190</v>
      </c>
      <c r="F147" s="52">
        <v>1882</v>
      </c>
      <c r="G147" s="51">
        <f t="shared" si="39"/>
        <v>-87</v>
      </c>
      <c r="H147" s="52">
        <v>-235</v>
      </c>
      <c r="I147" s="52">
        <v>469</v>
      </c>
      <c r="J147" s="52">
        <v>-2227</v>
      </c>
      <c r="K147" s="52">
        <v>2068</v>
      </c>
      <c r="L147" s="51">
        <f t="shared" si="40"/>
        <v>75</v>
      </c>
      <c r="M147" s="52">
        <v>265</v>
      </c>
      <c r="N147" s="52">
        <v>1333</v>
      </c>
      <c r="O147" s="52">
        <v>-1564</v>
      </c>
      <c r="P147" s="52">
        <v>1372</v>
      </c>
      <c r="Q147" s="51">
        <f t="shared" si="41"/>
        <v>1406</v>
      </c>
      <c r="R147" s="52">
        <v>-457</v>
      </c>
      <c r="S147" s="52">
        <v>-68</v>
      </c>
      <c r="T147" s="52">
        <v>-1842</v>
      </c>
      <c r="U147" s="52">
        <v>1757</v>
      </c>
      <c r="V147" s="51">
        <f t="shared" si="42"/>
        <v>-610</v>
      </c>
      <c r="W147" s="51">
        <v>-573</v>
      </c>
      <c r="X147" s="51">
        <v>346</v>
      </c>
      <c r="Y147" s="51">
        <v>-1792</v>
      </c>
      <c r="Z147" s="51">
        <v>2135</v>
      </c>
      <c r="AA147" s="51">
        <f t="shared" si="43"/>
        <v>116</v>
      </c>
      <c r="AB147" s="51">
        <v>-340</v>
      </c>
      <c r="AC147" s="51">
        <v>478</v>
      </c>
      <c r="AD147" s="51">
        <v>-1895</v>
      </c>
      <c r="AE147" s="51">
        <v>1658</v>
      </c>
      <c r="AF147" s="144">
        <f t="shared" si="44"/>
        <v>-99</v>
      </c>
    </row>
    <row r="148" spans="1:32">
      <c r="A148" s="153" t="s">
        <v>345</v>
      </c>
      <c r="C148" s="52">
        <v>415</v>
      </c>
      <c r="D148" s="52">
        <v>-196</v>
      </c>
      <c r="E148" s="52">
        <v>1445</v>
      </c>
      <c r="F148" s="52">
        <v>-1609</v>
      </c>
      <c r="G148" s="51">
        <f t="shared" si="39"/>
        <v>55</v>
      </c>
      <c r="H148" s="52">
        <v>247</v>
      </c>
      <c r="I148" s="52">
        <v>-192</v>
      </c>
      <c r="J148" s="52">
        <v>1593</v>
      </c>
      <c r="K148" s="52">
        <v>-1608</v>
      </c>
      <c r="L148" s="51">
        <f t="shared" si="40"/>
        <v>40</v>
      </c>
      <c r="M148" s="52">
        <v>629</v>
      </c>
      <c r="N148" s="52">
        <v>-817</v>
      </c>
      <c r="O148" s="52">
        <v>1800</v>
      </c>
      <c r="P148" s="52">
        <v>-2134</v>
      </c>
      <c r="Q148" s="51">
        <f t="shared" si="41"/>
        <v>-522</v>
      </c>
      <c r="R148" s="52">
        <v>674</v>
      </c>
      <c r="S148" s="52">
        <v>-27</v>
      </c>
      <c r="T148" s="52">
        <v>1111</v>
      </c>
      <c r="U148" s="52">
        <v>-1295</v>
      </c>
      <c r="V148" s="51">
        <f t="shared" si="42"/>
        <v>463</v>
      </c>
      <c r="W148" s="52">
        <v>639</v>
      </c>
      <c r="X148" s="52">
        <v>-994</v>
      </c>
      <c r="Y148" s="52">
        <v>1691</v>
      </c>
      <c r="Z148" s="52">
        <v>-1639</v>
      </c>
      <c r="AA148" s="51">
        <f t="shared" si="43"/>
        <v>-303</v>
      </c>
      <c r="AB148" s="52">
        <v>-41</v>
      </c>
      <c r="AC148" s="52">
        <v>-430</v>
      </c>
      <c r="AD148" s="52">
        <v>1503</v>
      </c>
      <c r="AE148" s="52">
        <v>-1411</v>
      </c>
      <c r="AF148" s="144">
        <f t="shared" si="44"/>
        <v>-379</v>
      </c>
    </row>
    <row r="149" spans="1:32">
      <c r="A149" s="153" t="s">
        <v>346</v>
      </c>
      <c r="C149" s="52">
        <v>25</v>
      </c>
      <c r="D149" s="52">
        <v>-296</v>
      </c>
      <c r="E149" s="52">
        <v>-30</v>
      </c>
      <c r="F149" s="52">
        <v>165</v>
      </c>
      <c r="G149" s="51">
        <f t="shared" si="39"/>
        <v>-136</v>
      </c>
      <c r="H149" s="52">
        <v>8</v>
      </c>
      <c r="I149" s="52">
        <v>-157</v>
      </c>
      <c r="J149" s="52">
        <v>-19</v>
      </c>
      <c r="K149" s="52">
        <v>108</v>
      </c>
      <c r="L149" s="51">
        <f t="shared" si="40"/>
        <v>-60</v>
      </c>
      <c r="M149" s="52">
        <v>-353</v>
      </c>
      <c r="N149" s="52">
        <v>-342</v>
      </c>
      <c r="O149" s="52">
        <v>-123</v>
      </c>
      <c r="P149" s="52">
        <v>201</v>
      </c>
      <c r="Q149" s="51">
        <f t="shared" si="41"/>
        <v>-617</v>
      </c>
      <c r="R149" s="52">
        <v>75</v>
      </c>
      <c r="S149" s="52">
        <v>-63</v>
      </c>
      <c r="T149" s="52">
        <v>-62</v>
      </c>
      <c r="U149" s="52">
        <v>638</v>
      </c>
      <c r="V149" s="51">
        <f t="shared" si="42"/>
        <v>588</v>
      </c>
      <c r="W149" s="51">
        <v>122</v>
      </c>
      <c r="X149" s="51">
        <v>-194</v>
      </c>
      <c r="Y149" s="51">
        <v>-1</v>
      </c>
      <c r="Z149" s="51">
        <v>-2</v>
      </c>
      <c r="AA149" s="51">
        <f t="shared" si="43"/>
        <v>-75</v>
      </c>
      <c r="AB149" s="51">
        <v>82</v>
      </c>
      <c r="AC149" s="51">
        <v>-203</v>
      </c>
      <c r="AD149" s="51">
        <v>-3</v>
      </c>
      <c r="AE149" s="51">
        <v>127</v>
      </c>
      <c r="AF149" s="144">
        <f t="shared" si="44"/>
        <v>3</v>
      </c>
    </row>
    <row r="150" spans="1:32">
      <c r="A150" s="153" t="s">
        <v>347</v>
      </c>
      <c r="C150" s="52">
        <v>-514</v>
      </c>
      <c r="D150" s="52">
        <v>-61</v>
      </c>
      <c r="E150" s="52">
        <v>240</v>
      </c>
      <c r="F150" s="52">
        <v>214</v>
      </c>
      <c r="G150" s="51">
        <f t="shared" si="39"/>
        <v>-121</v>
      </c>
      <c r="H150" s="52">
        <v>-580</v>
      </c>
      <c r="I150" s="52">
        <v>-80</v>
      </c>
      <c r="J150" s="52">
        <v>122</v>
      </c>
      <c r="K150" s="52">
        <v>238</v>
      </c>
      <c r="L150" s="51">
        <f t="shared" si="40"/>
        <v>-300</v>
      </c>
      <c r="M150" s="52">
        <v>-558</v>
      </c>
      <c r="N150" s="52">
        <v>-69</v>
      </c>
      <c r="O150" s="52">
        <v>-86</v>
      </c>
      <c r="P150" s="52">
        <v>576</v>
      </c>
      <c r="Q150" s="51">
        <f t="shared" si="41"/>
        <v>-137</v>
      </c>
      <c r="R150" s="52">
        <v>-195</v>
      </c>
      <c r="S150" s="52">
        <v>-30</v>
      </c>
      <c r="T150" s="52">
        <v>112</v>
      </c>
      <c r="U150" s="52">
        <v>-112</v>
      </c>
      <c r="V150" s="51">
        <f t="shared" si="42"/>
        <v>-225</v>
      </c>
      <c r="W150" s="52">
        <v>-466</v>
      </c>
      <c r="X150" s="52">
        <v>396</v>
      </c>
      <c r="Y150" s="52">
        <v>-65</v>
      </c>
      <c r="Z150" s="52">
        <v>-54</v>
      </c>
      <c r="AA150" s="51">
        <f t="shared" si="43"/>
        <v>-189</v>
      </c>
      <c r="AB150" s="52">
        <v>8</v>
      </c>
      <c r="AC150" s="52">
        <v>-31</v>
      </c>
      <c r="AD150" s="52">
        <v>-34</v>
      </c>
      <c r="AE150" s="52">
        <v>-29</v>
      </c>
      <c r="AF150" s="144">
        <f t="shared" si="44"/>
        <v>-86</v>
      </c>
    </row>
    <row r="151" spans="1:32">
      <c r="A151" s="152" t="s">
        <v>348</v>
      </c>
      <c r="C151" s="53">
        <f t="shared" ref="C151:AF151" si="45">SUM(C141:C150)+C139+C137</f>
        <v>322</v>
      </c>
      <c r="D151" s="53">
        <f t="shared" si="45"/>
        <v>222</v>
      </c>
      <c r="E151" s="53">
        <f t="shared" si="45"/>
        <v>-115</v>
      </c>
      <c r="F151" s="53">
        <f t="shared" si="45"/>
        <v>1306</v>
      </c>
      <c r="G151" s="642">
        <f t="shared" si="45"/>
        <v>1735</v>
      </c>
      <c r="H151" s="53">
        <f t="shared" si="45"/>
        <v>-38</v>
      </c>
      <c r="I151" s="53">
        <f t="shared" si="45"/>
        <v>388</v>
      </c>
      <c r="J151" s="53">
        <f t="shared" si="45"/>
        <v>-178</v>
      </c>
      <c r="K151" s="53">
        <f t="shared" si="45"/>
        <v>1436</v>
      </c>
      <c r="L151" s="644">
        <f t="shared" si="45"/>
        <v>1608</v>
      </c>
      <c r="M151" s="53">
        <f t="shared" si="45"/>
        <v>-164</v>
      </c>
      <c r="N151" s="53">
        <f t="shared" si="45"/>
        <v>157</v>
      </c>
      <c r="O151" s="53">
        <f t="shared" si="45"/>
        <v>251</v>
      </c>
      <c r="P151" s="53">
        <f t="shared" si="45"/>
        <v>405</v>
      </c>
      <c r="Q151" s="644">
        <f t="shared" si="45"/>
        <v>649</v>
      </c>
      <c r="R151" s="53">
        <f t="shared" si="45"/>
        <v>494</v>
      </c>
      <c r="S151" s="53">
        <f t="shared" si="45"/>
        <v>471</v>
      </c>
      <c r="T151" s="53">
        <f t="shared" si="45"/>
        <v>-124</v>
      </c>
      <c r="U151" s="53">
        <f t="shared" si="45"/>
        <v>1871</v>
      </c>
      <c r="V151" s="644">
        <f t="shared" si="45"/>
        <v>2712</v>
      </c>
      <c r="W151" s="53">
        <f t="shared" si="45"/>
        <v>248</v>
      </c>
      <c r="X151" s="53">
        <f t="shared" si="45"/>
        <v>55</v>
      </c>
      <c r="Y151" s="53">
        <f t="shared" si="45"/>
        <v>185</v>
      </c>
      <c r="Z151" s="53">
        <f t="shared" si="45"/>
        <v>1127</v>
      </c>
      <c r="AA151" s="644">
        <f t="shared" si="45"/>
        <v>1615</v>
      </c>
      <c r="AB151" s="53">
        <f t="shared" si="45"/>
        <v>105</v>
      </c>
      <c r="AC151" s="53">
        <f t="shared" si="45"/>
        <v>166</v>
      </c>
      <c r="AD151" s="53">
        <f t="shared" si="45"/>
        <v>-113</v>
      </c>
      <c r="AE151" s="53">
        <f t="shared" si="45"/>
        <v>1147</v>
      </c>
      <c r="AF151" s="645">
        <f t="shared" si="45"/>
        <v>1305</v>
      </c>
    </row>
    <row r="152" spans="1:32">
      <c r="A152" s="153"/>
      <c r="C152" s="52"/>
      <c r="D152" s="52"/>
      <c r="E152" s="52"/>
      <c r="F152" s="52"/>
      <c r="G152" s="51"/>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145"/>
    </row>
    <row r="153" spans="1:32">
      <c r="A153" s="153" t="s">
        <v>349</v>
      </c>
      <c r="C153" s="52">
        <v>-132</v>
      </c>
      <c r="D153" s="52">
        <v>-143</v>
      </c>
      <c r="E153" s="52">
        <v>-193</v>
      </c>
      <c r="F153" s="52">
        <v>-189</v>
      </c>
      <c r="G153" s="52">
        <f t="shared" ref="G153:G160" si="46">SUM(C153:F153)</f>
        <v>-657</v>
      </c>
      <c r="H153" s="52">
        <v>-204</v>
      </c>
      <c r="I153" s="52">
        <v>-174</v>
      </c>
      <c r="J153" s="52">
        <v>-245</v>
      </c>
      <c r="K153" s="52">
        <v>-279</v>
      </c>
      <c r="L153" s="52">
        <f t="shared" ref="L153:L160" si="47">SUM(H153:K153)</f>
        <v>-902</v>
      </c>
      <c r="M153" s="52">
        <v>-122</v>
      </c>
      <c r="N153" s="52">
        <v>-106</v>
      </c>
      <c r="O153" s="52">
        <v>-62</v>
      </c>
      <c r="P153" s="52">
        <v>-48</v>
      </c>
      <c r="Q153" s="52">
        <f t="shared" ref="Q153:Q160" si="48">SUM(M153:P153)</f>
        <v>-338</v>
      </c>
      <c r="R153" s="52">
        <v>-61</v>
      </c>
      <c r="S153" s="52">
        <v>-81</v>
      </c>
      <c r="T153" s="52">
        <v>-88</v>
      </c>
      <c r="U153" s="52">
        <v>-124</v>
      </c>
      <c r="V153" s="52">
        <f t="shared" ref="V153:V160" si="49">SUM(R153:U153)</f>
        <v>-354</v>
      </c>
      <c r="W153" s="51">
        <v>-171</v>
      </c>
      <c r="X153" s="51">
        <v>-207</v>
      </c>
      <c r="Y153" s="51">
        <v>-277</v>
      </c>
      <c r="Z153" s="51">
        <v>-233</v>
      </c>
      <c r="AA153" s="52">
        <f t="shared" ref="AA153:AA160" si="50">SUM(W153:Z153)</f>
        <v>-888</v>
      </c>
      <c r="AB153" s="51">
        <v>-215</v>
      </c>
      <c r="AC153" s="51">
        <v>-175</v>
      </c>
      <c r="AD153" s="51">
        <v>-95</v>
      </c>
      <c r="AE153" s="51">
        <v>-146</v>
      </c>
      <c r="AF153" s="144">
        <f t="shared" ref="AF153:AF160" si="51">SUM(AB153:AE153)</f>
        <v>-631</v>
      </c>
    </row>
    <row r="154" spans="1:32">
      <c r="A154" s="153" t="s">
        <v>350</v>
      </c>
      <c r="C154" s="52">
        <v>23</v>
      </c>
      <c r="D154" s="52">
        <v>65</v>
      </c>
      <c r="E154" s="52">
        <v>33</v>
      </c>
      <c r="F154" s="52">
        <v>353</v>
      </c>
      <c r="G154" s="52">
        <f t="shared" si="46"/>
        <v>474</v>
      </c>
      <c r="H154" s="52">
        <v>34</v>
      </c>
      <c r="I154" s="52">
        <v>25</v>
      </c>
      <c r="J154" s="52">
        <v>14</v>
      </c>
      <c r="K154" s="52">
        <v>112</v>
      </c>
      <c r="L154" s="52">
        <f t="shared" si="47"/>
        <v>185</v>
      </c>
      <c r="M154" s="52">
        <v>21</v>
      </c>
      <c r="N154" s="52">
        <v>10</v>
      </c>
      <c r="O154" s="52">
        <v>8</v>
      </c>
      <c r="P154" s="52">
        <v>74</v>
      </c>
      <c r="Q154" s="52">
        <f t="shared" si="48"/>
        <v>113</v>
      </c>
      <c r="R154" s="52">
        <v>8</v>
      </c>
      <c r="S154" s="52">
        <v>26</v>
      </c>
      <c r="T154" s="52">
        <v>84</v>
      </c>
      <c r="U154" s="52">
        <v>46</v>
      </c>
      <c r="V154" s="52">
        <f t="shared" si="49"/>
        <v>164</v>
      </c>
      <c r="W154" s="51">
        <v>73</v>
      </c>
      <c r="X154" s="51">
        <v>0</v>
      </c>
      <c r="Y154" s="51">
        <v>49</v>
      </c>
      <c r="Z154" s="51">
        <v>15</v>
      </c>
      <c r="AA154" s="52">
        <f t="shared" si="50"/>
        <v>137</v>
      </c>
      <c r="AB154" s="51">
        <v>25</v>
      </c>
      <c r="AC154" s="51">
        <v>7</v>
      </c>
      <c r="AD154" s="51">
        <v>4</v>
      </c>
      <c r="AE154" s="51">
        <v>50</v>
      </c>
      <c r="AF154" s="144">
        <f t="shared" si="51"/>
        <v>86</v>
      </c>
    </row>
    <row r="155" spans="1:32">
      <c r="A155" s="153" t="s">
        <v>351</v>
      </c>
      <c r="C155" s="52" t="s">
        <v>47</v>
      </c>
      <c r="D155" s="52" t="s">
        <v>47</v>
      </c>
      <c r="E155" s="52" t="s">
        <v>47</v>
      </c>
      <c r="F155" s="52" t="s">
        <v>47</v>
      </c>
      <c r="G155" s="52">
        <f t="shared" si="46"/>
        <v>0</v>
      </c>
      <c r="H155" s="51" t="s">
        <v>47</v>
      </c>
      <c r="I155" s="51" t="s">
        <v>47</v>
      </c>
      <c r="J155" s="51" t="s">
        <v>47</v>
      </c>
      <c r="K155" s="51" t="s">
        <v>47</v>
      </c>
      <c r="L155" s="52">
        <f t="shared" si="47"/>
        <v>0</v>
      </c>
      <c r="M155" s="52" t="s">
        <v>47</v>
      </c>
      <c r="N155" s="52" t="s">
        <v>47</v>
      </c>
      <c r="O155" s="52" t="s">
        <v>47</v>
      </c>
      <c r="P155" s="52" t="s">
        <v>47</v>
      </c>
      <c r="Q155" s="52">
        <f t="shared" si="48"/>
        <v>0</v>
      </c>
      <c r="R155" s="52" t="s">
        <v>47</v>
      </c>
      <c r="S155" s="52" t="s">
        <v>47</v>
      </c>
      <c r="T155" s="52" t="s">
        <v>47</v>
      </c>
      <c r="U155" s="52" t="s">
        <v>47</v>
      </c>
      <c r="V155" s="52">
        <f t="shared" si="49"/>
        <v>0</v>
      </c>
      <c r="W155" s="51" t="s">
        <v>47</v>
      </c>
      <c r="X155" s="51" t="s">
        <v>47</v>
      </c>
      <c r="Y155" s="51" t="s">
        <v>47</v>
      </c>
      <c r="Z155" s="51" t="s">
        <v>47</v>
      </c>
      <c r="AA155" s="52">
        <f t="shared" si="50"/>
        <v>0</v>
      </c>
      <c r="AB155" s="51" t="s">
        <v>47</v>
      </c>
      <c r="AC155" s="51" t="s">
        <v>47</v>
      </c>
      <c r="AD155" s="51" t="s">
        <v>47</v>
      </c>
      <c r="AE155" s="51" t="s">
        <v>47</v>
      </c>
      <c r="AF155" s="144">
        <f t="shared" si="51"/>
        <v>0</v>
      </c>
    </row>
    <row r="156" spans="1:32">
      <c r="A156" s="153" t="s">
        <v>352</v>
      </c>
      <c r="C156" s="52" t="s">
        <v>47</v>
      </c>
      <c r="D156" s="52" t="s">
        <v>47</v>
      </c>
      <c r="E156" s="52" t="s">
        <v>47</v>
      </c>
      <c r="F156" s="52" t="s">
        <v>47</v>
      </c>
      <c r="G156" s="52">
        <f t="shared" si="46"/>
        <v>0</v>
      </c>
      <c r="H156" s="52" t="s">
        <v>47</v>
      </c>
      <c r="I156" s="52" t="s">
        <v>47</v>
      </c>
      <c r="J156" s="52" t="s">
        <v>47</v>
      </c>
      <c r="K156" s="52" t="s">
        <v>47</v>
      </c>
      <c r="L156" s="52">
        <f t="shared" si="47"/>
        <v>0</v>
      </c>
      <c r="M156" s="52" t="s">
        <v>47</v>
      </c>
      <c r="N156" s="52" t="s">
        <v>47</v>
      </c>
      <c r="O156" s="52" t="s">
        <v>47</v>
      </c>
      <c r="P156" s="52" t="s">
        <v>47</v>
      </c>
      <c r="Q156" s="52">
        <f t="shared" si="48"/>
        <v>0</v>
      </c>
      <c r="R156" s="52" t="s">
        <v>47</v>
      </c>
      <c r="S156" s="52" t="s">
        <v>47</v>
      </c>
      <c r="T156" s="52" t="s">
        <v>47</v>
      </c>
      <c r="U156" s="52" t="s">
        <v>47</v>
      </c>
      <c r="V156" s="52">
        <f t="shared" si="49"/>
        <v>0</v>
      </c>
      <c r="W156" s="52" t="s">
        <v>47</v>
      </c>
      <c r="X156" s="52" t="s">
        <v>47</v>
      </c>
      <c r="Y156" s="52" t="s">
        <v>47</v>
      </c>
      <c r="Z156" s="52" t="s">
        <v>47</v>
      </c>
      <c r="AA156" s="52">
        <f t="shared" si="50"/>
        <v>0</v>
      </c>
      <c r="AB156" s="52" t="s">
        <v>47</v>
      </c>
      <c r="AC156" s="52" t="s">
        <v>47</v>
      </c>
      <c r="AD156" s="52" t="s">
        <v>47</v>
      </c>
      <c r="AE156" s="52" t="s">
        <v>47</v>
      </c>
      <c r="AF156" s="144">
        <f t="shared" si="51"/>
        <v>0</v>
      </c>
    </row>
    <row r="157" spans="1:32">
      <c r="A157" s="153" t="s">
        <v>353</v>
      </c>
      <c r="C157" s="52">
        <v>-58</v>
      </c>
      <c r="D157" s="52">
        <v>-75</v>
      </c>
      <c r="E157" s="52">
        <v>-76</v>
      </c>
      <c r="F157" s="52">
        <v>-66</v>
      </c>
      <c r="G157" s="52">
        <f t="shared" si="46"/>
        <v>-275</v>
      </c>
      <c r="H157" s="52">
        <v>-60</v>
      </c>
      <c r="I157" s="52">
        <v>-63</v>
      </c>
      <c r="J157" s="52">
        <v>-66</v>
      </c>
      <c r="K157" s="52">
        <v>-66</v>
      </c>
      <c r="L157" s="52">
        <f t="shared" si="47"/>
        <v>-255</v>
      </c>
      <c r="M157" s="52">
        <v>-38</v>
      </c>
      <c r="N157" s="52">
        <v>-23</v>
      </c>
      <c r="O157" s="52">
        <v>-35</v>
      </c>
      <c r="P157" s="52">
        <v>-32</v>
      </c>
      <c r="Q157" s="52">
        <f t="shared" si="48"/>
        <v>-128</v>
      </c>
      <c r="R157" s="52">
        <v>-38</v>
      </c>
      <c r="S157" s="52">
        <v>-50</v>
      </c>
      <c r="T157" s="52">
        <v>-67</v>
      </c>
      <c r="U157" s="52">
        <v>-88</v>
      </c>
      <c r="V157" s="52">
        <f t="shared" si="49"/>
        <v>-243</v>
      </c>
      <c r="W157" s="52">
        <v>-90</v>
      </c>
      <c r="X157" s="52">
        <v>-114</v>
      </c>
      <c r="Y157" s="52">
        <v>-124</v>
      </c>
      <c r="Z157" s="52">
        <v>-79</v>
      </c>
      <c r="AA157" s="52">
        <f t="shared" si="50"/>
        <v>-407</v>
      </c>
      <c r="AB157" s="52">
        <v>-81</v>
      </c>
      <c r="AC157" s="52">
        <v>-93</v>
      </c>
      <c r="AD157" s="52">
        <v>-90</v>
      </c>
      <c r="AE157" s="52">
        <v>-98</v>
      </c>
      <c r="AF157" s="144">
        <f t="shared" si="51"/>
        <v>-362</v>
      </c>
    </row>
    <row r="158" spans="1:32">
      <c r="A158" s="153" t="s">
        <v>354</v>
      </c>
      <c r="C158" s="52" t="s">
        <v>47</v>
      </c>
      <c r="D158" s="52" t="s">
        <v>47</v>
      </c>
      <c r="E158" s="52" t="s">
        <v>47</v>
      </c>
      <c r="F158" s="52" t="s">
        <v>47</v>
      </c>
      <c r="G158" s="52">
        <f t="shared" si="46"/>
        <v>0</v>
      </c>
      <c r="H158" s="52" t="s">
        <v>47</v>
      </c>
      <c r="I158" s="52" t="s">
        <v>47</v>
      </c>
      <c r="J158" s="52" t="s">
        <v>47</v>
      </c>
      <c r="K158" s="52" t="s">
        <v>47</v>
      </c>
      <c r="L158" s="52">
        <f t="shared" si="47"/>
        <v>0</v>
      </c>
      <c r="M158" s="52" t="s">
        <v>47</v>
      </c>
      <c r="N158" s="52" t="s">
        <v>47</v>
      </c>
      <c r="O158" s="52" t="s">
        <v>47</v>
      </c>
      <c r="P158" s="52" t="s">
        <v>47</v>
      </c>
      <c r="Q158" s="52">
        <f t="shared" si="48"/>
        <v>0</v>
      </c>
      <c r="R158" s="52" t="s">
        <v>47</v>
      </c>
      <c r="S158" s="52" t="s">
        <v>47</v>
      </c>
      <c r="T158" s="52" t="s">
        <v>47</v>
      </c>
      <c r="U158" s="52" t="s">
        <v>47</v>
      </c>
      <c r="V158" s="52">
        <f t="shared" si="49"/>
        <v>0</v>
      </c>
      <c r="W158" s="52" t="s">
        <v>47</v>
      </c>
      <c r="X158" s="52" t="s">
        <v>47</v>
      </c>
      <c r="Y158" s="52" t="s">
        <v>47</v>
      </c>
      <c r="Z158" s="52" t="s">
        <v>47</v>
      </c>
      <c r="AA158" s="52">
        <f t="shared" si="50"/>
        <v>0</v>
      </c>
      <c r="AB158" s="52" t="s">
        <v>47</v>
      </c>
      <c r="AC158" s="52" t="s">
        <v>47</v>
      </c>
      <c r="AD158" s="52" t="s">
        <v>47</v>
      </c>
      <c r="AE158" s="52" t="s">
        <v>47</v>
      </c>
      <c r="AF158" s="144">
        <f t="shared" si="51"/>
        <v>0</v>
      </c>
    </row>
    <row r="159" spans="1:32">
      <c r="A159" s="153" t="s">
        <v>355</v>
      </c>
      <c r="C159" s="52" t="s">
        <v>47</v>
      </c>
      <c r="D159" s="52" t="s">
        <v>47</v>
      </c>
      <c r="E159" s="52" t="s">
        <v>47</v>
      </c>
      <c r="F159" s="52" t="s">
        <v>47</v>
      </c>
      <c r="G159" s="52">
        <f t="shared" si="46"/>
        <v>0</v>
      </c>
      <c r="H159" s="52" t="s">
        <v>47</v>
      </c>
      <c r="I159" s="52" t="s">
        <v>47</v>
      </c>
      <c r="J159" s="52" t="s">
        <v>47</v>
      </c>
      <c r="K159" s="52" t="s">
        <v>47</v>
      </c>
      <c r="L159" s="52">
        <f t="shared" si="47"/>
        <v>0</v>
      </c>
      <c r="M159" s="52" t="s">
        <v>47</v>
      </c>
      <c r="N159" s="52" t="s">
        <v>47</v>
      </c>
      <c r="O159" s="52" t="s">
        <v>47</v>
      </c>
      <c r="P159" s="52" t="s">
        <v>47</v>
      </c>
      <c r="Q159" s="52">
        <f t="shared" si="48"/>
        <v>0</v>
      </c>
      <c r="R159" s="52" t="s">
        <v>47</v>
      </c>
      <c r="S159" s="52" t="s">
        <v>47</v>
      </c>
      <c r="T159" s="52" t="s">
        <v>47</v>
      </c>
      <c r="U159" s="52" t="s">
        <v>47</v>
      </c>
      <c r="V159" s="52">
        <f t="shared" si="49"/>
        <v>0</v>
      </c>
      <c r="W159" s="51" t="s">
        <v>47</v>
      </c>
      <c r="X159" s="51" t="s">
        <v>47</v>
      </c>
      <c r="Y159" s="51" t="s">
        <v>47</v>
      </c>
      <c r="Z159" s="51" t="s">
        <v>47</v>
      </c>
      <c r="AA159" s="52">
        <f t="shared" si="50"/>
        <v>0</v>
      </c>
      <c r="AB159" s="51" t="s">
        <v>47</v>
      </c>
      <c r="AC159" s="51" t="s">
        <v>47</v>
      </c>
      <c r="AD159" s="51" t="s">
        <v>47</v>
      </c>
      <c r="AE159" s="51" t="s">
        <v>47</v>
      </c>
      <c r="AF159" s="144">
        <f t="shared" si="51"/>
        <v>0</v>
      </c>
    </row>
    <row r="160" spans="1:32">
      <c r="A160" s="153" t="s">
        <v>356</v>
      </c>
      <c r="C160" s="52">
        <v>11</v>
      </c>
      <c r="D160" s="52">
        <v>-3</v>
      </c>
      <c r="E160" s="52">
        <v>-1</v>
      </c>
      <c r="F160" s="52">
        <v>-5</v>
      </c>
      <c r="G160" s="52">
        <f t="shared" si="46"/>
        <v>2</v>
      </c>
      <c r="H160" s="52">
        <v>-7</v>
      </c>
      <c r="I160" s="52">
        <v>-5</v>
      </c>
      <c r="J160" s="52">
        <v>22</v>
      </c>
      <c r="K160" s="52">
        <v>-40</v>
      </c>
      <c r="L160" s="52">
        <f t="shared" si="47"/>
        <v>-30</v>
      </c>
      <c r="M160" s="52">
        <v>26</v>
      </c>
      <c r="N160" s="52">
        <v>-40</v>
      </c>
      <c r="O160" s="52">
        <v>47</v>
      </c>
      <c r="P160" s="52">
        <v>-5</v>
      </c>
      <c r="Q160" s="52">
        <f t="shared" si="48"/>
        <v>28</v>
      </c>
      <c r="R160" s="52">
        <v>17</v>
      </c>
      <c r="S160" s="52">
        <v>35</v>
      </c>
      <c r="T160" s="52">
        <v>12</v>
      </c>
      <c r="U160" s="52">
        <v>-1</v>
      </c>
      <c r="V160" s="52">
        <f t="shared" si="49"/>
        <v>63</v>
      </c>
      <c r="W160" s="52">
        <v>-6</v>
      </c>
      <c r="X160" s="52">
        <v>0</v>
      </c>
      <c r="Y160" s="52">
        <v>-2</v>
      </c>
      <c r="Z160" s="52">
        <v>-3</v>
      </c>
      <c r="AA160" s="52">
        <f t="shared" si="50"/>
        <v>-11</v>
      </c>
      <c r="AB160" s="52">
        <v>1</v>
      </c>
      <c r="AC160" s="52">
        <v>0</v>
      </c>
      <c r="AD160" s="52">
        <v>-4</v>
      </c>
      <c r="AE160" s="52">
        <v>-3</v>
      </c>
      <c r="AF160" s="144">
        <f t="shared" si="51"/>
        <v>-6</v>
      </c>
    </row>
    <row r="161" spans="1:32">
      <c r="A161" s="152" t="s">
        <v>357</v>
      </c>
      <c r="C161" s="50">
        <f t="shared" ref="C161:AF161" si="52">SUM(C153:C160)</f>
        <v>-156</v>
      </c>
      <c r="D161" s="50">
        <f t="shared" si="52"/>
        <v>-156</v>
      </c>
      <c r="E161" s="50">
        <f t="shared" si="52"/>
        <v>-237</v>
      </c>
      <c r="F161" s="50">
        <f t="shared" si="52"/>
        <v>93</v>
      </c>
      <c r="G161" s="646">
        <f t="shared" si="52"/>
        <v>-456</v>
      </c>
      <c r="H161" s="50">
        <f t="shared" si="52"/>
        <v>-237</v>
      </c>
      <c r="I161" s="50">
        <f t="shared" si="52"/>
        <v>-217</v>
      </c>
      <c r="J161" s="50">
        <f t="shared" si="52"/>
        <v>-275</v>
      </c>
      <c r="K161" s="50">
        <f t="shared" si="52"/>
        <v>-273</v>
      </c>
      <c r="L161" s="646">
        <f t="shared" si="52"/>
        <v>-1002</v>
      </c>
      <c r="M161" s="50">
        <f t="shared" si="52"/>
        <v>-113</v>
      </c>
      <c r="N161" s="50">
        <f t="shared" si="52"/>
        <v>-159</v>
      </c>
      <c r="O161" s="50">
        <f t="shared" si="52"/>
        <v>-42</v>
      </c>
      <c r="P161" s="50">
        <f t="shared" si="52"/>
        <v>-11</v>
      </c>
      <c r="Q161" s="646">
        <f t="shared" si="52"/>
        <v>-325</v>
      </c>
      <c r="R161" s="50">
        <f t="shared" si="52"/>
        <v>-74</v>
      </c>
      <c r="S161" s="50">
        <f t="shared" si="52"/>
        <v>-70</v>
      </c>
      <c r="T161" s="50">
        <f t="shared" si="52"/>
        <v>-59</v>
      </c>
      <c r="U161" s="50">
        <f t="shared" si="52"/>
        <v>-167</v>
      </c>
      <c r="V161" s="646">
        <f t="shared" si="52"/>
        <v>-370</v>
      </c>
      <c r="W161" s="50">
        <f t="shared" si="52"/>
        <v>-194</v>
      </c>
      <c r="X161" s="50">
        <f t="shared" si="52"/>
        <v>-321</v>
      </c>
      <c r="Y161" s="50">
        <f t="shared" si="52"/>
        <v>-354</v>
      </c>
      <c r="Z161" s="50">
        <f t="shared" si="52"/>
        <v>-300</v>
      </c>
      <c r="AA161" s="646">
        <f t="shared" si="52"/>
        <v>-1169</v>
      </c>
      <c r="AB161" s="50">
        <f t="shared" si="52"/>
        <v>-270</v>
      </c>
      <c r="AC161" s="50">
        <f t="shared" si="52"/>
        <v>-261</v>
      </c>
      <c r="AD161" s="50">
        <f t="shared" si="52"/>
        <v>-185</v>
      </c>
      <c r="AE161" s="50">
        <f t="shared" si="52"/>
        <v>-197</v>
      </c>
      <c r="AF161" s="647">
        <f t="shared" si="52"/>
        <v>-913</v>
      </c>
    </row>
    <row r="162" spans="1:32">
      <c r="A162" s="153"/>
      <c r="C162" s="52"/>
      <c r="D162" s="52"/>
      <c r="E162" s="52"/>
      <c r="F162" s="52"/>
      <c r="G162" s="51"/>
      <c r="H162" s="52"/>
      <c r="I162" s="52"/>
      <c r="J162" s="52"/>
      <c r="K162" s="52"/>
      <c r="L162" s="51"/>
      <c r="M162" s="52"/>
      <c r="N162" s="52"/>
      <c r="O162" s="52"/>
      <c r="P162" s="52"/>
      <c r="Q162" s="51"/>
      <c r="R162" s="52"/>
      <c r="S162" s="52"/>
      <c r="T162" s="52"/>
      <c r="U162" s="52"/>
      <c r="V162" s="51"/>
      <c r="W162" s="51"/>
      <c r="X162" s="51"/>
      <c r="Y162" s="51"/>
      <c r="Z162" s="51"/>
      <c r="AA162" s="51"/>
      <c r="AB162" s="51"/>
      <c r="AC162" s="51"/>
      <c r="AD162" s="51"/>
      <c r="AE162" s="51"/>
      <c r="AF162" s="145"/>
    </row>
    <row r="163" spans="1:32">
      <c r="A163" s="152" t="s">
        <v>358</v>
      </c>
      <c r="C163" s="50" t="s">
        <v>47</v>
      </c>
      <c r="D163" s="50" t="s">
        <v>47</v>
      </c>
      <c r="E163" s="50">
        <v>44</v>
      </c>
      <c r="F163" s="50">
        <v>-28</v>
      </c>
      <c r="G163" s="53">
        <f>SUM(C163:F163)</f>
        <v>16</v>
      </c>
      <c r="H163" s="50" t="s">
        <v>47</v>
      </c>
      <c r="I163" s="50" t="s">
        <v>47</v>
      </c>
      <c r="J163" s="50">
        <v>49</v>
      </c>
      <c r="K163" s="50">
        <v>-49</v>
      </c>
      <c r="L163" s="53">
        <f>SUM(H163:K163)</f>
        <v>0</v>
      </c>
      <c r="M163" s="50">
        <v>1500</v>
      </c>
      <c r="N163" s="50">
        <v>1280</v>
      </c>
      <c r="O163" s="50">
        <v>0</v>
      </c>
      <c r="P163" s="50">
        <v>181</v>
      </c>
      <c r="Q163" s="53">
        <f>SUM(M163:P163)</f>
        <v>2961</v>
      </c>
      <c r="R163" s="50">
        <v>500</v>
      </c>
      <c r="S163" s="50">
        <v>0</v>
      </c>
      <c r="T163" s="50">
        <v>475</v>
      </c>
      <c r="U163" s="50">
        <v>110</v>
      </c>
      <c r="V163" s="53">
        <f>SUM(R163:U163)</f>
        <v>1085</v>
      </c>
      <c r="W163" s="53">
        <v>850</v>
      </c>
      <c r="X163" s="53">
        <v>0</v>
      </c>
      <c r="Y163" s="53">
        <v>1041</v>
      </c>
      <c r="Z163" s="53">
        <v>918</v>
      </c>
      <c r="AA163" s="53">
        <f>SUM(W163:Z163)</f>
        <v>2809</v>
      </c>
      <c r="AB163" s="53" t="s">
        <v>47</v>
      </c>
      <c r="AC163" s="53" t="s">
        <v>47</v>
      </c>
      <c r="AD163" s="53">
        <v>387</v>
      </c>
      <c r="AE163" s="53">
        <v>576</v>
      </c>
      <c r="AF163" s="143">
        <f>SUM(AB163:AE163)</f>
        <v>963</v>
      </c>
    </row>
    <row r="164" spans="1:32">
      <c r="A164" s="152" t="s">
        <v>359</v>
      </c>
      <c r="C164" s="50">
        <v>-13</v>
      </c>
      <c r="D164" s="50">
        <v>-434</v>
      </c>
      <c r="E164" s="50">
        <v>86</v>
      </c>
      <c r="F164" s="50">
        <v>-788</v>
      </c>
      <c r="G164" s="53">
        <f>SUM(C164:F164)</f>
        <v>-1149</v>
      </c>
      <c r="H164" s="50">
        <v>-48</v>
      </c>
      <c r="I164" s="50">
        <v>-119</v>
      </c>
      <c r="J164" s="50">
        <v>125</v>
      </c>
      <c r="K164" s="50">
        <v>-617</v>
      </c>
      <c r="L164" s="53">
        <f>SUM(H164:K164)</f>
        <v>-659</v>
      </c>
      <c r="M164" s="50">
        <v>-235</v>
      </c>
      <c r="N164" s="50">
        <v>-1380</v>
      </c>
      <c r="O164" s="50">
        <v>17</v>
      </c>
      <c r="P164" s="50">
        <v>-444</v>
      </c>
      <c r="Q164" s="53">
        <f>SUM(M164:P164)</f>
        <v>-2042</v>
      </c>
      <c r="R164" s="50">
        <v>-779</v>
      </c>
      <c r="S164" s="50">
        <v>-57</v>
      </c>
      <c r="T164" s="50">
        <v>-1709</v>
      </c>
      <c r="U164" s="50">
        <v>-177</v>
      </c>
      <c r="V164" s="53">
        <f>SUM(R164:U164)</f>
        <v>-2722</v>
      </c>
      <c r="W164" s="53">
        <v>-1265</v>
      </c>
      <c r="X164" s="53">
        <v>-47</v>
      </c>
      <c r="Y164" s="53">
        <v>-803</v>
      </c>
      <c r="Z164" s="53">
        <v>-1166</v>
      </c>
      <c r="AA164" s="53">
        <f>SUM(W164:Z164)</f>
        <v>-3281</v>
      </c>
      <c r="AB164" s="53">
        <v>-14</v>
      </c>
      <c r="AC164" s="53">
        <v>-22</v>
      </c>
      <c r="AD164" s="53">
        <v>-117</v>
      </c>
      <c r="AE164" s="53">
        <v>-810</v>
      </c>
      <c r="AF164" s="143">
        <f>SUM(AB164:AE164)</f>
        <v>-963</v>
      </c>
    </row>
    <row r="165" spans="1:32">
      <c r="A165" s="153"/>
      <c r="C165" s="52"/>
      <c r="D165" s="52"/>
      <c r="E165" s="52"/>
      <c r="F165" s="52"/>
      <c r="G165" s="52"/>
      <c r="H165" s="52"/>
      <c r="I165" s="52"/>
      <c r="J165" s="52"/>
      <c r="K165" s="52"/>
      <c r="L165" s="51"/>
      <c r="M165" s="52"/>
      <c r="N165" s="52"/>
      <c r="O165" s="52"/>
      <c r="P165" s="52"/>
      <c r="Q165" s="52"/>
      <c r="R165" s="52"/>
      <c r="S165" s="52"/>
      <c r="T165" s="52"/>
      <c r="U165" s="52"/>
      <c r="V165" s="52"/>
      <c r="W165" s="52"/>
      <c r="X165" s="52"/>
      <c r="Y165" s="52"/>
      <c r="Z165" s="52"/>
      <c r="AA165" s="52"/>
      <c r="AB165" s="52"/>
      <c r="AC165" s="52"/>
      <c r="AD165" s="52"/>
      <c r="AE165" s="52"/>
      <c r="AF165" s="145"/>
    </row>
    <row r="166" spans="1:32">
      <c r="A166" s="153" t="s">
        <v>360</v>
      </c>
      <c r="C166" s="52">
        <v>28</v>
      </c>
      <c r="D166" s="52">
        <v>10</v>
      </c>
      <c r="E166" s="52">
        <v>3</v>
      </c>
      <c r="F166" s="52">
        <v>4</v>
      </c>
      <c r="G166" s="53">
        <f>SUM(C166:F166)</f>
        <v>45</v>
      </c>
      <c r="H166" s="52">
        <v>6</v>
      </c>
      <c r="I166" s="52">
        <v>0</v>
      </c>
      <c r="J166" s="52">
        <v>0</v>
      </c>
      <c r="K166" s="52">
        <v>0</v>
      </c>
      <c r="L166" s="53">
        <f>SUM(H166:K166)</f>
        <v>6</v>
      </c>
      <c r="M166" s="52" t="s">
        <v>47</v>
      </c>
      <c r="N166" s="52" t="s">
        <v>47</v>
      </c>
      <c r="O166" s="52" t="s">
        <v>47</v>
      </c>
      <c r="P166" s="52" t="s">
        <v>47</v>
      </c>
      <c r="Q166" s="53">
        <f>SUM(M166:P166)</f>
        <v>0</v>
      </c>
      <c r="R166" s="52" t="s">
        <v>47</v>
      </c>
      <c r="S166" s="52" t="s">
        <v>47</v>
      </c>
      <c r="T166" s="52" t="s">
        <v>47</v>
      </c>
      <c r="U166" s="52">
        <v>7</v>
      </c>
      <c r="V166" s="53">
        <f>SUM(R166:U166)</f>
        <v>7</v>
      </c>
      <c r="W166" s="52" t="s">
        <v>47</v>
      </c>
      <c r="X166" s="52" t="s">
        <v>47</v>
      </c>
      <c r="Y166" s="52" t="s">
        <v>47</v>
      </c>
      <c r="Z166" s="52" t="s">
        <v>47</v>
      </c>
      <c r="AA166" s="53">
        <f>SUM(W166:Z166)</f>
        <v>0</v>
      </c>
      <c r="AB166" s="52" t="s">
        <v>47</v>
      </c>
      <c r="AC166" s="52" t="s">
        <v>47</v>
      </c>
      <c r="AD166" s="52" t="s">
        <v>47</v>
      </c>
      <c r="AE166" s="52" t="s">
        <v>47</v>
      </c>
      <c r="AF166" s="143">
        <f>SUM(AB166:AE166)</f>
        <v>0</v>
      </c>
    </row>
    <row r="167" spans="1:32">
      <c r="A167" s="153" t="s">
        <v>361</v>
      </c>
      <c r="C167" s="52" t="s">
        <v>47</v>
      </c>
      <c r="D167" s="52" t="s">
        <v>47</v>
      </c>
      <c r="E167" s="52" t="s">
        <v>47</v>
      </c>
      <c r="F167" s="52" t="s">
        <v>47</v>
      </c>
      <c r="G167" s="53">
        <f>SUM(C167:F167)</f>
        <v>0</v>
      </c>
      <c r="H167" s="52" t="s">
        <v>47</v>
      </c>
      <c r="I167" s="52" t="s">
        <v>47</v>
      </c>
      <c r="J167" s="52">
        <v>-1</v>
      </c>
      <c r="K167" s="52">
        <v>0</v>
      </c>
      <c r="L167" s="53">
        <f>SUM(H167:K167)</f>
        <v>-1</v>
      </c>
      <c r="M167" s="52" t="s">
        <v>47</v>
      </c>
      <c r="N167" s="52" t="s">
        <v>47</v>
      </c>
      <c r="O167" s="52" t="s">
        <v>47</v>
      </c>
      <c r="P167" s="52">
        <v>-1</v>
      </c>
      <c r="Q167" s="53">
        <f>SUM(M167:P167)</f>
        <v>-1</v>
      </c>
      <c r="R167" s="52" t="s">
        <v>47</v>
      </c>
      <c r="S167" s="52" t="s">
        <v>47</v>
      </c>
      <c r="T167" s="52">
        <v>-294</v>
      </c>
      <c r="U167" s="52">
        <v>-206</v>
      </c>
      <c r="V167" s="53">
        <f>SUM(R167:U167)</f>
        <v>-500</v>
      </c>
      <c r="W167" s="51">
        <v>-584</v>
      </c>
      <c r="X167" s="51">
        <v>-17</v>
      </c>
      <c r="Y167" s="51">
        <v>0</v>
      </c>
      <c r="Z167" s="51">
        <v>0</v>
      </c>
      <c r="AA167" s="53">
        <f>SUM(W167:Z167)</f>
        <v>-601</v>
      </c>
      <c r="AB167" s="51">
        <v>-35</v>
      </c>
      <c r="AC167" s="51">
        <v>-3</v>
      </c>
      <c r="AD167" s="51">
        <v>0</v>
      </c>
      <c r="AE167" s="51">
        <v>0</v>
      </c>
      <c r="AF167" s="143">
        <f>SUM(AB167:AE167)</f>
        <v>-38</v>
      </c>
    </row>
    <row r="168" spans="1:32">
      <c r="A168" s="153"/>
      <c r="C168" s="52"/>
      <c r="D168" s="52"/>
      <c r="E168" s="52"/>
      <c r="F168" s="52"/>
      <c r="G168" s="51"/>
      <c r="H168" s="52"/>
      <c r="I168" s="52"/>
      <c r="J168" s="52"/>
      <c r="K168" s="52"/>
      <c r="L168" s="51"/>
      <c r="M168" s="52"/>
      <c r="N168" s="52"/>
      <c r="O168" s="52"/>
      <c r="P168" s="52"/>
      <c r="Q168" s="51"/>
      <c r="R168" s="52"/>
      <c r="S168" s="52"/>
      <c r="T168" s="52"/>
      <c r="U168" s="52"/>
      <c r="V168" s="51"/>
      <c r="W168" s="52"/>
      <c r="X168" s="52"/>
      <c r="Y168" s="52"/>
      <c r="Z168" s="52"/>
      <c r="AA168" s="51"/>
      <c r="AB168" s="52"/>
      <c r="AC168" s="52"/>
      <c r="AD168" s="52"/>
      <c r="AE168" s="52"/>
      <c r="AF168" s="146"/>
    </row>
    <row r="169" spans="1:32">
      <c r="A169" s="153" t="s">
        <v>362</v>
      </c>
      <c r="C169" s="52">
        <v>-116</v>
      </c>
      <c r="D169" s="52">
        <v>-116</v>
      </c>
      <c r="E169" s="52">
        <v>-115</v>
      </c>
      <c r="F169" s="52">
        <v>-116</v>
      </c>
      <c r="G169" s="51">
        <f>SUM(C169:F169)</f>
        <v>-463</v>
      </c>
      <c r="H169" s="52">
        <v>-116</v>
      </c>
      <c r="I169" s="52">
        <v>-117</v>
      </c>
      <c r="J169" s="52">
        <v>-116</v>
      </c>
      <c r="K169" s="52">
        <v>-117</v>
      </c>
      <c r="L169" s="51">
        <f>SUM(H169:K169)</f>
        <v>-466</v>
      </c>
      <c r="M169" s="52">
        <v>-117</v>
      </c>
      <c r="N169" s="52">
        <v>0</v>
      </c>
      <c r="O169" s="52">
        <v>0</v>
      </c>
      <c r="P169" s="52">
        <v>0</v>
      </c>
      <c r="Q169" s="51">
        <f>SUM(M169:P169)</f>
        <v>-117</v>
      </c>
      <c r="R169" s="52">
        <v>0</v>
      </c>
      <c r="S169" s="52">
        <v>0</v>
      </c>
      <c r="T169" s="52">
        <v>-46</v>
      </c>
      <c r="U169" s="52">
        <v>-44</v>
      </c>
      <c r="V169" s="51">
        <f>SUM(R169:U169)</f>
        <v>-90</v>
      </c>
      <c r="W169" s="52">
        <v>-45</v>
      </c>
      <c r="X169" s="52">
        <v>-42</v>
      </c>
      <c r="Y169" s="52">
        <v>-43</v>
      </c>
      <c r="Z169" s="52">
        <v>-43</v>
      </c>
      <c r="AA169" s="51">
        <f>SUM(W169:Z169)</f>
        <v>-173</v>
      </c>
      <c r="AB169" s="52">
        <v>-45</v>
      </c>
      <c r="AC169" s="52">
        <v>-45</v>
      </c>
      <c r="AD169" s="52">
        <v>-45</v>
      </c>
      <c r="AE169" s="52">
        <v>-46</v>
      </c>
      <c r="AF169" s="144">
        <f>SUM(AB169:AE169)</f>
        <v>-181</v>
      </c>
    </row>
    <row r="170" spans="1:32">
      <c r="A170" s="152" t="s">
        <v>363</v>
      </c>
      <c r="C170" s="53">
        <f t="shared" ref="C170:AF170" si="53">C169</f>
        <v>-116</v>
      </c>
      <c r="D170" s="53">
        <f t="shared" si="53"/>
        <v>-116</v>
      </c>
      <c r="E170" s="53">
        <f t="shared" si="53"/>
        <v>-115</v>
      </c>
      <c r="F170" s="53">
        <f t="shared" si="53"/>
        <v>-116</v>
      </c>
      <c r="G170" s="53">
        <f t="shared" si="53"/>
        <v>-463</v>
      </c>
      <c r="H170" s="53">
        <f t="shared" si="53"/>
        <v>-116</v>
      </c>
      <c r="I170" s="53">
        <f t="shared" si="53"/>
        <v>-117</v>
      </c>
      <c r="J170" s="53">
        <f t="shared" si="53"/>
        <v>-116</v>
      </c>
      <c r="K170" s="53">
        <f t="shared" si="53"/>
        <v>-117</v>
      </c>
      <c r="L170" s="53">
        <f t="shared" si="53"/>
        <v>-466</v>
      </c>
      <c r="M170" s="53">
        <f t="shared" si="53"/>
        <v>-117</v>
      </c>
      <c r="N170" s="53">
        <f t="shared" si="53"/>
        <v>0</v>
      </c>
      <c r="O170" s="53">
        <f t="shared" si="53"/>
        <v>0</v>
      </c>
      <c r="P170" s="53">
        <f t="shared" si="53"/>
        <v>0</v>
      </c>
      <c r="Q170" s="53">
        <f t="shared" si="53"/>
        <v>-117</v>
      </c>
      <c r="R170" s="53">
        <f t="shared" si="53"/>
        <v>0</v>
      </c>
      <c r="S170" s="53">
        <f t="shared" si="53"/>
        <v>0</v>
      </c>
      <c r="T170" s="53">
        <f t="shared" si="53"/>
        <v>-46</v>
      </c>
      <c r="U170" s="53">
        <f t="shared" si="53"/>
        <v>-44</v>
      </c>
      <c r="V170" s="53">
        <f t="shared" si="53"/>
        <v>-90</v>
      </c>
      <c r="W170" s="53">
        <f t="shared" si="53"/>
        <v>-45</v>
      </c>
      <c r="X170" s="53">
        <f t="shared" si="53"/>
        <v>-42</v>
      </c>
      <c r="Y170" s="53">
        <f t="shared" si="53"/>
        <v>-43</v>
      </c>
      <c r="Z170" s="53">
        <f t="shared" si="53"/>
        <v>-43</v>
      </c>
      <c r="AA170" s="53">
        <f t="shared" si="53"/>
        <v>-173</v>
      </c>
      <c r="AB170" s="53">
        <f t="shared" si="53"/>
        <v>-45</v>
      </c>
      <c r="AC170" s="53">
        <f t="shared" si="53"/>
        <v>-45</v>
      </c>
      <c r="AD170" s="53">
        <f t="shared" si="53"/>
        <v>-45</v>
      </c>
      <c r="AE170" s="53">
        <f t="shared" si="53"/>
        <v>-46</v>
      </c>
      <c r="AF170" s="74">
        <f t="shared" si="53"/>
        <v>-181</v>
      </c>
    </row>
    <row r="171" spans="1:32">
      <c r="A171" s="153"/>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146"/>
    </row>
    <row r="172" spans="1:32">
      <c r="A172" s="153" t="s">
        <v>364</v>
      </c>
      <c r="C172" s="52" t="s">
        <v>47</v>
      </c>
      <c r="D172" s="52" t="s">
        <v>47</v>
      </c>
      <c r="E172" s="52" t="s">
        <v>47</v>
      </c>
      <c r="F172" s="52" t="s">
        <v>47</v>
      </c>
      <c r="G172" s="52">
        <f>SUM(C172:F172)</f>
        <v>0</v>
      </c>
      <c r="H172" s="52" t="s">
        <v>47</v>
      </c>
      <c r="I172" s="52" t="s">
        <v>47</v>
      </c>
      <c r="J172" s="52" t="s">
        <v>47</v>
      </c>
      <c r="K172" s="52" t="s">
        <v>47</v>
      </c>
      <c r="L172" s="52">
        <f>SUM(H172:K172)</f>
        <v>0</v>
      </c>
      <c r="M172" s="52" t="s">
        <v>47</v>
      </c>
      <c r="N172" s="52" t="s">
        <v>47</v>
      </c>
      <c r="O172" s="52" t="s">
        <v>47</v>
      </c>
      <c r="P172" s="52" t="s">
        <v>47</v>
      </c>
      <c r="Q172" s="52">
        <f>SUM(M172:P172)</f>
        <v>0</v>
      </c>
      <c r="R172" s="52" t="s">
        <v>47</v>
      </c>
      <c r="S172" s="52" t="s">
        <v>47</v>
      </c>
      <c r="T172" s="52" t="s">
        <v>47</v>
      </c>
      <c r="U172" s="52" t="s">
        <v>47</v>
      </c>
      <c r="V172" s="52">
        <f>SUM(R172:U172)</f>
        <v>0</v>
      </c>
      <c r="W172" s="52" t="s">
        <v>47</v>
      </c>
      <c r="X172" s="52" t="s">
        <v>47</v>
      </c>
      <c r="Y172" s="52" t="s">
        <v>47</v>
      </c>
      <c r="Z172" s="52" t="s">
        <v>47</v>
      </c>
      <c r="AA172" s="51">
        <f>SUM(W172:Z172)</f>
        <v>0</v>
      </c>
      <c r="AB172" s="52" t="s">
        <v>47</v>
      </c>
      <c r="AC172" s="52" t="s">
        <v>47</v>
      </c>
      <c r="AD172" s="52" t="s">
        <v>47</v>
      </c>
      <c r="AE172" s="52" t="s">
        <v>47</v>
      </c>
      <c r="AF172" s="146">
        <f>SUM(AB172:AE172)</f>
        <v>0</v>
      </c>
    </row>
    <row r="173" spans="1:32">
      <c r="A173" s="153" t="s">
        <v>365</v>
      </c>
      <c r="C173" s="52">
        <v>2</v>
      </c>
      <c r="D173" s="51">
        <v>3</v>
      </c>
      <c r="E173" s="51">
        <v>2</v>
      </c>
      <c r="F173" s="51">
        <v>0</v>
      </c>
      <c r="G173" s="52">
        <f>SUM(C173:F173)</f>
        <v>7</v>
      </c>
      <c r="H173" s="51" t="s">
        <v>47</v>
      </c>
      <c r="I173" s="51">
        <v>-3</v>
      </c>
      <c r="J173" s="51">
        <v>0</v>
      </c>
      <c r="K173" s="51">
        <v>0</v>
      </c>
      <c r="L173" s="52">
        <f>SUM(H173:K173)</f>
        <v>-3</v>
      </c>
      <c r="M173" s="51" t="s">
        <v>47</v>
      </c>
      <c r="N173" s="51">
        <v>-98</v>
      </c>
      <c r="O173" s="51">
        <v>-4</v>
      </c>
      <c r="P173" s="51">
        <v>0</v>
      </c>
      <c r="Q173" s="52">
        <f>SUM(M173:P173)</f>
        <v>-102</v>
      </c>
      <c r="R173" s="51">
        <v>-21</v>
      </c>
      <c r="S173" s="51">
        <v>-3</v>
      </c>
      <c r="T173" s="51">
        <v>-137</v>
      </c>
      <c r="U173" s="51">
        <v>0</v>
      </c>
      <c r="V173" s="52">
        <f>SUM(R173:U173)</f>
        <v>-161</v>
      </c>
      <c r="W173" s="51">
        <v>-50</v>
      </c>
      <c r="X173" s="51">
        <v>0</v>
      </c>
      <c r="Y173" s="51">
        <v>0</v>
      </c>
      <c r="Z173" s="51">
        <v>0</v>
      </c>
      <c r="AA173" s="51">
        <f>SUM(W173:Z173)</f>
        <v>-50</v>
      </c>
      <c r="AB173" s="51" t="s">
        <v>47</v>
      </c>
      <c r="AC173" s="51" t="s">
        <v>47</v>
      </c>
      <c r="AD173" s="51">
        <v>-1</v>
      </c>
      <c r="AE173" s="51">
        <v>0</v>
      </c>
      <c r="AF173" s="146">
        <f>SUM(AB173:AE173)</f>
        <v>-1</v>
      </c>
    </row>
    <row r="174" spans="1:32">
      <c r="A174" s="152" t="s">
        <v>366</v>
      </c>
      <c r="C174" s="93">
        <f t="shared" ref="C174:AF174" si="54">SUM(C163:C164)+SUM(C166:C167)+C170+SUM(C172:C173)</f>
        <v>-99</v>
      </c>
      <c r="D174" s="93">
        <f t="shared" si="54"/>
        <v>-537</v>
      </c>
      <c r="E174" s="93">
        <f t="shared" si="54"/>
        <v>20</v>
      </c>
      <c r="F174" s="93">
        <f t="shared" si="54"/>
        <v>-928</v>
      </c>
      <c r="G174" s="660">
        <f t="shared" si="54"/>
        <v>-1544</v>
      </c>
      <c r="H174" s="93">
        <f t="shared" si="54"/>
        <v>-158</v>
      </c>
      <c r="I174" s="93">
        <f t="shared" si="54"/>
        <v>-239</v>
      </c>
      <c r="J174" s="93">
        <f t="shared" si="54"/>
        <v>57</v>
      </c>
      <c r="K174" s="93">
        <f t="shared" si="54"/>
        <v>-783</v>
      </c>
      <c r="L174" s="660">
        <f t="shared" si="54"/>
        <v>-1123</v>
      </c>
      <c r="M174" s="93">
        <f t="shared" si="54"/>
        <v>1148</v>
      </c>
      <c r="N174" s="93">
        <f t="shared" si="54"/>
        <v>-198</v>
      </c>
      <c r="O174" s="93">
        <f t="shared" si="54"/>
        <v>13</v>
      </c>
      <c r="P174" s="93">
        <f t="shared" si="54"/>
        <v>-264</v>
      </c>
      <c r="Q174" s="660">
        <f t="shared" si="54"/>
        <v>699</v>
      </c>
      <c r="R174" s="93">
        <f t="shared" si="54"/>
        <v>-300</v>
      </c>
      <c r="S174" s="93">
        <f t="shared" si="54"/>
        <v>-60</v>
      </c>
      <c r="T174" s="93">
        <f t="shared" si="54"/>
        <v>-1711</v>
      </c>
      <c r="U174" s="93">
        <f t="shared" si="54"/>
        <v>-310</v>
      </c>
      <c r="V174" s="660">
        <f t="shared" si="54"/>
        <v>-2381</v>
      </c>
      <c r="W174" s="93">
        <f t="shared" si="54"/>
        <v>-1094</v>
      </c>
      <c r="X174" s="93">
        <f t="shared" si="54"/>
        <v>-106</v>
      </c>
      <c r="Y174" s="93">
        <f t="shared" si="54"/>
        <v>195</v>
      </c>
      <c r="Z174" s="93">
        <f t="shared" si="54"/>
        <v>-291</v>
      </c>
      <c r="AA174" s="660">
        <f t="shared" si="54"/>
        <v>-1296</v>
      </c>
      <c r="AB174" s="93">
        <f t="shared" si="54"/>
        <v>-94</v>
      </c>
      <c r="AC174" s="93">
        <f t="shared" si="54"/>
        <v>-70</v>
      </c>
      <c r="AD174" s="93">
        <f t="shared" si="54"/>
        <v>224</v>
      </c>
      <c r="AE174" s="93">
        <f t="shared" si="54"/>
        <v>-280</v>
      </c>
      <c r="AF174" s="659">
        <f t="shared" si="54"/>
        <v>-220</v>
      </c>
    </row>
    <row r="175" spans="1:32">
      <c r="A175" s="153"/>
      <c r="C175" s="51"/>
      <c r="D175" s="51"/>
      <c r="E175" s="51"/>
      <c r="F175" s="51"/>
      <c r="G175" s="80"/>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146"/>
    </row>
    <row r="176" spans="1:32" ht="10.5" thickBot="1">
      <c r="A176" s="152" t="s">
        <v>367</v>
      </c>
      <c r="C176" s="53">
        <f t="shared" ref="C176:AF176" si="55">C151+C161+C174</f>
        <v>67</v>
      </c>
      <c r="D176" s="53">
        <f t="shared" si="55"/>
        <v>-471</v>
      </c>
      <c r="E176" s="53">
        <f t="shared" si="55"/>
        <v>-332</v>
      </c>
      <c r="F176" s="53">
        <f t="shared" si="55"/>
        <v>471</v>
      </c>
      <c r="G176" s="661">
        <f>G151+G161+G174</f>
        <v>-265</v>
      </c>
      <c r="H176" s="53">
        <f t="shared" si="55"/>
        <v>-433</v>
      </c>
      <c r="I176" s="53">
        <f t="shared" si="55"/>
        <v>-68</v>
      </c>
      <c r="J176" s="53">
        <f t="shared" si="55"/>
        <v>-396</v>
      </c>
      <c r="K176" s="53">
        <f t="shared" si="55"/>
        <v>380</v>
      </c>
      <c r="L176" s="661">
        <f t="shared" si="55"/>
        <v>-517</v>
      </c>
      <c r="M176" s="53">
        <f t="shared" si="55"/>
        <v>871</v>
      </c>
      <c r="N176" s="53">
        <f t="shared" si="55"/>
        <v>-200</v>
      </c>
      <c r="O176" s="53">
        <f t="shared" si="55"/>
        <v>222</v>
      </c>
      <c r="P176" s="53">
        <f t="shared" si="55"/>
        <v>130</v>
      </c>
      <c r="Q176" s="661">
        <f t="shared" si="55"/>
        <v>1023</v>
      </c>
      <c r="R176" s="53">
        <f t="shared" si="55"/>
        <v>120</v>
      </c>
      <c r="S176" s="53">
        <f t="shared" si="55"/>
        <v>341</v>
      </c>
      <c r="T176" s="53">
        <f t="shared" si="55"/>
        <v>-1894</v>
      </c>
      <c r="U176" s="53">
        <f t="shared" si="55"/>
        <v>1394</v>
      </c>
      <c r="V176" s="661">
        <f t="shared" si="55"/>
        <v>-39</v>
      </c>
      <c r="W176" s="53">
        <f t="shared" si="55"/>
        <v>-1040</v>
      </c>
      <c r="X176" s="53">
        <f t="shared" si="55"/>
        <v>-372</v>
      </c>
      <c r="Y176" s="53">
        <f t="shared" si="55"/>
        <v>26</v>
      </c>
      <c r="Z176" s="53">
        <f t="shared" si="55"/>
        <v>536</v>
      </c>
      <c r="AA176" s="661">
        <f t="shared" si="55"/>
        <v>-850</v>
      </c>
      <c r="AB176" s="53">
        <f t="shared" si="55"/>
        <v>-259</v>
      </c>
      <c r="AC176" s="53">
        <f t="shared" si="55"/>
        <v>-165</v>
      </c>
      <c r="AD176" s="53">
        <f t="shared" si="55"/>
        <v>-74</v>
      </c>
      <c r="AE176" s="53">
        <f t="shared" si="55"/>
        <v>670</v>
      </c>
      <c r="AF176" s="662">
        <f t="shared" si="55"/>
        <v>172</v>
      </c>
    </row>
    <row r="177" spans="1:32" ht="10.9" thickTop="1" thickBot="1">
      <c r="A177" s="159"/>
      <c r="B177" s="147"/>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c r="AC177" s="148"/>
      <c r="AD177" s="148"/>
      <c r="AE177" s="148"/>
      <c r="AF177" s="149"/>
    </row>
  </sheetData>
  <pageMargins left="0.2" right="0.2" top="0.5" bottom="0.5" header="0.5" footer="0.5"/>
  <pageSetup fitToWidth="0" fitToHeight="0" orientation="landscape" horizontalDpi="0" verticalDpi="0"/>
  <headerFooter alignWithMargins="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F8EA4-1808-9B44-A67A-863BE5E94B55}">
  <sheetPr codeName="Sheet7"/>
  <dimension ref="A1:BH37"/>
  <sheetViews>
    <sheetView showGridLines="0" topLeftCell="A7" zoomScale="112" zoomScaleNormal="90" workbookViewId="0">
      <pane xSplit="5" topLeftCell="Z1" activePane="topRight" state="frozen"/>
      <selection activeCell="A7" sqref="A7"/>
      <selection pane="topRight" activeCell="W32" sqref="W32"/>
    </sheetView>
  </sheetViews>
  <sheetFormatPr defaultColWidth="11" defaultRowHeight="15.75"/>
  <cols>
    <col min="1" max="1" width="28.8125" style="324" bestFit="1" customWidth="1"/>
    <col min="2" max="5" width="11" style="324"/>
    <col min="6" max="6" width="11" style="325"/>
    <col min="7" max="43" width="11" style="324"/>
    <col min="44" max="44" width="11" style="324" customWidth="1"/>
    <col min="45" max="16384" width="11" style="324"/>
  </cols>
  <sheetData>
    <row r="1" spans="1:60" hidden="1"/>
    <row r="2" spans="1:60" hidden="1"/>
    <row r="3" spans="1:60" hidden="1"/>
    <row r="4" spans="1:60" hidden="1"/>
    <row r="5" spans="1:60" hidden="1"/>
    <row r="6" spans="1:60" hidden="1"/>
    <row r="8" spans="1:60">
      <c r="F8" s="781" t="s">
        <v>368</v>
      </c>
      <c r="G8" s="782"/>
      <c r="H8" s="782"/>
      <c r="I8" s="782"/>
      <c r="J8" s="782"/>
      <c r="K8" s="782"/>
      <c r="L8" s="782"/>
      <c r="M8" s="782"/>
      <c r="N8" s="782"/>
      <c r="O8" s="782"/>
      <c r="P8" s="782"/>
      <c r="Q8" s="782"/>
      <c r="R8" s="782"/>
      <c r="S8" s="782"/>
      <c r="T8" s="782"/>
      <c r="U8" s="782"/>
      <c r="V8" s="782"/>
      <c r="W8" s="782"/>
      <c r="X8" s="782"/>
      <c r="Y8" s="782"/>
      <c r="Z8" s="782"/>
      <c r="AA8" s="782"/>
      <c r="AB8" s="782"/>
      <c r="AC8" s="782"/>
      <c r="AD8" s="782"/>
      <c r="AE8" s="782"/>
      <c r="AF8" s="782"/>
      <c r="AG8" s="782"/>
      <c r="AH8" s="782"/>
      <c r="AI8" s="782"/>
      <c r="AJ8" s="783" t="s">
        <v>369</v>
      </c>
      <c r="AK8" s="783"/>
      <c r="AL8" s="783"/>
      <c r="AM8" s="783"/>
      <c r="AN8" s="783"/>
      <c r="AO8" s="783"/>
      <c r="AP8" s="783"/>
      <c r="AQ8" s="783"/>
      <c r="AR8" s="783"/>
      <c r="AS8" s="783"/>
      <c r="AT8" s="783"/>
      <c r="AU8" s="783"/>
      <c r="AV8" s="783"/>
      <c r="AW8" s="783"/>
      <c r="AX8" s="783"/>
      <c r="AY8" s="783"/>
      <c r="AZ8" s="783"/>
      <c r="BA8" s="783"/>
      <c r="BB8" s="783"/>
      <c r="BC8" s="783"/>
      <c r="BD8" s="783"/>
      <c r="BE8" s="783"/>
      <c r="BF8" s="783"/>
      <c r="BG8" s="783"/>
      <c r="BH8" s="783"/>
    </row>
    <row r="10" spans="1:60">
      <c r="A10" s="324" t="s">
        <v>370</v>
      </c>
      <c r="B10" s="663">
        <v>15</v>
      </c>
      <c r="F10" s="325" t="s">
        <v>371</v>
      </c>
      <c r="G10" s="324" t="s">
        <v>372</v>
      </c>
      <c r="H10" s="324" t="s">
        <v>373</v>
      </c>
      <c r="I10" s="324" t="s">
        <v>374</v>
      </c>
      <c r="J10" s="326" t="s">
        <v>26</v>
      </c>
      <c r="K10" s="324" t="s">
        <v>375</v>
      </c>
      <c r="L10" s="324" t="s">
        <v>376</v>
      </c>
      <c r="M10" s="324" t="s">
        <v>377</v>
      </c>
      <c r="N10" s="324" t="s">
        <v>378</v>
      </c>
      <c r="O10" s="326" t="s">
        <v>27</v>
      </c>
      <c r="P10" s="324" t="s">
        <v>379</v>
      </c>
      <c r="Q10" s="324" t="s">
        <v>380</v>
      </c>
      <c r="R10" s="324" t="s">
        <v>381</v>
      </c>
      <c r="S10" s="324" t="s">
        <v>382</v>
      </c>
      <c r="T10" s="326" t="s">
        <v>28</v>
      </c>
      <c r="U10" s="324" t="s">
        <v>383</v>
      </c>
      <c r="V10" s="324" t="s">
        <v>384</v>
      </c>
      <c r="W10" s="324" t="s">
        <v>385</v>
      </c>
      <c r="X10" s="324" t="s">
        <v>386</v>
      </c>
      <c r="Y10" s="326" t="s">
        <v>29</v>
      </c>
      <c r="Z10" s="324" t="s">
        <v>387</v>
      </c>
      <c r="AA10" s="324" t="s">
        <v>388</v>
      </c>
      <c r="AB10" s="324" t="s">
        <v>389</v>
      </c>
      <c r="AC10" s="324" t="s">
        <v>390</v>
      </c>
      <c r="AD10" s="326" t="s">
        <v>30</v>
      </c>
      <c r="AE10" s="324" t="s">
        <v>391</v>
      </c>
      <c r="AF10" s="324" t="s">
        <v>392</v>
      </c>
      <c r="AG10" s="324" t="s">
        <v>393</v>
      </c>
      <c r="AH10" s="324" t="s">
        <v>394</v>
      </c>
      <c r="AI10" s="326" t="s">
        <v>31</v>
      </c>
      <c r="AJ10" s="341" t="s">
        <v>395</v>
      </c>
      <c r="AK10" s="341" t="s">
        <v>396</v>
      </c>
      <c r="AL10" s="341" t="s">
        <v>397</v>
      </c>
      <c r="AM10" s="341" t="s">
        <v>398</v>
      </c>
      <c r="AN10" s="341" t="s">
        <v>33</v>
      </c>
      <c r="AO10" s="341" t="s">
        <v>399</v>
      </c>
      <c r="AP10" s="341" t="s">
        <v>400</v>
      </c>
      <c r="AQ10" s="341" t="s">
        <v>401</v>
      </c>
      <c r="AR10" s="341" t="s">
        <v>402</v>
      </c>
      <c r="AS10" s="341" t="s">
        <v>84</v>
      </c>
      <c r="AT10" s="341" t="s">
        <v>403</v>
      </c>
      <c r="AU10" s="341" t="s">
        <v>404</v>
      </c>
      <c r="AV10" s="341" t="s">
        <v>405</v>
      </c>
      <c r="AW10" s="341" t="s">
        <v>406</v>
      </c>
      <c r="AX10" s="341" t="s">
        <v>85</v>
      </c>
      <c r="AY10" s="341" t="s">
        <v>407</v>
      </c>
      <c r="AZ10" s="341" t="s">
        <v>408</v>
      </c>
      <c r="BA10" s="341" t="s">
        <v>409</v>
      </c>
      <c r="BB10" s="341" t="s">
        <v>410</v>
      </c>
      <c r="BC10" s="341" t="s">
        <v>86</v>
      </c>
      <c r="BD10" s="341" t="s">
        <v>411</v>
      </c>
      <c r="BE10" s="341" t="s">
        <v>412</v>
      </c>
      <c r="BF10" s="341" t="s">
        <v>413</v>
      </c>
      <c r="BG10" s="341" t="s">
        <v>414</v>
      </c>
      <c r="BH10" s="341" t="s">
        <v>415</v>
      </c>
    </row>
    <row r="12" spans="1:60">
      <c r="A12" s="327" t="s">
        <v>416</v>
      </c>
      <c r="B12" s="327"/>
      <c r="C12" s="327"/>
      <c r="D12" s="327"/>
      <c r="E12" s="328" t="s">
        <v>417</v>
      </c>
      <c r="F12" s="325">
        <f>-CFS!$C$34</f>
        <v>132</v>
      </c>
      <c r="G12" s="324">
        <f>-CFS!$D$34</f>
        <v>143</v>
      </c>
      <c r="H12" s="324">
        <f>-CFS!$E$34</f>
        <v>193</v>
      </c>
      <c r="I12" s="324">
        <f>-CFS!$F$34</f>
        <v>189</v>
      </c>
      <c r="J12" s="326">
        <f>-CFS!$AA$34</f>
        <v>657</v>
      </c>
      <c r="K12" s="324">
        <f>-CFS!G34</f>
        <v>204</v>
      </c>
      <c r="L12" s="324">
        <f>-CFS!H34</f>
        <v>174</v>
      </c>
      <c r="M12" s="324">
        <f>-CFS!I34</f>
        <v>245</v>
      </c>
      <c r="N12" s="324">
        <f>-CFS!J34</f>
        <v>279</v>
      </c>
      <c r="O12" s="326">
        <f>-CFS!AB34</f>
        <v>902</v>
      </c>
      <c r="P12" s="324">
        <f>-CFS!K34</f>
        <v>122</v>
      </c>
      <c r="Q12" s="324">
        <f>-CFS!L34</f>
        <v>106</v>
      </c>
      <c r="R12" s="324">
        <f>-CFS!M34</f>
        <v>62</v>
      </c>
      <c r="S12" s="324">
        <f>-CFS!N34</f>
        <v>48</v>
      </c>
      <c r="T12" s="326">
        <f>-CFS!AC34</f>
        <v>338</v>
      </c>
      <c r="U12" s="324">
        <f>-CFS!O34</f>
        <v>61</v>
      </c>
      <c r="V12" s="324">
        <f>-CFS!P34</f>
        <v>81</v>
      </c>
      <c r="W12" s="324">
        <f>-CFS!Q34</f>
        <v>88</v>
      </c>
      <c r="X12" s="324">
        <f>-CFS!R34</f>
        <v>124</v>
      </c>
      <c r="Y12" s="326">
        <f>-CFS!AD34</f>
        <v>354</v>
      </c>
      <c r="Z12" s="324">
        <f>-CFS!S34</f>
        <v>171</v>
      </c>
      <c r="AA12" s="324">
        <f>-CFS!T34</f>
        <v>207</v>
      </c>
      <c r="AB12" s="324">
        <f>-CFS!U34</f>
        <v>277</v>
      </c>
      <c r="AC12" s="324">
        <f>-CFS!V34</f>
        <v>233</v>
      </c>
      <c r="AD12" s="326">
        <f>-CFS!AE34</f>
        <v>888</v>
      </c>
      <c r="AE12" s="324">
        <f>-CFS!W34</f>
        <v>215</v>
      </c>
      <c r="AF12" s="324">
        <f>-CFS!X34</f>
        <v>175</v>
      </c>
      <c r="AG12" s="324">
        <f>-CFS!Y34</f>
        <v>95</v>
      </c>
      <c r="AH12" s="324">
        <f>-CFS!Z34</f>
        <v>146</v>
      </c>
      <c r="AI12" s="326">
        <f>-CFS!AF34</f>
        <v>631</v>
      </c>
      <c r="AJ12" s="324">
        <v>175</v>
      </c>
      <c r="AK12" s="324">
        <v>175</v>
      </c>
      <c r="AL12" s="324">
        <v>175</v>
      </c>
      <c r="AM12" s="324">
        <v>175</v>
      </c>
      <c r="AN12" s="324">
        <f>SUM(AJ12:AM12)</f>
        <v>700</v>
      </c>
      <c r="AO12" s="324">
        <v>200</v>
      </c>
      <c r="AP12" s="324">
        <v>200</v>
      </c>
      <c r="AQ12" s="324">
        <v>200</v>
      </c>
      <c r="AR12" s="324">
        <v>200</v>
      </c>
      <c r="AS12" s="324">
        <f>SUM(AO12:AR12)</f>
        <v>800</v>
      </c>
      <c r="AT12" s="324">
        <v>200</v>
      </c>
      <c r="AU12" s="324">
        <v>200</v>
      </c>
      <c r="AV12" s="324">
        <v>200</v>
      </c>
      <c r="AW12" s="324">
        <v>200</v>
      </c>
      <c r="AX12" s="324">
        <v>800</v>
      </c>
      <c r="AY12" s="324">
        <v>200</v>
      </c>
      <c r="AZ12" s="324">
        <v>200</v>
      </c>
      <c r="BA12" s="324">
        <v>200</v>
      </c>
      <c r="BB12" s="324">
        <v>200</v>
      </c>
      <c r="BC12" s="324">
        <v>800</v>
      </c>
      <c r="BD12" s="324">
        <v>200</v>
      </c>
      <c r="BE12" s="324">
        <v>200</v>
      </c>
      <c r="BF12" s="324">
        <v>200</v>
      </c>
      <c r="BG12" s="324">
        <v>200</v>
      </c>
      <c r="BH12" s="324">
        <v>800</v>
      </c>
    </row>
    <row r="13" spans="1:60">
      <c r="A13" s="327" t="s">
        <v>418</v>
      </c>
      <c r="B13" s="327"/>
      <c r="C13" s="327"/>
      <c r="D13" s="327"/>
      <c r="E13" s="328" t="s">
        <v>419</v>
      </c>
      <c r="G13" s="324">
        <f>(G12-F12)/F12</f>
        <v>8.3333333333333329E-2</v>
      </c>
      <c r="H13" s="324">
        <f>(H12-G12)/G12</f>
        <v>0.34965034965034963</v>
      </c>
      <c r="I13" s="324">
        <f>(I12-H12)/H12</f>
        <v>-2.072538860103627E-2</v>
      </c>
      <c r="J13" s="326">
        <f>AVERAGE(G13:I13)</f>
        <v>0.13741943146088223</v>
      </c>
      <c r="K13" s="324">
        <f>(K12-I12)/I12</f>
        <v>7.9365079365079361E-2</v>
      </c>
      <c r="L13" s="324">
        <f>(L12-K12)/K12</f>
        <v>-0.14705882352941177</v>
      </c>
      <c r="M13" s="324">
        <f>(M12-L12)/L12</f>
        <v>0.40804597701149425</v>
      </c>
      <c r="N13" s="324">
        <f>(N12-M12)/M12</f>
        <v>0.13877551020408163</v>
      </c>
      <c r="O13" s="326">
        <f>AVERAGE(K13:N13)</f>
        <v>0.11978193576281088</v>
      </c>
      <c r="P13" s="324">
        <f>(P12-N12)/N12</f>
        <v>-0.56272401433691754</v>
      </c>
      <c r="Q13" s="324">
        <f>(Q12-P12)/P12</f>
        <v>-0.13114754098360656</v>
      </c>
      <c r="R13" s="324">
        <f>(R12-Q12)/Q12</f>
        <v>-0.41509433962264153</v>
      </c>
      <c r="S13" s="324">
        <f>(S12-R12)/R12</f>
        <v>-0.22580645161290322</v>
      </c>
      <c r="T13" s="326">
        <f>AVERAGE(P13:S13)</f>
        <v>-0.33369308663901726</v>
      </c>
      <c r="U13" s="324">
        <f>(U12-S12)/S12</f>
        <v>0.27083333333333331</v>
      </c>
      <c r="V13" s="324">
        <f>(V12-U12)/U12</f>
        <v>0.32786885245901637</v>
      </c>
      <c r="W13" s="324">
        <f>(W12-V12)/V12</f>
        <v>8.6419753086419748E-2</v>
      </c>
      <c r="X13" s="324">
        <f>(X12-W12)/W12</f>
        <v>0.40909090909090912</v>
      </c>
      <c r="Y13" s="326">
        <f>AVERAGE(U13:X13)</f>
        <v>0.27355321199241966</v>
      </c>
      <c r="Z13" s="324">
        <f>(Z12-X12)/X12</f>
        <v>0.37903225806451613</v>
      </c>
      <c r="AA13" s="324">
        <f>(AA12-Z12)/Z12</f>
        <v>0.21052631578947367</v>
      </c>
      <c r="AB13" s="324">
        <f>(AB12-AA12)/AA12</f>
        <v>0.33816425120772947</v>
      </c>
      <c r="AC13" s="324">
        <f>(AC12-AB12)/AB12</f>
        <v>-0.1588447653429603</v>
      </c>
      <c r="AD13" s="326">
        <f>AVERAGE(Z13:AC13)</f>
        <v>0.19221951492968975</v>
      </c>
      <c r="AE13" s="324">
        <f>(AE12-AC12)/AC12</f>
        <v>-7.7253218884120178E-2</v>
      </c>
      <c r="AF13" s="324">
        <f>(AF12-AE12)/AE12</f>
        <v>-0.18604651162790697</v>
      </c>
      <c r="AG13" s="324">
        <f>(AG12-AF12)/AF12</f>
        <v>-0.45714285714285713</v>
      </c>
      <c r="AH13" s="324">
        <f>(AH12-AG12)/AG12</f>
        <v>0.5368421052631579</v>
      </c>
      <c r="AI13" s="326">
        <f>AVERAGE(AE13:AH13)</f>
        <v>-4.590012059793161E-2</v>
      </c>
      <c r="AJ13" s="324">
        <f>(AJ12-AH12)/AH12</f>
        <v>0.19863013698630136</v>
      </c>
      <c r="AK13" s="324">
        <f>(AK12-AJ12)/AJ12</f>
        <v>0</v>
      </c>
      <c r="AL13" s="324">
        <f>(AL12-AK12)/AK12</f>
        <v>0</v>
      </c>
      <c r="AM13" s="324">
        <f>(AM12-AL12)/AL12</f>
        <v>0</v>
      </c>
      <c r="AN13" s="324">
        <f>(AN12-AI12)/AI12</f>
        <v>0.10935023771790808</v>
      </c>
      <c r="AO13" s="324">
        <f>(AO12-AM12)/AM12</f>
        <v>0.14285714285714285</v>
      </c>
      <c r="AP13" s="324">
        <f>(AP12-AO12)/AO12</f>
        <v>0</v>
      </c>
      <c r="AQ13" s="324">
        <f>(AQ12-AP12)/AP12</f>
        <v>0</v>
      </c>
      <c r="AR13" s="324">
        <f>(AR12-AQ12)/AQ12</f>
        <v>0</v>
      </c>
      <c r="AS13" s="324">
        <f>AVERAGE(AO13:AR13)</f>
        <v>3.5714285714285712E-2</v>
      </c>
      <c r="AT13" s="324">
        <f>(AT12-AR12)/AR12</f>
        <v>0</v>
      </c>
      <c r="AU13" s="324">
        <f>(AU12-AT12)/AT12</f>
        <v>0</v>
      </c>
      <c r="AV13" s="324">
        <f>(AV12-AU12)/AU12</f>
        <v>0</v>
      </c>
      <c r="AW13" s="324">
        <f>(AW12-AV12)/AV12</f>
        <v>0</v>
      </c>
      <c r="AX13" s="324">
        <f>(AX12-AS12)/AS12</f>
        <v>0</v>
      </c>
      <c r="AY13" s="324">
        <f>(AY12-AW12)/AW12</f>
        <v>0</v>
      </c>
      <c r="AZ13" s="324">
        <f>(AZ12-AY12)/AY12</f>
        <v>0</v>
      </c>
      <c r="BA13" s="324">
        <f>(BA12-AZ12)/AZ12</f>
        <v>0</v>
      </c>
      <c r="BB13" s="324">
        <f>(BB12-BA12)/BA12</f>
        <v>0</v>
      </c>
      <c r="BC13" s="324">
        <f>(BC12-AX12)/AX12</f>
        <v>0</v>
      </c>
      <c r="BD13" s="324">
        <f>(BD12-BB12)/BB12</f>
        <v>0</v>
      </c>
      <c r="BE13" s="324">
        <f>(BE12-BD12)/BD12</f>
        <v>0</v>
      </c>
      <c r="BF13" s="324">
        <f>(BF12-BE12)/BE12</f>
        <v>0</v>
      </c>
      <c r="BG13" s="324">
        <f>(BG12-BF12)/BF12</f>
        <v>0</v>
      </c>
      <c r="BH13" s="324">
        <f>(BH12-BC12)/BC12</f>
        <v>0</v>
      </c>
    </row>
    <row r="14" spans="1:60">
      <c r="A14" s="327"/>
      <c r="B14" s="327"/>
      <c r="C14" s="327"/>
      <c r="D14" s="327"/>
      <c r="E14" s="328"/>
    </row>
    <row r="15" spans="1:60">
      <c r="A15" s="329" t="s">
        <v>420</v>
      </c>
      <c r="B15" s="330"/>
      <c r="C15" s="330"/>
      <c r="D15" s="330"/>
      <c r="E15" s="331"/>
      <c r="F15" s="324"/>
    </row>
    <row r="16" spans="1:60">
      <c r="A16" s="327"/>
      <c r="B16" s="327"/>
      <c r="C16" s="327"/>
      <c r="D16" s="327"/>
      <c r="E16" s="328"/>
      <c r="F16" s="324"/>
    </row>
    <row r="17" spans="1:60">
      <c r="A17" s="332" t="s">
        <v>421</v>
      </c>
      <c r="B17" s="332"/>
      <c r="C17" s="332"/>
      <c r="D17" s="332"/>
      <c r="E17" s="333"/>
      <c r="F17" s="334"/>
      <c r="G17" s="334"/>
      <c r="H17" s="334"/>
      <c r="I17" s="334"/>
      <c r="J17" s="334"/>
      <c r="K17" s="334"/>
      <c r="L17" s="334"/>
      <c r="M17" s="334"/>
      <c r="N17" s="334"/>
      <c r="O17" s="334"/>
      <c r="P17" s="334"/>
      <c r="Q17" s="334"/>
      <c r="R17" s="334"/>
      <c r="S17" s="334"/>
      <c r="T17" s="334"/>
      <c r="U17" s="334"/>
      <c r="V17" s="334"/>
      <c r="W17" s="334"/>
      <c r="X17" s="334"/>
      <c r="Y17" s="334"/>
      <c r="Z17" s="334"/>
      <c r="AA17" s="334"/>
      <c r="AB17" s="334"/>
      <c r="AC17" s="334"/>
      <c r="AD17" s="334"/>
      <c r="AE17" s="334"/>
      <c r="AF17" s="334"/>
      <c r="AG17" s="334"/>
      <c r="AH17" s="334"/>
      <c r="AI17" s="334"/>
      <c r="AJ17" s="334"/>
      <c r="AK17" s="334"/>
      <c r="AL17" s="334"/>
      <c r="AM17" s="334"/>
      <c r="AN17" s="324">
        <f>AI33</f>
        <v>7613</v>
      </c>
      <c r="AO17" s="334"/>
      <c r="AP17" s="334"/>
      <c r="AQ17" s="334"/>
      <c r="AR17" s="334"/>
      <c r="AS17" s="324">
        <f>AN33</f>
        <v>7758.8</v>
      </c>
      <c r="AT17" s="334"/>
      <c r="AU17" s="334"/>
      <c r="AV17" s="334"/>
      <c r="AW17" s="334"/>
      <c r="AX17" s="324">
        <f t="shared" ref="AX17" si="0">AS33</f>
        <v>7941.5466666666662</v>
      </c>
      <c r="AY17" s="334"/>
      <c r="AZ17" s="334"/>
      <c r="BA17" s="334"/>
      <c r="BB17" s="334"/>
      <c r="BC17" s="324">
        <f t="shared" ref="BC17" si="1">AX33</f>
        <v>8058.7768888888877</v>
      </c>
      <c r="BD17" s="334"/>
      <c r="BE17" s="334"/>
      <c r="BF17" s="334"/>
      <c r="BG17" s="334"/>
      <c r="BH17" s="324">
        <f t="shared" ref="BH17" si="2">BC33</f>
        <v>8114.8584296296285</v>
      </c>
    </row>
    <row r="18" spans="1:60">
      <c r="A18" s="335" t="s">
        <v>422</v>
      </c>
      <c r="B18" s="327"/>
      <c r="C18" s="327"/>
      <c r="D18" s="327"/>
      <c r="E18" s="328"/>
      <c r="F18" s="334"/>
      <c r="G18" s="334"/>
      <c r="H18" s="334"/>
      <c r="I18" s="334"/>
      <c r="J18" s="334"/>
      <c r="K18" s="334"/>
      <c r="L18" s="334"/>
      <c r="M18" s="334"/>
      <c r="N18" s="334"/>
      <c r="O18" s="334"/>
      <c r="P18" s="334"/>
      <c r="Q18" s="334"/>
      <c r="R18" s="334"/>
      <c r="S18" s="334"/>
      <c r="T18" s="334"/>
      <c r="U18" s="334"/>
      <c r="V18" s="334"/>
      <c r="W18" s="334"/>
      <c r="X18" s="334"/>
      <c r="Y18" s="334"/>
      <c r="Z18" s="334"/>
      <c r="AA18" s="334"/>
      <c r="AB18" s="334"/>
      <c r="AC18" s="334"/>
      <c r="AD18" s="334"/>
      <c r="AE18" s="334"/>
      <c r="AF18" s="334"/>
      <c r="AG18" s="334"/>
      <c r="AH18" s="334"/>
      <c r="AI18" s="334"/>
      <c r="AJ18" s="334"/>
      <c r="AK18" s="334"/>
      <c r="AL18" s="334"/>
      <c r="AM18" s="334"/>
      <c r="AN18" s="324">
        <f>AN12</f>
        <v>700</v>
      </c>
      <c r="AO18" s="334"/>
      <c r="AP18" s="334"/>
      <c r="AQ18" s="334"/>
      <c r="AR18" s="334"/>
      <c r="AS18" s="324">
        <f>AS12</f>
        <v>800</v>
      </c>
      <c r="AT18" s="334"/>
      <c r="AU18" s="334"/>
      <c r="AV18" s="334"/>
      <c r="AW18" s="334"/>
      <c r="AX18" s="324">
        <f>AX12</f>
        <v>800</v>
      </c>
      <c r="AY18" s="334"/>
      <c r="AZ18" s="334"/>
      <c r="BA18" s="334"/>
      <c r="BB18" s="334"/>
      <c r="BC18" s="324">
        <f>BC12</f>
        <v>800</v>
      </c>
      <c r="BD18" s="334"/>
      <c r="BE18" s="334"/>
      <c r="BF18" s="334"/>
      <c r="BG18" s="334"/>
      <c r="BH18" s="324">
        <f>BH12</f>
        <v>800</v>
      </c>
    </row>
    <row r="19" spans="1:60">
      <c r="A19" s="335" t="s">
        <v>423</v>
      </c>
      <c r="B19" s="327"/>
      <c r="C19" s="327"/>
      <c r="D19" s="327"/>
      <c r="E19" s="328"/>
      <c r="F19" s="334"/>
      <c r="G19" s="334"/>
      <c r="H19" s="334"/>
      <c r="I19" s="334"/>
      <c r="J19" s="334"/>
      <c r="K19" s="334"/>
      <c r="L19" s="334"/>
      <c r="M19" s="334"/>
      <c r="N19" s="334"/>
      <c r="O19" s="334"/>
      <c r="P19" s="334"/>
      <c r="Q19" s="334"/>
      <c r="R19" s="334"/>
      <c r="S19" s="334"/>
      <c r="T19" s="334"/>
      <c r="U19" s="334"/>
      <c r="V19" s="334"/>
      <c r="W19" s="334"/>
      <c r="X19" s="334"/>
      <c r="Y19" s="334"/>
      <c r="Z19" s="334"/>
      <c r="AA19" s="334"/>
      <c r="AB19" s="334"/>
      <c r="AC19" s="334"/>
      <c r="AD19" s="334"/>
      <c r="AE19" s="334"/>
      <c r="AF19" s="334"/>
      <c r="AG19" s="334"/>
      <c r="AH19" s="334"/>
      <c r="AI19" s="334"/>
      <c r="AJ19" s="334"/>
      <c r="AK19" s="334"/>
      <c r="AL19" s="334"/>
      <c r="AM19" s="334"/>
      <c r="AN19" s="324">
        <v>0</v>
      </c>
      <c r="AO19" s="334"/>
      <c r="AP19" s="334"/>
      <c r="AQ19" s="334"/>
      <c r="AR19" s="334"/>
      <c r="AT19" s="334"/>
      <c r="AU19" s="334"/>
      <c r="AV19" s="334"/>
      <c r="AW19" s="334"/>
      <c r="AY19" s="334"/>
      <c r="AZ19" s="334"/>
      <c r="BA19" s="334"/>
      <c r="BB19" s="334"/>
      <c r="BD19" s="334"/>
      <c r="BE19" s="334"/>
      <c r="BF19" s="334"/>
      <c r="BG19" s="334"/>
    </row>
    <row r="20" spans="1:60">
      <c r="A20" s="327"/>
      <c r="B20" s="327"/>
      <c r="C20" s="327"/>
      <c r="D20" s="327"/>
      <c r="E20" s="328"/>
      <c r="F20" s="334"/>
      <c r="G20" s="334"/>
      <c r="H20" s="334"/>
      <c r="I20" s="334"/>
      <c r="J20" s="334"/>
      <c r="K20" s="334"/>
      <c r="L20" s="334"/>
      <c r="M20" s="334"/>
      <c r="N20" s="334"/>
      <c r="O20" s="334"/>
      <c r="P20" s="334"/>
      <c r="Q20" s="334"/>
      <c r="R20" s="334"/>
      <c r="S20" s="334"/>
      <c r="T20" s="334"/>
      <c r="U20" s="334"/>
      <c r="V20" s="334"/>
      <c r="W20" s="334"/>
      <c r="X20" s="334"/>
      <c r="Y20" s="334"/>
      <c r="Z20" s="334"/>
      <c r="AA20" s="334"/>
      <c r="AB20" s="334"/>
      <c r="AC20" s="334"/>
      <c r="AD20" s="334"/>
      <c r="AE20" s="334"/>
      <c r="AF20" s="334"/>
      <c r="AG20" s="334"/>
      <c r="AH20" s="334"/>
      <c r="AI20" s="334"/>
      <c r="AJ20" s="334"/>
      <c r="AK20" s="334"/>
      <c r="AL20" s="334"/>
      <c r="AM20" s="334"/>
      <c r="AO20" s="334"/>
      <c r="AP20" s="334"/>
      <c r="AQ20" s="334"/>
      <c r="AR20" s="334"/>
      <c r="AT20" s="334"/>
      <c r="AU20" s="334"/>
      <c r="AV20" s="334"/>
      <c r="AW20" s="334"/>
      <c r="AY20" s="334"/>
      <c r="AZ20" s="334"/>
      <c r="BA20" s="334"/>
      <c r="BB20" s="334"/>
      <c r="BD20" s="334"/>
      <c r="BE20" s="334"/>
      <c r="BF20" s="334"/>
      <c r="BG20" s="334"/>
    </row>
    <row r="21" spans="1:60">
      <c r="A21" s="327" t="s">
        <v>424</v>
      </c>
      <c r="B21" s="327"/>
      <c r="C21" s="327"/>
      <c r="D21" s="327"/>
      <c r="E21" s="328"/>
      <c r="F21" s="334"/>
      <c r="G21" s="334"/>
      <c r="H21" s="334"/>
      <c r="I21" s="334"/>
      <c r="J21" s="334"/>
      <c r="K21" s="334"/>
      <c r="L21" s="334"/>
      <c r="M21" s="334"/>
      <c r="N21" s="334"/>
      <c r="O21" s="334"/>
      <c r="P21" s="334"/>
      <c r="Q21" s="334"/>
      <c r="R21" s="334"/>
      <c r="S21" s="334"/>
      <c r="T21" s="334"/>
      <c r="U21" s="334"/>
      <c r="V21" s="334"/>
      <c r="W21" s="334"/>
      <c r="X21" s="334"/>
      <c r="Y21" s="334"/>
      <c r="Z21" s="334"/>
      <c r="AA21" s="334"/>
      <c r="AB21" s="334"/>
      <c r="AC21" s="334"/>
      <c r="AD21" s="334"/>
      <c r="AE21" s="334"/>
      <c r="AF21" s="334"/>
      <c r="AG21" s="334"/>
      <c r="AH21" s="334"/>
      <c r="AI21" s="334"/>
      <c r="AJ21" s="334"/>
      <c r="AK21" s="334"/>
      <c r="AL21" s="334"/>
      <c r="AM21" s="334"/>
      <c r="AN21" s="324">
        <f>-AN17/B10</f>
        <v>-507.53333333333336</v>
      </c>
      <c r="AO21" s="334"/>
      <c r="AP21" s="334"/>
      <c r="AQ21" s="334"/>
      <c r="AR21" s="334"/>
      <c r="AS21" s="324">
        <f>-AS17/$B10</f>
        <v>-517.25333333333333</v>
      </c>
      <c r="AT21" s="334"/>
      <c r="AU21" s="334"/>
      <c r="AV21" s="334"/>
      <c r="AW21" s="334"/>
      <c r="AX21" s="324">
        <f>-AX17/$B10</f>
        <v>-529.43644444444442</v>
      </c>
      <c r="AY21" s="334"/>
      <c r="AZ21" s="334"/>
      <c r="BA21" s="334"/>
      <c r="BB21" s="334"/>
      <c r="BC21" s="324">
        <f>-BC17/$B10</f>
        <v>-537.25179259259255</v>
      </c>
      <c r="BD21" s="334"/>
      <c r="BE21" s="334"/>
      <c r="BF21" s="334"/>
      <c r="BG21" s="334"/>
      <c r="BH21" s="324">
        <f>-BH17/$B10</f>
        <v>-540.99056197530854</v>
      </c>
    </row>
    <row r="22" spans="1:60">
      <c r="A22" s="327" t="s">
        <v>425</v>
      </c>
      <c r="B22" s="327"/>
      <c r="C22" s="327"/>
      <c r="D22" s="327"/>
      <c r="E22" s="328"/>
      <c r="F22" s="334"/>
      <c r="G22" s="334"/>
      <c r="H22" s="334"/>
      <c r="I22" s="334"/>
      <c r="J22" s="334"/>
      <c r="K22" s="334"/>
      <c r="L22" s="334"/>
      <c r="M22" s="334"/>
      <c r="N22" s="334"/>
      <c r="O22" s="334"/>
      <c r="P22" s="334"/>
      <c r="Q22" s="334"/>
      <c r="R22" s="334"/>
      <c r="S22" s="334"/>
      <c r="T22" s="334"/>
      <c r="U22" s="334"/>
      <c r="V22" s="334"/>
      <c r="W22" s="334"/>
      <c r="X22" s="334"/>
      <c r="Y22" s="334"/>
      <c r="Z22" s="334"/>
      <c r="AA22" s="334"/>
      <c r="AB22" s="334"/>
      <c r="AC22" s="334"/>
      <c r="AD22" s="334"/>
      <c r="AE22" s="334"/>
      <c r="AF22" s="334"/>
      <c r="AG22" s="334"/>
      <c r="AH22" s="334"/>
      <c r="AI22" s="334"/>
      <c r="AJ22" s="334"/>
      <c r="AK22" s="334"/>
      <c r="AL22" s="334"/>
      <c r="AM22" s="334"/>
      <c r="AO22" s="334"/>
      <c r="AP22" s="334"/>
      <c r="AQ22" s="334"/>
      <c r="AR22" s="334"/>
      <c r="AT22" s="334"/>
      <c r="AU22" s="334"/>
      <c r="AV22" s="334"/>
      <c r="AW22" s="334"/>
      <c r="AY22" s="334"/>
      <c r="AZ22" s="334"/>
      <c r="BA22" s="334"/>
      <c r="BB22" s="334"/>
      <c r="BD22" s="334"/>
      <c r="BE22" s="334"/>
      <c r="BF22" s="334"/>
      <c r="BG22" s="334"/>
    </row>
    <row r="23" spans="1:60">
      <c r="A23" s="327" t="s">
        <v>33</v>
      </c>
      <c r="B23" s="327"/>
      <c r="C23" s="327"/>
      <c r="D23" s="327"/>
      <c r="E23" s="328"/>
      <c r="F23" s="334"/>
      <c r="G23" s="334"/>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c r="AF23" s="334"/>
      <c r="AG23" s="334"/>
      <c r="AH23" s="334"/>
      <c r="AI23" s="334"/>
      <c r="AJ23" s="334"/>
      <c r="AK23" s="334"/>
      <c r="AL23" s="334"/>
      <c r="AM23" s="334"/>
      <c r="AN23" s="324">
        <f>-$AN$12/$B$10</f>
        <v>-46.666666666666664</v>
      </c>
      <c r="AO23" s="334"/>
      <c r="AP23" s="334"/>
      <c r="AQ23" s="334"/>
      <c r="AR23" s="334"/>
      <c r="AS23" s="324">
        <f>-$AN$12/$B$10</f>
        <v>-46.666666666666664</v>
      </c>
      <c r="AT23" s="334"/>
      <c r="AU23" s="334"/>
      <c r="AV23" s="334"/>
      <c r="AW23" s="334"/>
      <c r="AX23" s="324">
        <f>-$AN$12/$B$10</f>
        <v>-46.666666666666664</v>
      </c>
      <c r="AY23" s="334"/>
      <c r="AZ23" s="334"/>
      <c r="BA23" s="334"/>
      <c r="BB23" s="334"/>
      <c r="BC23" s="324">
        <f>-$AN$12/$B$10</f>
        <v>-46.666666666666664</v>
      </c>
      <c r="BD23" s="334"/>
      <c r="BE23" s="334"/>
      <c r="BF23" s="334"/>
      <c r="BG23" s="334"/>
      <c r="BH23" s="324">
        <f>-$AN$12/$B$10</f>
        <v>-46.666666666666664</v>
      </c>
    </row>
    <row r="24" spans="1:60">
      <c r="A24" s="327" t="s">
        <v>84</v>
      </c>
      <c r="B24" s="327">
        <f>AN12</f>
        <v>700</v>
      </c>
      <c r="C24" s="327"/>
      <c r="D24" s="327"/>
      <c r="E24" s="336"/>
      <c r="F24" s="334"/>
      <c r="G24" s="334"/>
      <c r="H24" s="334"/>
      <c r="I24" s="334"/>
      <c r="J24" s="334"/>
      <c r="K24" s="334"/>
      <c r="L24" s="334"/>
      <c r="M24" s="334"/>
      <c r="N24" s="334"/>
      <c r="O24" s="334"/>
      <c r="P24" s="334"/>
      <c r="Q24" s="334"/>
      <c r="R24" s="334"/>
      <c r="S24" s="334"/>
      <c r="T24" s="334"/>
      <c r="U24" s="334"/>
      <c r="V24" s="334"/>
      <c r="W24" s="334"/>
      <c r="X24" s="334"/>
      <c r="Y24" s="334"/>
      <c r="Z24" s="334"/>
      <c r="AA24" s="334"/>
      <c r="AB24" s="334"/>
      <c r="AC24" s="334"/>
      <c r="AD24" s="334"/>
      <c r="AE24" s="334"/>
      <c r="AF24" s="334"/>
      <c r="AG24" s="334"/>
      <c r="AH24" s="334"/>
      <c r="AI24" s="334"/>
      <c r="AJ24" s="334"/>
      <c r="AK24" s="334"/>
      <c r="AL24" s="334"/>
      <c r="AM24" s="334"/>
      <c r="AN24" s="334"/>
      <c r="AO24" s="334"/>
      <c r="AP24" s="334"/>
      <c r="AQ24" s="334"/>
      <c r="AR24" s="334"/>
      <c r="AS24" s="324">
        <f>-$AS$18/$B$10</f>
        <v>-53.333333333333336</v>
      </c>
      <c r="AT24" s="334"/>
      <c r="AU24" s="334"/>
      <c r="AV24" s="334"/>
      <c r="AW24" s="334"/>
      <c r="AX24" s="324">
        <f>-$AS$18/$B$10</f>
        <v>-53.333333333333336</v>
      </c>
      <c r="AY24" s="334"/>
      <c r="AZ24" s="334"/>
      <c r="BA24" s="334"/>
      <c r="BB24" s="334"/>
      <c r="BC24" s="324">
        <f>-$AS$18/$B$10</f>
        <v>-53.333333333333336</v>
      </c>
      <c r="BD24" s="334"/>
      <c r="BE24" s="334"/>
      <c r="BF24" s="334"/>
      <c r="BG24" s="334"/>
      <c r="BH24" s="324">
        <f>-$AS$18/$B$10</f>
        <v>-53.333333333333336</v>
      </c>
    </row>
    <row r="25" spans="1:60">
      <c r="A25" s="327" t="s">
        <v>85</v>
      </c>
      <c r="B25" s="327">
        <f>AS12</f>
        <v>800</v>
      </c>
      <c r="C25" s="327"/>
      <c r="D25" s="327"/>
      <c r="E25" s="336"/>
      <c r="F25" s="334"/>
      <c r="G25" s="334"/>
      <c r="H25" s="334"/>
      <c r="I25" s="334"/>
      <c r="J25" s="334"/>
      <c r="K25" s="334"/>
      <c r="L25" s="334"/>
      <c r="M25" s="334"/>
      <c r="N25" s="334"/>
      <c r="O25" s="334"/>
      <c r="P25" s="334"/>
      <c r="Q25" s="334"/>
      <c r="R25" s="334"/>
      <c r="S25" s="334"/>
      <c r="T25" s="334"/>
      <c r="U25" s="334"/>
      <c r="V25" s="334"/>
      <c r="W25" s="334"/>
      <c r="X25" s="334"/>
      <c r="Y25" s="334"/>
      <c r="Z25" s="334"/>
      <c r="AA25" s="334"/>
      <c r="AB25" s="334"/>
      <c r="AC25" s="334"/>
      <c r="AD25" s="334"/>
      <c r="AE25" s="334"/>
      <c r="AF25" s="334"/>
      <c r="AG25" s="334"/>
      <c r="AH25" s="334"/>
      <c r="AI25" s="334"/>
      <c r="AJ25" s="334"/>
      <c r="AK25" s="334"/>
      <c r="AL25" s="334"/>
      <c r="AM25" s="334"/>
      <c r="AN25" s="334"/>
      <c r="AO25" s="334"/>
      <c r="AP25" s="334"/>
      <c r="AQ25" s="334"/>
      <c r="AR25" s="334"/>
      <c r="AS25" s="334"/>
      <c r="AT25" s="334"/>
      <c r="AU25" s="334"/>
      <c r="AV25" s="334"/>
      <c r="AW25" s="334"/>
      <c r="AX25" s="324">
        <f>-$AX$18/$B$10</f>
        <v>-53.333333333333336</v>
      </c>
      <c r="AY25" s="334"/>
      <c r="AZ25" s="334"/>
      <c r="BA25" s="334"/>
      <c r="BB25" s="334"/>
      <c r="BC25" s="324">
        <f>-$AX$18/$B$10</f>
        <v>-53.333333333333336</v>
      </c>
      <c r="BD25" s="334"/>
      <c r="BE25" s="334"/>
      <c r="BF25" s="334"/>
      <c r="BG25" s="334"/>
      <c r="BH25" s="324">
        <f>-$AX$18/$B$10</f>
        <v>-53.333333333333336</v>
      </c>
    </row>
    <row r="26" spans="1:60">
      <c r="A26" s="327" t="s">
        <v>86</v>
      </c>
      <c r="B26" s="327">
        <f>AX12</f>
        <v>800</v>
      </c>
      <c r="C26" s="327"/>
      <c r="D26" s="327"/>
      <c r="E26" s="336"/>
      <c r="F26" s="334"/>
      <c r="G26" s="334"/>
      <c r="H26" s="334"/>
      <c r="I26" s="334"/>
      <c r="J26" s="334"/>
      <c r="K26" s="334"/>
      <c r="L26" s="334"/>
      <c r="M26" s="334"/>
      <c r="N26" s="334"/>
      <c r="O26" s="334"/>
      <c r="P26" s="334"/>
      <c r="Q26" s="334"/>
      <c r="R26" s="334"/>
      <c r="S26" s="334"/>
      <c r="T26" s="334"/>
      <c r="U26" s="334"/>
      <c r="V26" s="334"/>
      <c r="W26" s="334"/>
      <c r="X26" s="334"/>
      <c r="Y26" s="334"/>
      <c r="Z26" s="334"/>
      <c r="AA26" s="334"/>
      <c r="AB26" s="334"/>
      <c r="AC26" s="334"/>
      <c r="AD26" s="334"/>
      <c r="AE26" s="334"/>
      <c r="AF26" s="334"/>
      <c r="AG26" s="334"/>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24">
        <f>-BC18/$B10</f>
        <v>-53.333333333333336</v>
      </c>
      <c r="BD26" s="334"/>
      <c r="BE26" s="334"/>
      <c r="BF26" s="334"/>
      <c r="BG26" s="334"/>
      <c r="BH26" s="324">
        <f>-BH18/$B10</f>
        <v>-53.333333333333336</v>
      </c>
    </row>
    <row r="27" spans="1:60">
      <c r="A27" s="327" t="s">
        <v>415</v>
      </c>
      <c r="B27" s="327">
        <f>BC12</f>
        <v>800</v>
      </c>
      <c r="C27" s="327"/>
      <c r="D27" s="327"/>
      <c r="E27" s="336"/>
      <c r="F27" s="334"/>
      <c r="G27" s="334"/>
      <c r="H27" s="334"/>
      <c r="I27" s="334"/>
      <c r="J27" s="334"/>
      <c r="K27" s="334"/>
      <c r="L27" s="334"/>
      <c r="M27" s="334"/>
      <c r="N27" s="334"/>
      <c r="O27" s="334"/>
      <c r="P27" s="334"/>
      <c r="Q27" s="334"/>
      <c r="R27" s="334"/>
      <c r="S27" s="334"/>
      <c r="T27" s="334"/>
      <c r="U27" s="334"/>
      <c r="V27" s="334"/>
      <c r="W27" s="334"/>
      <c r="X27" s="334"/>
      <c r="Y27" s="334"/>
      <c r="Z27" s="334"/>
      <c r="AA27" s="334"/>
      <c r="AB27" s="334"/>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4"/>
      <c r="BD27" s="334"/>
      <c r="BE27" s="334"/>
      <c r="BF27" s="334"/>
      <c r="BG27" s="334"/>
      <c r="BH27" s="324">
        <f>-BH18/$B10</f>
        <v>-53.333333333333336</v>
      </c>
    </row>
    <row r="28" spans="1:60">
      <c r="B28" s="327">
        <f>BH12</f>
        <v>800</v>
      </c>
      <c r="C28" s="327"/>
      <c r="D28" s="327"/>
      <c r="E28" s="336"/>
      <c r="F28" s="334"/>
      <c r="G28" s="334"/>
      <c r="H28" s="334"/>
      <c r="I28" s="334"/>
      <c r="J28" s="334"/>
      <c r="K28" s="334"/>
      <c r="L28" s="334"/>
      <c r="M28" s="334"/>
      <c r="N28" s="334"/>
      <c r="O28" s="334"/>
      <c r="P28" s="334"/>
      <c r="Q28" s="334"/>
      <c r="R28" s="334"/>
      <c r="S28" s="334"/>
      <c r="T28" s="334"/>
      <c r="U28" s="334"/>
      <c r="V28" s="334"/>
      <c r="W28" s="334"/>
      <c r="X28" s="334"/>
      <c r="Y28" s="334"/>
      <c r="Z28" s="334"/>
      <c r="AA28" s="334"/>
      <c r="AB28" s="334"/>
      <c r="AC28" s="334"/>
      <c r="AD28" s="334"/>
      <c r="AE28" s="334"/>
      <c r="AF28" s="334"/>
      <c r="AG28" s="334"/>
      <c r="AH28" s="334"/>
      <c r="AI28" s="334"/>
      <c r="AJ28" s="334"/>
      <c r="AK28" s="334"/>
      <c r="AL28" s="334"/>
      <c r="AM28" s="334"/>
      <c r="AN28" s="334"/>
      <c r="AO28" s="334"/>
      <c r="AP28" s="334"/>
      <c r="AQ28" s="334"/>
      <c r="AR28" s="334"/>
      <c r="AS28" s="334"/>
      <c r="AT28" s="334"/>
      <c r="AU28" s="334"/>
      <c r="AV28" s="334"/>
      <c r="AW28" s="334"/>
      <c r="AX28" s="334"/>
      <c r="AY28" s="334"/>
      <c r="AZ28" s="334"/>
      <c r="BA28" s="334"/>
      <c r="BB28" s="334"/>
      <c r="BC28" s="334"/>
      <c r="BD28" s="334"/>
      <c r="BE28" s="334"/>
      <c r="BF28" s="334"/>
      <c r="BG28" s="334"/>
      <c r="BH28" s="334"/>
    </row>
    <row r="29" spans="1:60">
      <c r="A29" s="337" t="s">
        <v>426</v>
      </c>
      <c r="B29" s="337"/>
      <c r="C29" s="337"/>
      <c r="D29" s="337"/>
      <c r="E29" s="338" t="s">
        <v>417</v>
      </c>
      <c r="AN29" s="324">
        <f>SUM(AN23:AN28)</f>
        <v>-46.666666666666664</v>
      </c>
      <c r="AS29" s="324">
        <f>SUM(AS23:AS28)</f>
        <v>-100</v>
      </c>
      <c r="AX29" s="324">
        <f>SUM(AX23:AX28)</f>
        <v>-153.33333333333334</v>
      </c>
      <c r="BC29" s="324">
        <f>SUM(BC23:BC28)</f>
        <v>-206.66666666666669</v>
      </c>
      <c r="BH29" s="324">
        <f>SUM(BH23:BH27)</f>
        <v>-260</v>
      </c>
    </row>
    <row r="30" spans="1:60">
      <c r="A30" s="327"/>
      <c r="B30" s="327"/>
      <c r="C30" s="327"/>
      <c r="D30" s="327"/>
      <c r="E30" s="328"/>
    </row>
    <row r="31" spans="1:60">
      <c r="A31" s="327" t="s">
        <v>427</v>
      </c>
      <c r="B31" s="327"/>
      <c r="C31" s="327"/>
      <c r="D31" s="327"/>
      <c r="E31" s="328" t="s">
        <v>417</v>
      </c>
      <c r="AN31" s="324">
        <f>SUM(AN21,AN29)</f>
        <v>-554.20000000000005</v>
      </c>
      <c r="AS31" s="324">
        <f>SUM(AS21,AS29)</f>
        <v>-617.25333333333333</v>
      </c>
      <c r="AX31" s="324">
        <f t="shared" ref="AX31" si="3">SUM(AX21,AX29)</f>
        <v>-682.76977777777779</v>
      </c>
      <c r="BC31" s="324">
        <f>SUM(BC21,BC29)</f>
        <v>-743.91845925925918</v>
      </c>
      <c r="BH31" s="324">
        <f t="shared" ref="BH31" si="4">SUM(BH21,BH29)</f>
        <v>-800.99056197530854</v>
      </c>
    </row>
    <row r="32" spans="1:60">
      <c r="A32" s="327"/>
      <c r="B32" s="327"/>
      <c r="C32" s="327"/>
      <c r="D32" s="327"/>
      <c r="E32" s="328"/>
    </row>
    <row r="33" spans="1:60">
      <c r="A33" s="664" t="s">
        <v>428</v>
      </c>
      <c r="B33" s="664"/>
      <c r="C33" s="664"/>
      <c r="D33" s="664"/>
      <c r="E33" s="665" t="s">
        <v>417</v>
      </c>
      <c r="F33" s="666">
        <f>BS!C33</f>
        <v>6575</v>
      </c>
      <c r="G33" s="666">
        <f>BS!D33</f>
        <v>6547</v>
      </c>
      <c r="H33" s="666">
        <f>BS!E33</f>
        <v>6572</v>
      </c>
      <c r="I33" s="666">
        <f>BS!F33</f>
        <v>6637</v>
      </c>
      <c r="J33" s="667">
        <f>BS!G33</f>
        <v>6637</v>
      </c>
      <c r="K33" s="666">
        <f>BS!H33</f>
        <v>9130</v>
      </c>
      <c r="L33" s="666">
        <f>BS!I33</f>
        <v>9119</v>
      </c>
      <c r="M33" s="666">
        <f>BS!J33</f>
        <v>9154</v>
      </c>
      <c r="N33" s="666">
        <f>BS!K33</f>
        <v>9301</v>
      </c>
      <c r="O33" s="667">
        <f>BS!L33</f>
        <v>9301</v>
      </c>
      <c r="P33" s="666">
        <f>BS!M33</f>
        <v>9097</v>
      </c>
      <c r="Q33" s="666">
        <f>BS!N33</f>
        <v>9314</v>
      </c>
      <c r="R33" s="666">
        <f>BS!O33</f>
        <v>9150</v>
      </c>
      <c r="S33" s="666">
        <f>BS!P33</f>
        <v>8818</v>
      </c>
      <c r="T33" s="667">
        <f>BS!Q33</f>
        <v>8818</v>
      </c>
      <c r="U33" s="666">
        <f>BS!R33</f>
        <v>8651</v>
      </c>
      <c r="V33" s="666">
        <f>BS!S33</f>
        <v>8532</v>
      </c>
      <c r="W33" s="666">
        <f>BS!T33</f>
        <v>8408</v>
      </c>
      <c r="X33" s="666">
        <f>BS!U33</f>
        <v>8473</v>
      </c>
      <c r="Y33" s="667">
        <f>BS!V33</f>
        <v>8473</v>
      </c>
      <c r="Z33" s="666">
        <f>BS!W33</f>
        <v>8337</v>
      </c>
      <c r="AA33" s="666">
        <f>BS!X33</f>
        <v>8371</v>
      </c>
      <c r="AB33" s="666">
        <f>BS!Y33</f>
        <v>8530</v>
      </c>
      <c r="AC33" s="666">
        <f>BS!Z33</f>
        <v>8596</v>
      </c>
      <c r="AD33" s="667">
        <f>BS!AA33</f>
        <v>8596</v>
      </c>
      <c r="AE33" s="666">
        <f>BS!AB33</f>
        <v>8579</v>
      </c>
      <c r="AF33" s="666">
        <f>BS!AC33</f>
        <v>8568</v>
      </c>
      <c r="AG33" s="666">
        <f>BS!AD33</f>
        <v>8597</v>
      </c>
      <c r="AH33" s="666">
        <f>BS!AE33</f>
        <v>7613</v>
      </c>
      <c r="AI33" s="667">
        <f>BS!AF33</f>
        <v>7613</v>
      </c>
      <c r="AJ33" s="666"/>
      <c r="AK33" s="666"/>
      <c r="AL33" s="666"/>
      <c r="AM33" s="666"/>
      <c r="AN33" s="666">
        <f>SUM(AN17,AN18,AN19,AN31)</f>
        <v>7758.8</v>
      </c>
      <c r="AO33" s="666"/>
      <c r="AP33" s="666"/>
      <c r="AQ33" s="666"/>
      <c r="AR33" s="666"/>
      <c r="AS33" s="666">
        <f>SUM(AS17,AS18,AS19,AS31)</f>
        <v>7941.5466666666662</v>
      </c>
      <c r="AT33" s="666"/>
      <c r="AU33" s="666"/>
      <c r="AV33" s="666"/>
      <c r="AW33" s="666"/>
      <c r="AX33" s="666">
        <f>SUM(AX17,AX18,AX19,AX31)</f>
        <v>8058.7768888888877</v>
      </c>
      <c r="AY33" s="666"/>
      <c r="AZ33" s="666"/>
      <c r="BA33" s="666"/>
      <c r="BB33" s="666"/>
      <c r="BC33" s="666">
        <f>SUM(BC17,BC18,BC19,BC31)</f>
        <v>8114.8584296296285</v>
      </c>
      <c r="BD33" s="666"/>
      <c r="BE33" s="666"/>
      <c r="BF33" s="666"/>
      <c r="BG33" s="666"/>
      <c r="BH33" s="666">
        <f>SUM(BH17,BH18,BH19,BH31)</f>
        <v>8113.8678676543204</v>
      </c>
    </row>
    <row r="34" spans="1:60">
      <c r="A34" s="327"/>
      <c r="B34" s="327"/>
      <c r="C34" s="327"/>
      <c r="D34" s="327"/>
      <c r="E34" s="328"/>
    </row>
    <row r="35" spans="1:60">
      <c r="C35" s="327"/>
      <c r="D35" s="327"/>
      <c r="E35" s="328"/>
    </row>
    <row r="36" spans="1:60">
      <c r="A36" s="327"/>
      <c r="B36" s="327"/>
      <c r="C36" s="327"/>
      <c r="D36" s="327"/>
      <c r="E36" s="328"/>
      <c r="F36" s="339"/>
      <c r="G36" s="327"/>
    </row>
    <row r="37" spans="1:60">
      <c r="A37" s="332"/>
      <c r="B37" s="340"/>
    </row>
  </sheetData>
  <mergeCells count="2">
    <mergeCell ref="F8:AI8"/>
    <mergeCell ref="AJ8:BH8"/>
  </mergeCells>
  <phoneticPr fontId="6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44F11-1DA9-4063-A3B4-346168576666}">
  <sheetPr codeName="Sheet8"/>
  <dimension ref="B2:N23"/>
  <sheetViews>
    <sheetView zoomScale="125" workbookViewId="0">
      <selection activeCell="S20" sqref="S20"/>
    </sheetView>
  </sheetViews>
  <sheetFormatPr defaultColWidth="8.8125" defaultRowHeight="14.25"/>
  <cols>
    <col min="1" max="1" width="8.8125" style="483"/>
    <col min="2" max="2" width="29.3125" style="483" bestFit="1" customWidth="1"/>
    <col min="3" max="16384" width="8.8125" style="483"/>
  </cols>
  <sheetData>
    <row r="2" spans="2:13">
      <c r="B2" s="480" t="s">
        <v>429</v>
      </c>
      <c r="C2" s="481"/>
      <c r="D2" s="482" t="s">
        <v>430</v>
      </c>
      <c r="E2" s="481"/>
      <c r="F2" s="481"/>
      <c r="G2" s="481"/>
      <c r="H2" s="481"/>
      <c r="I2" s="481"/>
      <c r="J2" s="481"/>
      <c r="K2" s="481"/>
      <c r="L2" s="481"/>
      <c r="M2" s="481"/>
    </row>
    <row r="3" spans="2:13">
      <c r="B3" s="481"/>
      <c r="C3" s="481"/>
      <c r="D3" s="484">
        <v>2024</v>
      </c>
      <c r="E3" s="484">
        <v>2023</v>
      </c>
      <c r="F3" s="484">
        <v>2022</v>
      </c>
      <c r="G3" s="484">
        <v>2021</v>
      </c>
      <c r="H3" s="484">
        <v>2020</v>
      </c>
      <c r="I3" s="481"/>
      <c r="J3" s="481">
        <v>2025</v>
      </c>
      <c r="K3" s="481">
        <v>2026</v>
      </c>
      <c r="L3" s="481"/>
      <c r="M3" s="481"/>
    </row>
    <row r="4" spans="2:13">
      <c r="B4" s="481"/>
      <c r="C4" s="481"/>
      <c r="D4" s="668"/>
      <c r="E4" s="668"/>
      <c r="F4" s="668"/>
      <c r="G4" s="668"/>
      <c r="H4" s="668"/>
      <c r="I4" s="481"/>
      <c r="J4" s="481"/>
      <c r="K4" s="481"/>
      <c r="L4" s="481"/>
      <c r="M4" s="481"/>
    </row>
    <row r="5" spans="2:13">
      <c r="B5" s="481" t="s">
        <v>431</v>
      </c>
      <c r="C5" s="481"/>
      <c r="D5" s="484">
        <v>390</v>
      </c>
      <c r="E5" s="484">
        <v>435</v>
      </c>
      <c r="F5" s="484">
        <v>441</v>
      </c>
      <c r="G5" s="484">
        <f>51+395</f>
        <v>446</v>
      </c>
      <c r="H5" s="484">
        <f>58+395</f>
        <v>453</v>
      </c>
      <c r="I5" s="481"/>
      <c r="J5" s="481"/>
      <c r="K5" s="481"/>
      <c r="L5" s="481"/>
      <c r="M5" s="481"/>
    </row>
    <row r="6" spans="2:13">
      <c r="B6" s="481" t="s">
        <v>432</v>
      </c>
      <c r="C6" s="481"/>
      <c r="D6" s="484">
        <v>34</v>
      </c>
      <c r="E6" s="484">
        <v>45</v>
      </c>
      <c r="F6" s="484">
        <v>46</v>
      </c>
      <c r="G6" s="484">
        <v>47</v>
      </c>
      <c r="H6" s="484">
        <v>47</v>
      </c>
      <c r="I6" s="481"/>
      <c r="J6" s="481"/>
      <c r="K6" s="481"/>
      <c r="L6" s="481"/>
      <c r="M6" s="481"/>
    </row>
    <row r="7" spans="2:13">
      <c r="B7" s="481" t="s">
        <v>433</v>
      </c>
      <c r="C7" s="481"/>
      <c r="D7" s="484">
        <v>1</v>
      </c>
      <c r="E7" s="484">
        <v>1</v>
      </c>
      <c r="F7" s="484">
        <v>1</v>
      </c>
      <c r="G7" s="484">
        <v>2</v>
      </c>
      <c r="H7" s="484">
        <v>2</v>
      </c>
      <c r="I7" s="481"/>
      <c r="J7" s="481"/>
      <c r="K7" s="481"/>
      <c r="L7" s="481"/>
      <c r="M7" s="481"/>
    </row>
    <row r="8" spans="2:13">
      <c r="B8" s="481" t="s">
        <v>434</v>
      </c>
      <c r="C8" s="481"/>
      <c r="D8" s="485">
        <v>5</v>
      </c>
      <c r="E8" s="485">
        <v>9</v>
      </c>
      <c r="F8" s="485">
        <v>9</v>
      </c>
      <c r="G8" s="485">
        <v>8</v>
      </c>
      <c r="H8" s="485">
        <v>6</v>
      </c>
      <c r="I8" s="481"/>
      <c r="J8" s="481"/>
      <c r="K8" s="481"/>
      <c r="L8" s="481"/>
      <c r="M8" s="481"/>
    </row>
    <row r="9" spans="2:13">
      <c r="B9" s="481" t="s">
        <v>435</v>
      </c>
      <c r="C9" s="481"/>
      <c r="D9" s="485">
        <v>20</v>
      </c>
      <c r="E9" s="485">
        <v>12</v>
      </c>
      <c r="F9" s="485">
        <v>8</v>
      </c>
      <c r="G9" s="485">
        <v>5</v>
      </c>
      <c r="H9" s="485">
        <v>2</v>
      </c>
      <c r="I9" s="481"/>
      <c r="J9" s="481"/>
      <c r="K9" s="481"/>
      <c r="L9" s="481"/>
      <c r="M9" s="481"/>
    </row>
    <row r="10" spans="2:13">
      <c r="B10" s="481" t="s">
        <v>436</v>
      </c>
      <c r="C10" s="481"/>
      <c r="D10" s="485"/>
      <c r="E10" s="485"/>
      <c r="F10" s="485">
        <v>2</v>
      </c>
      <c r="G10" s="485">
        <v>2</v>
      </c>
      <c r="H10" s="485">
        <v>2</v>
      </c>
      <c r="I10" s="481"/>
      <c r="J10" s="481"/>
      <c r="K10" s="481"/>
      <c r="L10" s="481"/>
      <c r="M10" s="481"/>
    </row>
    <row r="11" spans="2:13" ht="14.65" thickBot="1">
      <c r="B11" s="481" t="s">
        <v>437</v>
      </c>
      <c r="C11" s="481"/>
      <c r="D11" s="669">
        <v>450</v>
      </c>
      <c r="E11" s="669">
        <v>502</v>
      </c>
      <c r="F11" s="669">
        <v>507</v>
      </c>
      <c r="G11" s="669">
        <v>510</v>
      </c>
      <c r="H11" s="669">
        <v>512</v>
      </c>
      <c r="I11" s="481"/>
      <c r="J11" s="669">
        <f>D11-50</f>
        <v>400</v>
      </c>
      <c r="K11" s="669">
        <f>J11-50</f>
        <v>350</v>
      </c>
      <c r="L11" s="481"/>
      <c r="M11" s="481"/>
    </row>
    <row r="12" spans="2:13" ht="14.65" thickTop="1">
      <c r="B12" s="481"/>
      <c r="C12" s="481"/>
      <c r="D12" s="484"/>
      <c r="E12" s="484"/>
      <c r="F12" s="484"/>
      <c r="G12" s="484"/>
      <c r="H12" s="484"/>
      <c r="I12" s="481"/>
      <c r="J12" s="481"/>
      <c r="K12" s="481"/>
      <c r="L12" s="481"/>
      <c r="M12" s="481"/>
    </row>
    <row r="13" spans="2:13">
      <c r="B13" s="481"/>
      <c r="C13" s="481"/>
      <c r="D13" s="481"/>
      <c r="E13" s="481"/>
      <c r="F13" s="481"/>
      <c r="G13" s="481"/>
      <c r="H13" s="481"/>
      <c r="I13" s="481"/>
      <c r="J13" s="481"/>
      <c r="K13" s="481"/>
      <c r="L13" s="481"/>
      <c r="M13" s="481"/>
    </row>
    <row r="14" spans="2:13">
      <c r="B14" s="481" t="s">
        <v>438</v>
      </c>
      <c r="C14" s="481"/>
      <c r="D14" s="485">
        <v>31</v>
      </c>
      <c r="E14" s="485">
        <v>32</v>
      </c>
      <c r="F14" s="485">
        <v>32</v>
      </c>
      <c r="G14" s="485">
        <v>33</v>
      </c>
      <c r="H14" s="485">
        <v>33</v>
      </c>
      <c r="I14" s="481"/>
      <c r="J14" s="481"/>
      <c r="K14" s="481"/>
      <c r="L14" s="481"/>
      <c r="M14" s="481"/>
    </row>
    <row r="15" spans="2:13">
      <c r="B15" s="481" t="s">
        <v>439</v>
      </c>
      <c r="C15" s="481"/>
      <c r="D15" s="485">
        <v>4</v>
      </c>
      <c r="E15" s="485">
        <v>3</v>
      </c>
      <c r="F15" s="485">
        <v>2</v>
      </c>
      <c r="G15" s="485">
        <v>1</v>
      </c>
      <c r="H15" s="485">
        <v>0</v>
      </c>
      <c r="I15" s="481"/>
      <c r="J15" s="481"/>
      <c r="K15" s="481"/>
      <c r="L15" s="481"/>
      <c r="M15" s="481"/>
    </row>
    <row r="16" spans="2:13">
      <c r="B16" s="481" t="s">
        <v>440</v>
      </c>
      <c r="C16" s="481"/>
      <c r="D16" s="485">
        <v>1</v>
      </c>
      <c r="E16" s="485">
        <v>1</v>
      </c>
      <c r="F16" s="485">
        <v>1</v>
      </c>
      <c r="G16" s="485">
        <v>1</v>
      </c>
      <c r="H16" s="485">
        <v>1</v>
      </c>
      <c r="I16" s="481"/>
      <c r="J16" s="481"/>
      <c r="K16" s="481"/>
      <c r="L16" s="481"/>
      <c r="M16" s="481"/>
    </row>
    <row r="17" spans="2:14">
      <c r="B17" s="481" t="s">
        <v>441</v>
      </c>
      <c r="C17" s="481"/>
      <c r="D17" s="485">
        <v>23</v>
      </c>
      <c r="E17" s="485">
        <v>21</v>
      </c>
      <c r="F17" s="485">
        <v>20</v>
      </c>
      <c r="G17" s="485">
        <v>20</v>
      </c>
      <c r="H17" s="485">
        <v>19</v>
      </c>
      <c r="I17" s="481"/>
      <c r="J17" s="481"/>
      <c r="K17" s="481"/>
      <c r="L17" s="481"/>
      <c r="M17" s="481"/>
    </row>
    <row r="18" spans="2:14" ht="14.65" thickBot="1">
      <c r="B18" s="481" t="s">
        <v>442</v>
      </c>
      <c r="C18" s="481"/>
      <c r="D18" s="670">
        <v>59</v>
      </c>
      <c r="E18" s="670">
        <v>57</v>
      </c>
      <c r="F18" s="670">
        <v>55</v>
      </c>
      <c r="G18" s="670">
        <v>55</v>
      </c>
      <c r="H18" s="670">
        <v>53</v>
      </c>
      <c r="I18" s="481"/>
      <c r="J18" s="670">
        <f>ROUND(D18*SQRT(1.2),0)+2</f>
        <v>67</v>
      </c>
      <c r="K18" s="670">
        <f>ROUND(J18*SQRT(1.2),0)+1</f>
        <v>74</v>
      </c>
      <c r="L18" s="481"/>
      <c r="M18" s="486">
        <f>K18-D18</f>
        <v>15</v>
      </c>
      <c r="N18" s="487">
        <f>K18/D18</f>
        <v>1.2542372881355932</v>
      </c>
    </row>
    <row r="19" spans="2:14" ht="14.65" thickTop="1">
      <c r="B19" s="481"/>
      <c r="C19" s="481"/>
      <c r="D19" s="485"/>
      <c r="E19" s="485"/>
      <c r="F19" s="485"/>
      <c r="G19" s="485"/>
      <c r="H19" s="485"/>
      <c r="I19" s="481"/>
      <c r="J19" s="481"/>
      <c r="K19" s="481"/>
      <c r="L19" s="481"/>
      <c r="N19" s="481"/>
    </row>
    <row r="20" spans="2:14">
      <c r="B20" s="481" t="s">
        <v>443</v>
      </c>
      <c r="C20" s="481"/>
      <c r="D20" s="485">
        <v>171</v>
      </c>
      <c r="E20" s="485">
        <v>159</v>
      </c>
      <c r="F20" s="485">
        <v>160</v>
      </c>
      <c r="G20" s="485">
        <v>160</v>
      </c>
      <c r="H20" s="485">
        <v>162</v>
      </c>
      <c r="I20" s="481"/>
      <c r="J20" s="485">
        <f>ROUND(D20*SQRT(1.2),0)</f>
        <v>187</v>
      </c>
      <c r="K20" s="485">
        <f>ROUND(J20*SQRT(1.2),0)</f>
        <v>205</v>
      </c>
      <c r="L20" s="481"/>
      <c r="M20" s="486">
        <f>K20-D20</f>
        <v>34</v>
      </c>
      <c r="N20" s="487">
        <f>K20/D20</f>
        <v>1.1988304093567252</v>
      </c>
    </row>
    <row r="21" spans="2:14">
      <c r="B21" s="481"/>
      <c r="C21" s="481"/>
      <c r="D21" s="484"/>
      <c r="E21" s="484"/>
      <c r="F21" s="484"/>
      <c r="G21" s="484"/>
      <c r="H21" s="484"/>
      <c r="I21" s="481"/>
      <c r="J21" s="481"/>
      <c r="K21" s="481"/>
      <c r="L21" s="481"/>
      <c r="M21" s="481"/>
    </row>
    <row r="22" spans="2:14" ht="14.65" thickBot="1">
      <c r="B22" s="481" t="s">
        <v>444</v>
      </c>
      <c r="C22" s="481"/>
      <c r="D22" s="670">
        <v>680</v>
      </c>
      <c r="E22" s="670">
        <v>718</v>
      </c>
      <c r="F22" s="670">
        <v>722</v>
      </c>
      <c r="G22" s="670">
        <v>725</v>
      </c>
      <c r="H22" s="670">
        <v>727</v>
      </c>
      <c r="I22" s="481"/>
      <c r="J22" s="670">
        <f>SUM(J11,J18,J20)</f>
        <v>654</v>
      </c>
      <c r="K22" s="670">
        <f>SUM(K11,K18,K20)</f>
        <v>629</v>
      </c>
      <c r="L22" s="481"/>
      <c r="M22" s="481"/>
    </row>
    <row r="23" spans="2:14" ht="14.65" thickTop="1">
      <c r="B23" s="481"/>
      <c r="C23" s="481"/>
      <c r="D23" s="481"/>
      <c r="E23" s="481"/>
      <c r="F23" s="481"/>
      <c r="G23" s="481"/>
      <c r="H23" s="481"/>
      <c r="I23" s="481"/>
      <c r="J23" s="481"/>
      <c r="K23" s="481"/>
      <c r="L23" s="481"/>
      <c r="M23" s="48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D9EF-070A-4D44-82B6-61A568992D69}">
  <sheetPr codeName="Sheet9"/>
  <dimension ref="A1:CB89"/>
  <sheetViews>
    <sheetView topLeftCell="A86" zoomScale="139" zoomScaleNormal="100" workbookViewId="0">
      <pane xSplit="3" topLeftCell="AG1" activePane="topRight" state="frozen"/>
      <selection pane="topRight" activeCell="AM21" sqref="AM21"/>
    </sheetView>
  </sheetViews>
  <sheetFormatPr defaultColWidth="8.8125" defaultRowHeight="15.75"/>
  <cols>
    <col min="1" max="1" width="33.8125" bestFit="1" customWidth="1"/>
    <col min="3" max="3" width="9" customWidth="1"/>
    <col min="10" max="10" width="8.8125" style="439"/>
    <col min="12" max="12" width="7.3125" bestFit="1" customWidth="1"/>
    <col min="15" max="15" width="8.8125" style="439"/>
    <col min="20" max="20" width="8.8125" style="439"/>
    <col min="25" max="25" width="8.8125" style="439"/>
    <col min="40" max="40" width="8.8125" style="439"/>
    <col min="45" max="45" width="8.8125" style="439"/>
    <col min="50" max="51" width="8.8125" style="439"/>
    <col min="54" max="54" width="13.3125" bestFit="1" customWidth="1"/>
    <col min="57" max="57" width="10" bestFit="1" customWidth="1"/>
    <col min="63" max="63" width="10" bestFit="1" customWidth="1"/>
    <col min="67" max="67" width="10" bestFit="1" customWidth="1"/>
  </cols>
  <sheetData>
    <row r="1" spans="1:80">
      <c r="A1" s="322" t="s">
        <v>445</v>
      </c>
      <c r="B1" s="322"/>
      <c r="C1" s="322"/>
      <c r="D1" s="322"/>
      <c r="E1" s="323"/>
      <c r="F1" s="322"/>
      <c r="G1" s="322"/>
      <c r="H1" s="322"/>
      <c r="I1" s="322"/>
      <c r="J1" s="432"/>
      <c r="K1" s="322"/>
      <c r="L1" s="322"/>
      <c r="M1" s="322"/>
      <c r="N1" s="322"/>
      <c r="O1" s="432"/>
      <c r="P1" s="322"/>
      <c r="Q1" s="322"/>
      <c r="R1" s="322"/>
      <c r="S1" s="322"/>
      <c r="T1" s="432"/>
      <c r="U1" s="322"/>
      <c r="V1" s="322"/>
      <c r="W1" s="322"/>
      <c r="X1" s="322"/>
      <c r="Y1" s="432"/>
      <c r="Z1" s="322"/>
      <c r="AA1" s="322"/>
      <c r="AB1" s="322"/>
      <c r="AC1" s="322"/>
      <c r="AD1" s="742"/>
      <c r="AE1" s="322"/>
      <c r="AF1" s="322"/>
      <c r="AG1" s="322"/>
      <c r="AH1" s="322"/>
      <c r="AI1" s="742"/>
      <c r="AJ1" s="322"/>
      <c r="AK1" s="322"/>
      <c r="AL1" s="322"/>
      <c r="AM1" s="322"/>
      <c r="AN1" s="432"/>
      <c r="AO1" s="322"/>
      <c r="AP1" s="322"/>
      <c r="AQ1" s="322"/>
      <c r="AR1" s="322"/>
      <c r="AS1" s="432"/>
      <c r="AT1" s="322"/>
      <c r="AU1" s="322"/>
      <c r="AV1" s="322"/>
      <c r="AW1" s="322"/>
      <c r="AX1" s="432"/>
      <c r="AY1" s="432"/>
      <c r="BJ1" s="279" t="s">
        <v>446</v>
      </c>
      <c r="BK1" s="279"/>
      <c r="BL1" s="279"/>
      <c r="BM1" s="279"/>
      <c r="BN1" s="279"/>
      <c r="BO1" s="279"/>
      <c r="BP1" s="279"/>
      <c r="BQ1" s="279"/>
      <c r="BR1" s="279"/>
      <c r="BS1" s="279"/>
      <c r="BT1" s="279"/>
      <c r="BU1" s="279"/>
      <c r="BV1" s="279"/>
      <c r="BW1" s="279"/>
      <c r="BX1" s="279"/>
      <c r="BY1" s="279"/>
      <c r="BZ1" s="279"/>
    </row>
    <row r="2" spans="1:80" ht="34.049999999999997" customHeight="1">
      <c r="A2" s="319"/>
      <c r="B2" s="319"/>
      <c r="D2" s="319"/>
      <c r="E2" s="320" t="s">
        <v>447</v>
      </c>
      <c r="F2" s="321" t="s">
        <v>371</v>
      </c>
      <c r="G2" s="321" t="s">
        <v>372</v>
      </c>
      <c r="H2" s="321" t="s">
        <v>373</v>
      </c>
      <c r="I2" s="321" t="s">
        <v>374</v>
      </c>
      <c r="J2" s="433" t="s">
        <v>26</v>
      </c>
      <c r="K2" s="321" t="s">
        <v>375</v>
      </c>
      <c r="L2" s="321" t="s">
        <v>376</v>
      </c>
      <c r="M2" s="321" t="s">
        <v>377</v>
      </c>
      <c r="N2" s="321" t="s">
        <v>378</v>
      </c>
      <c r="O2" s="433" t="s">
        <v>27</v>
      </c>
      <c r="P2" s="321" t="s">
        <v>379</v>
      </c>
      <c r="Q2" s="321" t="s">
        <v>380</v>
      </c>
      <c r="R2" s="321" t="s">
        <v>381</v>
      </c>
      <c r="S2" s="321" t="s">
        <v>382</v>
      </c>
      <c r="T2" s="433" t="s">
        <v>28</v>
      </c>
      <c r="U2" s="321" t="s">
        <v>383</v>
      </c>
      <c r="V2" s="321" t="s">
        <v>384</v>
      </c>
      <c r="W2" s="321" t="s">
        <v>385</v>
      </c>
      <c r="X2" s="321" t="s">
        <v>386</v>
      </c>
      <c r="Y2" s="433" t="s">
        <v>29</v>
      </c>
      <c r="Z2" s="321" t="s">
        <v>387</v>
      </c>
      <c r="AA2" s="321" t="s">
        <v>388</v>
      </c>
      <c r="AB2" s="321" t="s">
        <v>389</v>
      </c>
      <c r="AC2" s="321" t="s">
        <v>390</v>
      </c>
      <c r="AD2" s="743" t="s">
        <v>30</v>
      </c>
      <c r="AE2" s="321" t="s">
        <v>391</v>
      </c>
      <c r="AF2" s="321" t="s">
        <v>392</v>
      </c>
      <c r="AG2" s="321" t="s">
        <v>393</v>
      </c>
      <c r="AH2" s="321" t="s">
        <v>394</v>
      </c>
      <c r="AI2" s="743" t="s">
        <v>31</v>
      </c>
      <c r="AJ2" s="321" t="s">
        <v>395</v>
      </c>
      <c r="AK2" s="321" t="s">
        <v>396</v>
      </c>
      <c r="AL2" s="321" t="s">
        <v>397</v>
      </c>
      <c r="AM2" s="321" t="s">
        <v>398</v>
      </c>
      <c r="AN2" s="433" t="s">
        <v>33</v>
      </c>
      <c r="AO2" s="321" t="s">
        <v>399</v>
      </c>
      <c r="AP2" s="321" t="s">
        <v>400</v>
      </c>
      <c r="AQ2" s="321" t="s">
        <v>401</v>
      </c>
      <c r="AR2" s="321" t="s">
        <v>402</v>
      </c>
      <c r="AS2" s="433" t="s">
        <v>84</v>
      </c>
      <c r="AT2" s="321" t="s">
        <v>448</v>
      </c>
      <c r="AU2" s="321" t="s">
        <v>449</v>
      </c>
      <c r="AV2" s="321" t="s">
        <v>450</v>
      </c>
      <c r="AW2" s="321" t="s">
        <v>451</v>
      </c>
      <c r="AX2" s="433" t="s">
        <v>85</v>
      </c>
      <c r="AY2" s="433" t="s">
        <v>86</v>
      </c>
      <c r="AZ2" s="784" t="s">
        <v>452</v>
      </c>
      <c r="BA2" s="785"/>
      <c r="BB2" s="785"/>
      <c r="BC2" s="785"/>
      <c r="BD2" s="785"/>
      <c r="BE2" s="785"/>
      <c r="BF2" s="785"/>
      <c r="BG2" s="785"/>
      <c r="BH2" s="785"/>
      <c r="BI2" s="785"/>
      <c r="BJ2" s="279" t="s">
        <v>453</v>
      </c>
      <c r="BK2" s="279"/>
      <c r="BL2" s="279"/>
      <c r="BM2" s="279"/>
      <c r="BN2" s="279"/>
      <c r="BO2" s="279"/>
      <c r="BP2" s="279"/>
      <c r="BQ2" s="279"/>
      <c r="BR2" s="279"/>
      <c r="BS2" s="279"/>
      <c r="BT2" s="279"/>
      <c r="BU2" s="279"/>
      <c r="BV2" s="279"/>
      <c r="BW2" s="279"/>
      <c r="BX2" s="279"/>
      <c r="BY2" s="279"/>
      <c r="BZ2" s="279"/>
    </row>
    <row r="3" spans="1:80">
      <c r="A3" t="s">
        <v>454</v>
      </c>
      <c r="E3" s="349" t="s">
        <v>44</v>
      </c>
      <c r="F3" s="50">
        <v>5698</v>
      </c>
      <c r="G3" s="50">
        <v>5758</v>
      </c>
      <c r="H3" s="50">
        <v>5589</v>
      </c>
      <c r="I3" s="50">
        <v>8695</v>
      </c>
      <c r="J3" s="671">
        <v>25739</v>
      </c>
      <c r="K3" s="50">
        <v>5676</v>
      </c>
      <c r="L3" s="50">
        <v>5722</v>
      </c>
      <c r="M3" s="50">
        <v>5356</v>
      </c>
      <c r="N3" s="50">
        <v>8577</v>
      </c>
      <c r="O3" s="671">
        <v>25331</v>
      </c>
      <c r="P3" s="50">
        <v>3148</v>
      </c>
      <c r="Q3" s="50">
        <v>3727</v>
      </c>
      <c r="R3" s="50">
        <v>4185</v>
      </c>
      <c r="S3" s="50">
        <v>7037</v>
      </c>
      <c r="T3" s="671">
        <v>18097</v>
      </c>
      <c r="U3" s="50">
        <v>4865</v>
      </c>
      <c r="V3" s="50">
        <v>5844</v>
      </c>
      <c r="W3" s="50">
        <v>5653</v>
      </c>
      <c r="X3" s="50">
        <v>8930</v>
      </c>
      <c r="Y3" s="671">
        <v>25399</v>
      </c>
      <c r="Z3" s="672">
        <v>5565</v>
      </c>
      <c r="AA3" s="672">
        <v>5834</v>
      </c>
      <c r="AB3" s="672">
        <v>5467</v>
      </c>
      <c r="AC3" s="672">
        <v>8583</v>
      </c>
      <c r="AD3" s="672">
        <v>25449</v>
      </c>
      <c r="AE3" s="672">
        <v>5173</v>
      </c>
      <c r="AF3" s="672">
        <v>5280</v>
      </c>
      <c r="AG3" s="672">
        <v>5038</v>
      </c>
      <c r="AH3" s="672">
        <v>8375</v>
      </c>
      <c r="AI3" s="687">
        <v>23866</v>
      </c>
      <c r="AJ3" s="384">
        <f>AJ16</f>
        <v>5966.4834137026264</v>
      </c>
      <c r="AK3" s="384">
        <f t="shared" ref="AK3:AM3" si="0">AK16</f>
        <v>5966.4834137026264</v>
      </c>
      <c r="AL3" s="384">
        <f t="shared" si="0"/>
        <v>5966.4834137026264</v>
      </c>
      <c r="AM3" s="384">
        <f t="shared" si="0"/>
        <v>5966.4834137026264</v>
      </c>
      <c r="AN3" s="384">
        <f>AN16</f>
        <v>23865.933654810506</v>
      </c>
      <c r="AO3" s="384">
        <f t="shared" ref="AO3:AY3" si="1">AO16</f>
        <v>6309.5163344499588</v>
      </c>
      <c r="AP3" s="384">
        <f t="shared" si="1"/>
        <v>6309.5163344499588</v>
      </c>
      <c r="AQ3" s="384">
        <f t="shared" si="1"/>
        <v>6309.5163344499588</v>
      </c>
      <c r="AR3" s="384">
        <f t="shared" si="1"/>
        <v>6309.5163344499588</v>
      </c>
      <c r="AS3" s="384">
        <f t="shared" si="1"/>
        <v>25238.065337799835</v>
      </c>
      <c r="AT3" s="384">
        <f t="shared" si="1"/>
        <v>6309.5413151251596</v>
      </c>
      <c r="AU3" s="384">
        <f t="shared" si="1"/>
        <v>6309.5413151251596</v>
      </c>
      <c r="AV3" s="384">
        <f t="shared" si="1"/>
        <v>6309.5413151251596</v>
      </c>
      <c r="AW3" s="384">
        <f t="shared" si="1"/>
        <v>6309.5413151251596</v>
      </c>
      <c r="AX3" s="384">
        <f t="shared" si="1"/>
        <v>25238.165260500638</v>
      </c>
      <c r="AY3" s="384">
        <f t="shared" si="1"/>
        <v>25238.310019068715</v>
      </c>
      <c r="AZ3" s="785"/>
      <c r="BA3" s="785"/>
      <c r="BB3" s="785"/>
      <c r="BC3" s="785"/>
      <c r="BD3" s="785"/>
      <c r="BE3" s="785"/>
      <c r="BF3" s="785"/>
      <c r="BG3" s="785"/>
      <c r="BH3" s="785"/>
      <c r="BI3" s="785"/>
      <c r="BJ3" s="279"/>
      <c r="BK3" s="279"/>
      <c r="BL3" s="279"/>
      <c r="BM3" s="279"/>
      <c r="BN3" s="279"/>
      <c r="BO3" s="279"/>
      <c r="BP3" s="279"/>
      <c r="BQ3" s="279"/>
      <c r="BR3" s="279"/>
      <c r="BS3" s="279"/>
      <c r="BT3" s="279"/>
      <c r="BU3" s="279"/>
      <c r="BV3" s="279"/>
      <c r="BW3" s="279"/>
      <c r="BX3" s="279"/>
      <c r="BY3" s="279"/>
      <c r="BZ3" s="279"/>
    </row>
    <row r="4" spans="1:80" s="419" customFormat="1">
      <c r="A4" s="346" t="s">
        <v>455</v>
      </c>
      <c r="E4" s="420"/>
      <c r="F4" s="210"/>
      <c r="G4" s="210"/>
      <c r="H4" s="210"/>
      <c r="I4" s="210"/>
      <c r="J4" s="457"/>
      <c r="K4" s="210">
        <f>(K3-F3)/F3</f>
        <v>-3.8610038610038611E-3</v>
      </c>
      <c r="L4" s="210">
        <f t="shared" ref="L4:AJ4" si="2">(L3-G3)/G3</f>
        <v>-6.252170892671066E-3</v>
      </c>
      <c r="M4" s="210">
        <f t="shared" si="2"/>
        <v>-4.1689032027196281E-2</v>
      </c>
      <c r="N4" s="210">
        <f t="shared" si="2"/>
        <v>-1.3571017826336976E-2</v>
      </c>
      <c r="O4" s="434">
        <f t="shared" si="2"/>
        <v>-1.5851431679552431E-2</v>
      </c>
      <c r="P4" s="210">
        <f t="shared" si="2"/>
        <v>-0.44538407329105001</v>
      </c>
      <c r="Q4" s="210">
        <f t="shared" si="2"/>
        <v>-0.34865431667249214</v>
      </c>
      <c r="R4" s="210">
        <f t="shared" si="2"/>
        <v>-0.21863330843913367</v>
      </c>
      <c r="S4" s="210">
        <f t="shared" si="2"/>
        <v>-0.17954995919319108</v>
      </c>
      <c r="T4" s="434">
        <f t="shared" si="2"/>
        <v>-0.28557893490189884</v>
      </c>
      <c r="U4" s="210">
        <f t="shared" si="2"/>
        <v>0.545425667090216</v>
      </c>
      <c r="V4" s="210">
        <f t="shared" si="2"/>
        <v>0.56801717198819424</v>
      </c>
      <c r="W4" s="210">
        <f t="shared" si="2"/>
        <v>0.35077658303464754</v>
      </c>
      <c r="X4" s="210">
        <f t="shared" si="2"/>
        <v>0.26900667898252095</v>
      </c>
      <c r="Y4" s="434">
        <f t="shared" si="2"/>
        <v>0.40349229154003424</v>
      </c>
      <c r="Z4" s="210">
        <f t="shared" si="2"/>
        <v>0.14388489208633093</v>
      </c>
      <c r="AA4" s="210">
        <f t="shared" si="2"/>
        <v>-1.7111567419575632E-3</v>
      </c>
      <c r="AB4" s="210">
        <f t="shared" si="2"/>
        <v>-3.2902883424730231E-2</v>
      </c>
      <c r="AC4" s="210">
        <f t="shared" si="2"/>
        <v>-3.8857782754759242E-2</v>
      </c>
      <c r="AD4" s="210">
        <f t="shared" si="2"/>
        <v>1.9685814402141816E-3</v>
      </c>
      <c r="AE4" s="210">
        <f t="shared" si="2"/>
        <v>-7.0440251572327042E-2</v>
      </c>
      <c r="AF4" s="210">
        <f t="shared" si="2"/>
        <v>-9.4960575934178948E-2</v>
      </c>
      <c r="AG4" s="210">
        <f t="shared" si="2"/>
        <v>-7.847082494969819E-2</v>
      </c>
      <c r="AH4" s="210">
        <f t="shared" si="2"/>
        <v>-2.423395083304206E-2</v>
      </c>
      <c r="AI4" s="210">
        <f t="shared" si="2"/>
        <v>-6.2202837046642305E-2</v>
      </c>
      <c r="AJ4" s="434">
        <f t="shared" si="2"/>
        <v>0.15338940918280039</v>
      </c>
      <c r="AK4" s="434">
        <f t="shared" ref="AK4" si="3">(AK3-AF3)/AF3</f>
        <v>0.13001579804973984</v>
      </c>
      <c r="AL4" s="434">
        <f t="shared" ref="AL4" si="4">(AL3-AG3)/AG3</f>
        <v>0.18429603289055704</v>
      </c>
      <c r="AM4" s="434">
        <f t="shared" ref="AM4" si="5">(AM3-AH3)/AH3</f>
        <v>-0.28758407000565656</v>
      </c>
      <c r="AN4" s="434">
        <f t="shared" ref="AN4" si="6">(AN3-AI3)/AI3</f>
        <v>-2.7799040264105283E-6</v>
      </c>
      <c r="AO4" s="434">
        <f t="shared" ref="AO4" si="7">(AO3-AJ3)/AJ3</f>
        <v>5.7493316743246599E-2</v>
      </c>
      <c r="AP4" s="434">
        <f t="shared" ref="AP4" si="8">(AP3-AK3)/AK3</f>
        <v>5.7493316743246599E-2</v>
      </c>
      <c r="AQ4" s="434">
        <f t="shared" ref="AQ4" si="9">(AQ3-AL3)/AL3</f>
        <v>5.7493316743246599E-2</v>
      </c>
      <c r="AR4" s="434">
        <f t="shared" ref="AR4" si="10">(AR3-AM3)/AM3</f>
        <v>5.7493316743246599E-2</v>
      </c>
      <c r="AS4" s="434">
        <f t="shared" ref="AS4" si="11">(AS3-AN3)/AN3</f>
        <v>5.7493316743246599E-2</v>
      </c>
      <c r="AT4" s="434">
        <f t="shared" ref="AT4" si="12">(AT3-AO3)/AO3</f>
        <v>3.9592060431681751E-6</v>
      </c>
      <c r="AU4" s="434">
        <f t="shared" ref="AU4" si="13">(AU3-AP3)/AP3</f>
        <v>3.9592060431681751E-6</v>
      </c>
      <c r="AV4" s="434">
        <f t="shared" ref="AV4" si="14">(AV3-AQ3)/AQ3</f>
        <v>3.9592060431681751E-6</v>
      </c>
      <c r="AW4" s="434">
        <f t="shared" ref="AW4" si="15">(AW3-AR3)/AR3</f>
        <v>3.9592060431681751E-6</v>
      </c>
      <c r="AX4" s="434">
        <f t="shared" ref="AX4" si="16">(AX3-AS3)/AS3</f>
        <v>3.9592060431681751E-6</v>
      </c>
      <c r="AY4" s="434">
        <f>(AY3-AX3)/AX3</f>
        <v>5.7357009347573154E-6</v>
      </c>
      <c r="AZ4" s="785"/>
      <c r="BA4" s="785"/>
      <c r="BB4" s="785"/>
      <c r="BC4" s="785"/>
      <c r="BD4" s="785"/>
      <c r="BE4" s="785"/>
      <c r="BF4" s="785"/>
      <c r="BG4" s="785"/>
      <c r="BH4" s="785"/>
      <c r="BI4" s="785"/>
      <c r="BJ4" s="451"/>
      <c r="BK4" s="451"/>
      <c r="BL4" s="451"/>
      <c r="BM4" s="451"/>
      <c r="BN4" s="451"/>
      <c r="BO4" s="451"/>
      <c r="BP4" s="451"/>
      <c r="BQ4" s="451"/>
      <c r="BR4" s="451"/>
      <c r="BS4" s="451"/>
      <c r="BT4" s="451"/>
      <c r="BU4" s="451"/>
      <c r="BV4" s="451"/>
      <c r="BW4" s="451"/>
      <c r="BX4" s="451"/>
      <c r="BY4" s="451"/>
      <c r="BZ4" s="451"/>
    </row>
    <row r="5" spans="1:80">
      <c r="A5" s="342" t="s">
        <v>456</v>
      </c>
      <c r="B5" s="342"/>
      <c r="C5" s="342"/>
      <c r="D5" s="342"/>
      <c r="E5" s="349"/>
      <c r="F5" s="52">
        <v>3382</v>
      </c>
      <c r="G5" s="52">
        <v>3320</v>
      </c>
      <c r="H5" s="52">
        <v>3226</v>
      </c>
      <c r="I5" s="52">
        <v>5288</v>
      </c>
      <c r="J5" s="440">
        <f>SUM(F5:I5)</f>
        <v>15216</v>
      </c>
      <c r="K5" s="52">
        <v>3403</v>
      </c>
      <c r="L5" s="52">
        <v>3395</v>
      </c>
      <c r="M5" s="52">
        <v>3106</v>
      </c>
      <c r="N5" s="52">
        <v>5266</v>
      </c>
      <c r="O5" s="440">
        <f>SUM(K5:N5)</f>
        <v>15170</v>
      </c>
      <c r="P5" s="52">
        <v>2201</v>
      </c>
      <c r="Q5" s="52">
        <v>2718</v>
      </c>
      <c r="R5" s="52">
        <v>2569</v>
      </c>
      <c r="S5" s="52">
        <v>4798</v>
      </c>
      <c r="T5" s="440">
        <f>SUM(P5:S5)</f>
        <v>12286</v>
      </c>
      <c r="U5" s="52">
        <v>2889</v>
      </c>
      <c r="V5" s="52">
        <v>3353</v>
      </c>
      <c r="W5" s="52">
        <v>3207</v>
      </c>
      <c r="X5" s="52">
        <v>5507</v>
      </c>
      <c r="Y5" s="440">
        <f>SUM(U5:X5)</f>
        <v>14956</v>
      </c>
      <c r="Z5" s="51">
        <v>3231</v>
      </c>
      <c r="AA5" s="51">
        <v>3422</v>
      </c>
      <c r="AB5" s="51">
        <v>3204</v>
      </c>
      <c r="AC5" s="51">
        <v>5450</v>
      </c>
      <c r="AD5" s="51">
        <f>SUM(Z5:AC5)</f>
        <v>15307</v>
      </c>
      <c r="AE5" s="51">
        <v>2988</v>
      </c>
      <c r="AF5" s="51">
        <v>3176</v>
      </c>
      <c r="AG5" s="51">
        <v>2905</v>
      </c>
      <c r="AH5" s="51">
        <v>5154</v>
      </c>
      <c r="AI5" s="78">
        <f>SUM(AE5:AH5)</f>
        <v>14223</v>
      </c>
      <c r="AJ5" s="347"/>
      <c r="AK5" s="347"/>
      <c r="AL5" s="347"/>
      <c r="AM5" s="347"/>
      <c r="AN5" s="423">
        <f>AI$5*AN6</f>
        <v>8761.3680000000004</v>
      </c>
      <c r="AO5" s="423"/>
      <c r="AP5" s="423"/>
      <c r="AQ5" s="423"/>
      <c r="AR5" s="423"/>
      <c r="AS5" s="423">
        <f>AN$5*AS6</f>
        <v>5397.0026880000005</v>
      </c>
      <c r="AT5" s="423"/>
      <c r="AU5" s="423"/>
      <c r="AV5" s="423"/>
      <c r="AW5" s="423"/>
      <c r="AX5" s="423">
        <f>AS$5*AX6</f>
        <v>3324.5536558080003</v>
      </c>
      <c r="AY5" s="423">
        <f>AX$5*AY6</f>
        <v>2047.9250519777281</v>
      </c>
      <c r="AZ5" s="785"/>
      <c r="BA5" s="785"/>
      <c r="BB5" s="785"/>
      <c r="BC5" s="785"/>
      <c r="BD5" s="785"/>
      <c r="BE5" s="785"/>
      <c r="BF5" s="785"/>
      <c r="BG5" s="785"/>
      <c r="BH5" s="785"/>
      <c r="BI5" s="785"/>
      <c r="BJ5" s="279"/>
      <c r="BK5" s="279"/>
      <c r="BL5" s="279"/>
      <c r="BM5" s="279"/>
      <c r="BN5" s="279"/>
      <c r="BO5" s="279"/>
      <c r="BP5" s="279"/>
      <c r="BQ5" s="279"/>
      <c r="BR5" s="279"/>
      <c r="BS5" s="279"/>
      <c r="BT5" s="279"/>
      <c r="BU5" s="279"/>
      <c r="BV5" s="279"/>
      <c r="BW5" s="279"/>
      <c r="BX5" s="279"/>
      <c r="BY5" s="279"/>
      <c r="BZ5" s="279"/>
    </row>
    <row r="6" spans="1:80" s="346" customFormat="1" ht="16.05" customHeight="1">
      <c r="A6" s="344" t="s">
        <v>457</v>
      </c>
      <c r="B6" s="345"/>
      <c r="C6" s="345"/>
      <c r="D6" s="345"/>
      <c r="E6" s="350" t="s">
        <v>419</v>
      </c>
      <c r="F6" s="346">
        <f>F5/F3</f>
        <v>0.59354159354159353</v>
      </c>
      <c r="G6" s="346">
        <f t="shared" ref="G6:AH6" si="17">G5/G3</f>
        <v>0.57658909343522058</v>
      </c>
      <c r="H6" s="346">
        <f t="shared" si="17"/>
        <v>0.57720522454821976</v>
      </c>
      <c r="I6" s="346">
        <f t="shared" si="17"/>
        <v>0.60816561242093159</v>
      </c>
      <c r="J6" s="435">
        <f t="shared" si="17"/>
        <v>0.59116515793154356</v>
      </c>
      <c r="K6" s="346">
        <f t="shared" si="17"/>
        <v>0.59954193093727981</v>
      </c>
      <c r="L6" s="346">
        <f t="shared" si="17"/>
        <v>0.59332401258301293</v>
      </c>
      <c r="M6" s="346">
        <f t="shared" si="17"/>
        <v>0.57991038088125468</v>
      </c>
      <c r="N6" s="346">
        <f t="shared" si="17"/>
        <v>0.61396758773463911</v>
      </c>
      <c r="O6" s="435">
        <f t="shared" si="17"/>
        <v>0.59887094864000634</v>
      </c>
      <c r="P6" s="346">
        <f t="shared" si="17"/>
        <v>0.6991740787801779</v>
      </c>
      <c r="Q6" s="346">
        <f t="shared" si="17"/>
        <v>0.72927287362489934</v>
      </c>
      <c r="R6" s="346">
        <f t="shared" si="17"/>
        <v>0.61385902031063322</v>
      </c>
      <c r="S6" s="346">
        <f t="shared" si="17"/>
        <v>0.681824641182322</v>
      </c>
      <c r="T6" s="435">
        <f t="shared" si="17"/>
        <v>0.67889705476045759</v>
      </c>
      <c r="U6" s="346">
        <f t="shared" si="17"/>
        <v>0.5938335046248715</v>
      </c>
      <c r="V6" s="346">
        <f t="shared" si="17"/>
        <v>0.57375085557837102</v>
      </c>
      <c r="W6" s="346">
        <f t="shared" si="17"/>
        <v>0.56730939324252605</v>
      </c>
      <c r="X6" s="346">
        <f t="shared" si="17"/>
        <v>0.61668533034714446</v>
      </c>
      <c r="Y6" s="435">
        <f t="shared" si="17"/>
        <v>0.58884208039686603</v>
      </c>
      <c r="Z6" s="346">
        <f t="shared" si="17"/>
        <v>0.58059299191374658</v>
      </c>
      <c r="AA6" s="346">
        <f t="shared" si="17"/>
        <v>0.58656153582447723</v>
      </c>
      <c r="AB6" s="346">
        <f t="shared" si="17"/>
        <v>0.58606182549844521</v>
      </c>
      <c r="AC6" s="346">
        <f t="shared" si="17"/>
        <v>0.63497611557730393</v>
      </c>
      <c r="AD6" s="346">
        <f t="shared" si="17"/>
        <v>0.60147746473338837</v>
      </c>
      <c r="AE6" s="346">
        <f t="shared" si="17"/>
        <v>0.57761453701913779</v>
      </c>
      <c r="AF6" s="346">
        <f t="shared" si="17"/>
        <v>0.60151515151515156</v>
      </c>
      <c r="AG6" s="346">
        <f t="shared" si="17"/>
        <v>0.57661770543866608</v>
      </c>
      <c r="AH6" s="346">
        <f t="shared" si="17"/>
        <v>0.61540298507462687</v>
      </c>
      <c r="AI6" s="346">
        <f>AI5/AI3</f>
        <v>0.59595240090505319</v>
      </c>
      <c r="AJ6" s="348"/>
      <c r="AK6" s="347"/>
      <c r="AL6" s="347"/>
      <c r="AM6" s="347"/>
      <c r="AN6" s="453">
        <v>0.61599999999999999</v>
      </c>
      <c r="AO6" s="455"/>
      <c r="AP6" s="455"/>
      <c r="AQ6" s="455"/>
      <c r="AR6" s="455"/>
      <c r="AS6" s="453">
        <v>0.61599999999999999</v>
      </c>
      <c r="AT6" s="455"/>
      <c r="AU6" s="453"/>
      <c r="AV6" s="453"/>
      <c r="AW6" s="453"/>
      <c r="AX6" s="454">
        <v>0.61599999999999999</v>
      </c>
      <c r="AY6" s="454">
        <v>0.61599999999999999</v>
      </c>
      <c r="AZ6" s="785"/>
      <c r="BA6" s="785"/>
      <c r="BB6" s="785"/>
      <c r="BC6" s="785"/>
      <c r="BD6" s="785"/>
      <c r="BE6" s="785"/>
      <c r="BF6" s="785"/>
      <c r="BG6" s="785"/>
      <c r="BH6" s="785"/>
      <c r="BI6" s="785"/>
      <c r="BJ6" s="452"/>
      <c r="BK6" s="452"/>
      <c r="BL6" s="452"/>
      <c r="BM6" s="452"/>
      <c r="BN6" s="452"/>
      <c r="BO6" s="452"/>
      <c r="BP6" s="452"/>
      <c r="BQ6" s="452"/>
      <c r="BR6" s="452"/>
      <c r="BS6" s="452"/>
      <c r="BT6" s="452"/>
      <c r="BU6" s="452"/>
      <c r="BV6" s="452"/>
      <c r="BW6" s="452"/>
      <c r="BX6" s="452"/>
      <c r="BY6" s="452"/>
      <c r="BZ6" s="452"/>
    </row>
    <row r="7" spans="1:80" s="347" customFormat="1" ht="10.5">
      <c r="A7" s="343" t="s">
        <v>458</v>
      </c>
      <c r="B7" s="342"/>
      <c r="C7" s="342"/>
      <c r="D7" s="342"/>
      <c r="E7" s="349" t="s">
        <v>419</v>
      </c>
      <c r="F7" s="348">
        <f>1-F6</f>
        <v>0.40645840645840647</v>
      </c>
      <c r="G7" s="348">
        <f t="shared" ref="G7:AI7" si="18">1-G6</f>
        <v>0.42341090656477942</v>
      </c>
      <c r="H7" s="348">
        <f t="shared" si="18"/>
        <v>0.42279477545178024</v>
      </c>
      <c r="I7" s="348">
        <f t="shared" si="18"/>
        <v>0.39183438757906841</v>
      </c>
      <c r="J7" s="436">
        <f t="shared" si="18"/>
        <v>0.40883484206845644</v>
      </c>
      <c r="K7" s="348">
        <f t="shared" si="18"/>
        <v>0.40045806906272019</v>
      </c>
      <c r="L7" s="348">
        <f t="shared" si="18"/>
        <v>0.40667598741698707</v>
      </c>
      <c r="M7" s="348">
        <f t="shared" si="18"/>
        <v>0.42008961911874532</v>
      </c>
      <c r="N7" s="348">
        <f t="shared" si="18"/>
        <v>0.38603241226536089</v>
      </c>
      <c r="O7" s="436">
        <f t="shared" si="18"/>
        <v>0.40112905135999366</v>
      </c>
      <c r="P7" s="348">
        <f t="shared" si="18"/>
        <v>0.3008259212198221</v>
      </c>
      <c r="Q7" s="348">
        <f t="shared" si="18"/>
        <v>0.27072712637510066</v>
      </c>
      <c r="R7" s="348">
        <f t="shared" si="18"/>
        <v>0.38614097968936678</v>
      </c>
      <c r="S7" s="348">
        <f t="shared" si="18"/>
        <v>0.318175358817678</v>
      </c>
      <c r="T7" s="436">
        <f t="shared" si="18"/>
        <v>0.32110294523954241</v>
      </c>
      <c r="U7" s="348">
        <f t="shared" si="18"/>
        <v>0.4061664953751285</v>
      </c>
      <c r="V7" s="348">
        <f t="shared" si="18"/>
        <v>0.42624914442162898</v>
      </c>
      <c r="W7" s="348">
        <f t="shared" si="18"/>
        <v>0.43269060675747395</v>
      </c>
      <c r="X7" s="348">
        <f t="shared" si="18"/>
        <v>0.38331466965285554</v>
      </c>
      <c r="Y7" s="436">
        <f t="shared" si="18"/>
        <v>0.41115791960313397</v>
      </c>
      <c r="Z7" s="348">
        <f t="shared" si="18"/>
        <v>0.41940700808625342</v>
      </c>
      <c r="AA7" s="348">
        <f t="shared" si="18"/>
        <v>0.41343846417552277</v>
      </c>
      <c r="AB7" s="348">
        <f t="shared" si="18"/>
        <v>0.41393817450155479</v>
      </c>
      <c r="AC7" s="348">
        <f t="shared" si="18"/>
        <v>0.36502388442269607</v>
      </c>
      <c r="AD7" s="348">
        <f t="shared" si="18"/>
        <v>0.39852253526661163</v>
      </c>
      <c r="AE7" s="348">
        <f t="shared" si="18"/>
        <v>0.42238546298086221</v>
      </c>
      <c r="AF7" s="348">
        <f t="shared" si="18"/>
        <v>0.39848484848484844</v>
      </c>
      <c r="AG7" s="348">
        <f t="shared" si="18"/>
        <v>0.42338229456133392</v>
      </c>
      <c r="AH7" s="348">
        <f t="shared" si="18"/>
        <v>0.38459701492537313</v>
      </c>
      <c r="AI7" s="348">
        <f t="shared" si="18"/>
        <v>0.40404759909494681</v>
      </c>
      <c r="AN7" s="453">
        <v>0.4</v>
      </c>
      <c r="AO7" s="453"/>
      <c r="AP7" s="453"/>
      <c r="AQ7" s="453"/>
      <c r="AR7" s="453"/>
      <c r="AS7" s="453">
        <v>0.4</v>
      </c>
      <c r="AT7" s="453"/>
      <c r="AU7" s="453"/>
      <c r="AV7" s="453"/>
      <c r="AW7" s="453"/>
      <c r="AX7" s="454">
        <v>0.4</v>
      </c>
      <c r="AY7" s="454">
        <v>0.4</v>
      </c>
      <c r="AZ7" s="785"/>
      <c r="BA7" s="785"/>
      <c r="BB7" s="785"/>
      <c r="BC7" s="785"/>
      <c r="BD7" s="785"/>
      <c r="BE7" s="785"/>
      <c r="BF7" s="785"/>
      <c r="BG7" s="785"/>
      <c r="BH7" s="785"/>
      <c r="BI7" s="785"/>
      <c r="BJ7" s="443"/>
      <c r="BK7" s="443"/>
      <c r="BL7" s="443"/>
      <c r="BM7" s="443"/>
      <c r="BN7" s="443"/>
      <c r="BO7" s="443"/>
      <c r="BP7" s="443"/>
      <c r="BQ7" s="443"/>
      <c r="BR7" s="443"/>
      <c r="BS7" s="443"/>
      <c r="BT7" s="443"/>
      <c r="BU7" s="443"/>
      <c r="BV7" s="443"/>
      <c r="BW7" s="443"/>
      <c r="BX7" s="443"/>
      <c r="BY7" s="443"/>
      <c r="BZ7" s="443"/>
    </row>
    <row r="8" spans="1:80" s="347" customFormat="1" ht="10.5">
      <c r="A8" s="342"/>
      <c r="B8" s="342"/>
      <c r="C8" s="342"/>
      <c r="D8" s="342"/>
      <c r="E8" s="349"/>
      <c r="J8" s="437"/>
      <c r="O8" s="437"/>
      <c r="T8" s="437"/>
      <c r="Y8" s="437"/>
      <c r="AX8" s="437"/>
      <c r="AY8" s="437"/>
      <c r="AZ8" s="785"/>
      <c r="BA8" s="785"/>
      <c r="BB8" s="785"/>
      <c r="BC8" s="785"/>
      <c r="BD8" s="785"/>
      <c r="BE8" s="785"/>
      <c r="BF8" s="785"/>
      <c r="BG8" s="785"/>
      <c r="BH8" s="785"/>
      <c r="BI8" s="785"/>
      <c r="BJ8" s="443"/>
      <c r="BK8" s="443"/>
      <c r="BL8" s="443"/>
      <c r="BM8" s="443"/>
      <c r="BN8" s="443"/>
      <c r="BO8" s="443"/>
      <c r="BP8" s="443"/>
      <c r="BQ8" s="443"/>
      <c r="BR8" s="443"/>
      <c r="BS8" s="443"/>
      <c r="BT8" s="443"/>
      <c r="BU8" s="443"/>
      <c r="BV8" s="443"/>
      <c r="BW8" s="443"/>
      <c r="BX8" s="443"/>
      <c r="BY8" s="443"/>
      <c r="BZ8" s="443"/>
    </row>
    <row r="9" spans="1:80" s="347" customFormat="1" ht="10.5">
      <c r="A9" s="352" t="s">
        <v>459</v>
      </c>
      <c r="B9" s="342"/>
      <c r="C9" s="342"/>
      <c r="D9" s="342"/>
      <c r="E9" s="349"/>
      <c r="J9" s="437"/>
      <c r="O9" s="437"/>
      <c r="T9" s="437"/>
      <c r="Y9" s="437"/>
      <c r="AX9" s="437"/>
      <c r="AY9" s="437"/>
      <c r="AZ9" s="785"/>
      <c r="BA9" s="785"/>
      <c r="BB9" s="785"/>
      <c r="BC9" s="785"/>
      <c r="BD9" s="785"/>
      <c r="BE9" s="785"/>
      <c r="BF9" s="785"/>
      <c r="BG9" s="785"/>
      <c r="BH9" s="785"/>
      <c r="BI9" s="785"/>
      <c r="BJ9" s="443"/>
      <c r="BK9" s="443"/>
      <c r="BL9" s="443"/>
      <c r="BM9" s="443"/>
      <c r="BN9" s="443"/>
      <c r="BO9" s="443"/>
      <c r="BP9" s="443"/>
      <c r="BQ9" s="443"/>
      <c r="BR9" s="443"/>
      <c r="BS9" s="443"/>
      <c r="BT9" s="443"/>
      <c r="BU9" s="443"/>
      <c r="BV9" s="443"/>
      <c r="BW9" s="443"/>
      <c r="BX9" s="443"/>
      <c r="BY9" s="443"/>
      <c r="BZ9" s="443"/>
    </row>
    <row r="10" spans="1:80" s="347" customFormat="1" ht="10.5">
      <c r="A10" s="355" t="s">
        <v>460</v>
      </c>
      <c r="B10" s="342"/>
      <c r="C10" s="342"/>
      <c r="D10" s="342"/>
      <c r="E10" s="349"/>
      <c r="F10" s="52">
        <v>2072</v>
      </c>
      <c r="G10" s="52">
        <v>2153</v>
      </c>
      <c r="H10" s="52">
        <v>2246</v>
      </c>
      <c r="I10" s="52">
        <v>2530</v>
      </c>
      <c r="J10" s="440">
        <f>SUM(F10:I10)</f>
        <v>9001</v>
      </c>
      <c r="K10" s="52">
        <v>2105</v>
      </c>
      <c r="L10" s="52">
        <v>2169</v>
      </c>
      <c r="M10" s="52">
        <v>2194</v>
      </c>
      <c r="N10" s="52">
        <v>2501</v>
      </c>
      <c r="O10" s="440">
        <f>SUM(K10:N10)</f>
        <v>8969</v>
      </c>
      <c r="P10" s="52">
        <v>1589</v>
      </c>
      <c r="Q10" s="52">
        <v>1386</v>
      </c>
      <c r="R10" s="52">
        <v>1710</v>
      </c>
      <c r="S10" s="52">
        <v>2027</v>
      </c>
      <c r="T10" s="440">
        <v>6713</v>
      </c>
      <c r="U10" s="52">
        <v>1733</v>
      </c>
      <c r="V10" s="52">
        <v>1881</v>
      </c>
      <c r="W10" s="52">
        <v>1956</v>
      </c>
      <c r="X10" s="52">
        <v>2412</v>
      </c>
      <c r="Y10" s="440">
        <f>SUM(U10:X10)</f>
        <v>7982</v>
      </c>
      <c r="Z10" s="51">
        <v>1898</v>
      </c>
      <c r="AA10" s="51">
        <v>2004</v>
      </c>
      <c r="AB10" s="51">
        <v>2081</v>
      </c>
      <c r="AC10" s="51">
        <v>2457</v>
      </c>
      <c r="AD10" s="51">
        <f>SUM(Z10:AC10)</f>
        <v>8440</v>
      </c>
      <c r="AE10" s="51">
        <v>1946</v>
      </c>
      <c r="AF10" s="51">
        <v>1976</v>
      </c>
      <c r="AG10" s="51">
        <v>2038</v>
      </c>
      <c r="AH10" s="51">
        <v>2404</v>
      </c>
      <c r="AI10" s="78">
        <f>SUM(AE10:AH10)</f>
        <v>8364</v>
      </c>
      <c r="AU10" s="384"/>
      <c r="AV10" s="384"/>
      <c r="AW10" s="384"/>
      <c r="AX10" s="442"/>
      <c r="AY10" s="442"/>
      <c r="AZ10" s="785"/>
      <c r="BA10" s="785"/>
      <c r="BB10" s="785"/>
      <c r="BC10" s="785"/>
      <c r="BD10" s="785"/>
      <c r="BE10" s="785"/>
      <c r="BF10" s="785"/>
      <c r="BG10" s="785"/>
      <c r="BH10" s="785"/>
      <c r="BI10" s="785"/>
      <c r="BJ10" s="443"/>
      <c r="BK10" s="443"/>
      <c r="BL10" s="443"/>
      <c r="BM10" s="443"/>
      <c r="BN10" s="443"/>
      <c r="BO10" s="443"/>
      <c r="BP10" s="443"/>
      <c r="BQ10" s="443"/>
      <c r="BR10" s="443"/>
      <c r="BS10" s="443"/>
      <c r="BT10" s="443"/>
      <c r="BU10" s="443"/>
      <c r="BV10" s="443"/>
      <c r="BW10" s="443"/>
      <c r="BX10" s="443"/>
      <c r="BY10" s="443"/>
      <c r="BZ10" s="443"/>
    </row>
    <row r="11" spans="1:80" s="347" customFormat="1" ht="10.5">
      <c r="A11" s="351" t="s">
        <v>461</v>
      </c>
      <c r="B11" s="342"/>
      <c r="C11" s="342"/>
      <c r="D11" s="342"/>
      <c r="E11" s="349"/>
      <c r="F11" s="52" t="s">
        <v>47</v>
      </c>
      <c r="G11" s="52" t="s">
        <v>47</v>
      </c>
      <c r="H11" s="52" t="s">
        <v>47</v>
      </c>
      <c r="I11" s="52">
        <v>-8</v>
      </c>
      <c r="J11" s="440">
        <f>SUM(F11:I11)</f>
        <v>-8</v>
      </c>
      <c r="K11" s="52">
        <v>1</v>
      </c>
      <c r="L11" s="52">
        <v>1</v>
      </c>
      <c r="M11" s="52">
        <v>8</v>
      </c>
      <c r="N11" s="52">
        <v>-10</v>
      </c>
      <c r="O11" s="440">
        <f>SUM(K11:N11)</f>
        <v>0</v>
      </c>
      <c r="P11" s="52">
        <v>9</v>
      </c>
      <c r="Q11" s="52">
        <v>58</v>
      </c>
      <c r="R11" s="52">
        <v>12</v>
      </c>
      <c r="S11" s="52">
        <v>-79</v>
      </c>
      <c r="T11" s="440" t="s">
        <v>47</v>
      </c>
      <c r="U11" s="52" t="s">
        <v>47</v>
      </c>
      <c r="V11" s="52" t="s">
        <v>47</v>
      </c>
      <c r="W11" s="52" t="s">
        <v>47</v>
      </c>
      <c r="X11" s="52">
        <v>21</v>
      </c>
      <c r="Y11" s="440">
        <f>SUM(U11:X11)</f>
        <v>21</v>
      </c>
      <c r="Z11" s="51" t="s">
        <v>47</v>
      </c>
      <c r="AA11" s="51" t="s">
        <v>47</v>
      </c>
      <c r="AB11" s="51" t="s">
        <v>47</v>
      </c>
      <c r="AC11" s="51">
        <v>21</v>
      </c>
      <c r="AD11" s="51">
        <f>SUM(Z11:AC11)</f>
        <v>21</v>
      </c>
      <c r="AE11" s="51" t="s">
        <v>47</v>
      </c>
      <c r="AF11" s="51" t="s">
        <v>47</v>
      </c>
      <c r="AG11" s="51" t="s">
        <v>47</v>
      </c>
      <c r="AH11" s="51">
        <v>15</v>
      </c>
      <c r="AI11" s="78">
        <v>15</v>
      </c>
      <c r="AX11" s="437"/>
      <c r="AY11" s="437"/>
      <c r="AZ11" s="785"/>
      <c r="BA11" s="785"/>
      <c r="BB11" s="785"/>
      <c r="BC11" s="785"/>
      <c r="BD11" s="785"/>
      <c r="BE11" s="785"/>
      <c r="BF11" s="785"/>
      <c r="BG11" s="785"/>
      <c r="BH11" s="785"/>
      <c r="BI11" s="785"/>
      <c r="BJ11" s="443"/>
      <c r="BK11" s="443"/>
      <c r="BL11" s="443"/>
      <c r="BM11" s="443"/>
      <c r="BN11" s="443"/>
      <c r="BO11" s="443"/>
      <c r="BP11" s="443"/>
      <c r="BQ11" s="443"/>
      <c r="BR11" s="443"/>
      <c r="BS11" s="443"/>
      <c r="BT11" s="443"/>
      <c r="BU11" s="443"/>
      <c r="BV11" s="443"/>
      <c r="BW11" s="443"/>
      <c r="BX11" s="443"/>
      <c r="BY11" s="443"/>
      <c r="BZ11" s="443"/>
    </row>
    <row r="12" spans="1:80" s="347" customFormat="1" ht="10.5">
      <c r="A12" s="354" t="s">
        <v>462</v>
      </c>
      <c r="B12" s="342"/>
      <c r="C12" s="342"/>
      <c r="D12" s="342"/>
      <c r="E12" s="349"/>
      <c r="F12" s="393"/>
      <c r="G12" s="393"/>
      <c r="H12" s="393"/>
      <c r="I12" s="393"/>
      <c r="J12" s="437">
        <v>1142</v>
      </c>
      <c r="K12" s="393"/>
      <c r="L12" s="393"/>
      <c r="M12" s="393"/>
      <c r="N12" s="393"/>
      <c r="O12" s="437">
        <v>818</v>
      </c>
      <c r="P12" s="393"/>
      <c r="Q12" s="393"/>
      <c r="R12" s="393"/>
      <c r="S12" s="393"/>
      <c r="T12" s="437">
        <v>1177</v>
      </c>
      <c r="U12" s="393"/>
      <c r="V12" s="393"/>
      <c r="W12" s="393"/>
      <c r="X12" s="393"/>
      <c r="Y12" s="437">
        <v>1163</v>
      </c>
      <c r="Z12" s="393"/>
      <c r="AA12" s="393"/>
      <c r="AB12" s="393"/>
      <c r="AC12" s="393"/>
      <c r="AD12" s="347">
        <v>1107</v>
      </c>
      <c r="AE12" s="393"/>
      <c r="AF12" s="393"/>
      <c r="AG12" s="393"/>
      <c r="AH12" s="393"/>
      <c r="AI12" s="347">
        <v>1102</v>
      </c>
      <c r="AN12" s="437"/>
      <c r="AS12" s="437"/>
      <c r="AX12" s="437"/>
      <c r="AY12" s="437"/>
      <c r="BJ12" s="443"/>
      <c r="BK12" s="443"/>
      <c r="BL12" s="443"/>
      <c r="BM12" s="443"/>
      <c r="BN12" s="443"/>
      <c r="BO12" s="443"/>
      <c r="BP12" s="443"/>
      <c r="BQ12" s="443"/>
      <c r="BR12" s="443"/>
      <c r="BS12" s="443"/>
      <c r="BT12" s="443"/>
      <c r="BU12" s="443"/>
      <c r="BV12" s="443"/>
      <c r="BW12" s="443"/>
      <c r="BX12" s="443"/>
      <c r="BY12" s="443"/>
      <c r="BZ12" s="443"/>
    </row>
    <row r="13" spans="1:80" s="418" customFormat="1" ht="10.9" thickBot="1">
      <c r="A13" s="673"/>
      <c r="B13" s="673"/>
      <c r="C13" s="673"/>
      <c r="D13" s="673"/>
      <c r="E13" s="674"/>
      <c r="F13" s="675"/>
      <c r="G13" s="675"/>
      <c r="H13" s="675"/>
      <c r="I13" s="675"/>
      <c r="J13" s="676">
        <f>SUM(J10:J12)</f>
        <v>10135</v>
      </c>
      <c r="K13" s="675"/>
      <c r="L13" s="675"/>
      <c r="M13" s="675"/>
      <c r="N13" s="675"/>
      <c r="O13" s="676">
        <f>SUM(O10:O12)</f>
        <v>9787</v>
      </c>
      <c r="P13" s="675"/>
      <c r="Q13" s="675"/>
      <c r="R13" s="675"/>
      <c r="S13" s="675"/>
      <c r="T13" s="676">
        <f>SUM(T10:T12)</f>
        <v>7890</v>
      </c>
      <c r="U13" s="675"/>
      <c r="V13" s="675"/>
      <c r="W13" s="675"/>
      <c r="X13" s="675"/>
      <c r="Y13" s="676">
        <f>SUM(Y10:Y12)</f>
        <v>9166</v>
      </c>
      <c r="Z13" s="675"/>
      <c r="AA13" s="675"/>
      <c r="AB13" s="675"/>
      <c r="AC13" s="675"/>
      <c r="AD13" s="744">
        <f>SUM(AD10:AD12)</f>
        <v>9568</v>
      </c>
      <c r="AE13" s="675"/>
      <c r="AF13" s="675"/>
      <c r="AG13" s="675"/>
      <c r="AH13" s="675"/>
      <c r="AI13" s="744">
        <f>SUM(AI10:AI12)</f>
        <v>9481</v>
      </c>
      <c r="AJ13" s="677"/>
      <c r="AK13" s="677"/>
      <c r="AL13" s="677"/>
      <c r="AM13" s="677"/>
      <c r="AN13" s="678"/>
      <c r="AO13" s="677"/>
      <c r="AP13" s="677"/>
      <c r="AQ13" s="677"/>
      <c r="AR13" s="677"/>
      <c r="AS13" s="678"/>
      <c r="AT13" s="677"/>
      <c r="AU13" s="677"/>
      <c r="AV13" s="677"/>
      <c r="AW13" s="677"/>
      <c r="AX13" s="678"/>
      <c r="AY13" s="678"/>
      <c r="AZ13" s="677"/>
      <c r="BA13" s="677"/>
      <c r="BB13" s="677"/>
      <c r="BC13" s="677"/>
      <c r="BD13" s="677"/>
      <c r="BE13" s="677"/>
      <c r="BF13" s="677"/>
      <c r="BG13" s="677"/>
      <c r="BH13" s="677"/>
      <c r="BI13" s="677"/>
      <c r="BJ13" s="677"/>
      <c r="BK13" s="677"/>
      <c r="BL13" s="677"/>
      <c r="BM13" s="677"/>
      <c r="BN13" s="677"/>
      <c r="BO13" s="677"/>
      <c r="BP13" s="677"/>
      <c r="BQ13" s="677"/>
      <c r="BR13" s="677"/>
      <c r="BS13" s="677"/>
      <c r="BT13" s="677"/>
      <c r="BU13" s="677"/>
      <c r="BV13" s="677"/>
      <c r="BW13" s="677"/>
      <c r="BX13" s="677"/>
      <c r="BY13" s="677"/>
      <c r="BZ13" s="677"/>
      <c r="CA13" s="677"/>
      <c r="CB13" s="677"/>
    </row>
    <row r="14" spans="1:80" s="347" customFormat="1" ht="17" customHeight="1" thickTop="1">
      <c r="A14" s="322" t="s">
        <v>463</v>
      </c>
      <c r="B14" s="322" t="s">
        <v>464</v>
      </c>
      <c r="C14" s="322"/>
      <c r="D14" s="322"/>
      <c r="E14" s="323"/>
      <c r="F14" s="322"/>
      <c r="G14" s="322"/>
      <c r="H14" s="322"/>
      <c r="I14" s="322"/>
      <c r="J14" s="432"/>
      <c r="K14" s="322"/>
      <c r="L14" s="322"/>
      <c r="M14" s="322"/>
      <c r="N14" s="322"/>
      <c r="O14" s="432"/>
      <c r="P14" s="322"/>
      <c r="Q14" s="322"/>
      <c r="R14" s="322"/>
      <c r="S14" s="322"/>
      <c r="T14" s="432"/>
      <c r="U14" s="322"/>
      <c r="V14" s="322"/>
      <c r="W14" s="322"/>
      <c r="X14" s="322"/>
      <c r="Y14" s="432"/>
      <c r="Z14" s="322"/>
      <c r="AA14" s="322"/>
      <c r="AB14" s="322"/>
      <c r="AC14" s="322"/>
      <c r="AD14" s="742"/>
      <c r="AE14" s="322"/>
      <c r="AF14" s="322"/>
      <c r="AG14" s="322"/>
      <c r="AH14" s="322"/>
      <c r="AI14" s="742"/>
      <c r="AJ14" s="430"/>
      <c r="AK14" s="430"/>
      <c r="AL14" s="430"/>
      <c r="AM14" s="450" t="s">
        <v>465</v>
      </c>
      <c r="AN14" s="450"/>
      <c r="AO14" s="450"/>
      <c r="AP14" s="450"/>
      <c r="AQ14" s="450"/>
      <c r="AR14" s="450"/>
      <c r="AS14" s="430"/>
      <c r="AT14" s="430"/>
      <c r="AU14" s="450"/>
      <c r="AV14" s="450"/>
      <c r="AW14" s="450"/>
      <c r="AX14" s="450"/>
      <c r="AY14" s="450"/>
      <c r="BB14" s="347" t="s">
        <v>466</v>
      </c>
      <c r="BC14" s="441">
        <v>0.13</v>
      </c>
    </row>
    <row r="15" spans="1:80" s="347" customFormat="1" ht="10.5">
      <c r="A15" s="342"/>
      <c r="B15" s="342"/>
      <c r="C15" s="342"/>
      <c r="D15" s="342"/>
      <c r="E15" s="349"/>
      <c r="J15" s="437"/>
      <c r="O15" s="437"/>
      <c r="T15" s="437"/>
      <c r="Y15" s="437"/>
      <c r="AN15" s="437"/>
      <c r="AS15" s="437"/>
      <c r="AX15" s="437"/>
      <c r="AY15" s="437"/>
      <c r="BA15" s="347" t="s">
        <v>467</v>
      </c>
      <c r="BB15" s="347" t="s">
        <v>468</v>
      </c>
      <c r="BC15" s="347" t="s">
        <v>469</v>
      </c>
      <c r="BR15" s="447" t="s">
        <v>470</v>
      </c>
      <c r="BS15" s="447" t="s">
        <v>471</v>
      </c>
      <c r="BT15" s="447" t="s">
        <v>472</v>
      </c>
      <c r="BU15" s="447" t="s">
        <v>473</v>
      </c>
      <c r="BV15" s="447" t="s">
        <v>474</v>
      </c>
      <c r="BW15" s="447" t="s">
        <v>475</v>
      </c>
      <c r="BX15" s="447" t="s">
        <v>476</v>
      </c>
      <c r="BY15" s="447" t="s">
        <v>477</v>
      </c>
      <c r="BZ15" s="447" t="s">
        <v>478</v>
      </c>
      <c r="CA15" s="447" t="s">
        <v>479</v>
      </c>
      <c r="CB15" s="347">
        <v>2029</v>
      </c>
    </row>
    <row r="16" spans="1:80" s="347" customFormat="1" ht="10.5">
      <c r="A16" s="356" t="s">
        <v>480</v>
      </c>
      <c r="B16" s="342"/>
      <c r="C16" s="342"/>
      <c r="D16" s="342"/>
      <c r="E16" s="349"/>
      <c r="F16" s="50">
        <v>5698</v>
      </c>
      <c r="G16" s="50">
        <v>5758</v>
      </c>
      <c r="H16" s="50">
        <v>5589</v>
      </c>
      <c r="I16" s="50">
        <v>8695</v>
      </c>
      <c r="J16" s="671">
        <v>25739</v>
      </c>
      <c r="K16" s="50">
        <v>5676</v>
      </c>
      <c r="L16" s="50">
        <v>5722</v>
      </c>
      <c r="M16" s="50">
        <v>5356</v>
      </c>
      <c r="N16" s="50">
        <v>8577</v>
      </c>
      <c r="O16" s="671">
        <v>25331</v>
      </c>
      <c r="P16" s="50">
        <v>3148</v>
      </c>
      <c r="Q16" s="50">
        <v>3727</v>
      </c>
      <c r="R16" s="50">
        <v>4185</v>
      </c>
      <c r="S16" s="50">
        <v>7037</v>
      </c>
      <c r="T16" s="671">
        <v>18097</v>
      </c>
      <c r="U16" s="50">
        <v>4865</v>
      </c>
      <c r="V16" s="50">
        <v>5844</v>
      </c>
      <c r="W16" s="50">
        <v>5653</v>
      </c>
      <c r="X16" s="50">
        <v>8930</v>
      </c>
      <c r="Y16" s="671">
        <v>25399</v>
      </c>
      <c r="Z16" s="672">
        <v>5565</v>
      </c>
      <c r="AA16" s="672">
        <v>5834</v>
      </c>
      <c r="AB16" s="672">
        <v>5467</v>
      </c>
      <c r="AC16" s="672">
        <v>8583</v>
      </c>
      <c r="AD16" s="672">
        <v>25449</v>
      </c>
      <c r="AE16" s="672">
        <v>5173</v>
      </c>
      <c r="AF16" s="672">
        <v>5280</v>
      </c>
      <c r="AG16" s="672">
        <v>5038</v>
      </c>
      <c r="AH16" s="672">
        <v>8375</v>
      </c>
      <c r="AI16" s="687">
        <v>23866</v>
      </c>
      <c r="AJ16" s="384">
        <f>AJ23+AJ24</f>
        <v>5966.4834137026264</v>
      </c>
      <c r="AK16" s="384">
        <f t="shared" ref="AK16:AY16" si="19">AK23+AK24</f>
        <v>5966.4834137026264</v>
      </c>
      <c r="AL16" s="384">
        <f t="shared" si="19"/>
        <v>5966.4834137026264</v>
      </c>
      <c r="AM16" s="384">
        <f t="shared" si="19"/>
        <v>5966.4834137026264</v>
      </c>
      <c r="AN16" s="384">
        <f t="shared" si="19"/>
        <v>23865.933654810506</v>
      </c>
      <c r="AO16" s="384">
        <f t="shared" si="19"/>
        <v>6309.5163344499588</v>
      </c>
      <c r="AP16" s="384">
        <f t="shared" si="19"/>
        <v>6309.5163344499588</v>
      </c>
      <c r="AQ16" s="384">
        <f t="shared" si="19"/>
        <v>6309.5163344499588</v>
      </c>
      <c r="AR16" s="384">
        <f t="shared" si="19"/>
        <v>6309.5163344499588</v>
      </c>
      <c r="AS16" s="384">
        <f t="shared" si="19"/>
        <v>25238.065337799835</v>
      </c>
      <c r="AT16" s="384">
        <f t="shared" si="19"/>
        <v>6309.5413151251596</v>
      </c>
      <c r="AU16" s="384">
        <f t="shared" si="19"/>
        <v>6309.5413151251596</v>
      </c>
      <c r="AV16" s="384">
        <f t="shared" si="19"/>
        <v>6309.5413151251596</v>
      </c>
      <c r="AW16" s="384">
        <f t="shared" si="19"/>
        <v>6309.5413151251596</v>
      </c>
      <c r="AX16" s="384">
        <f>AX23+AX24</f>
        <v>25238.165260500638</v>
      </c>
      <c r="AY16" s="384">
        <f t="shared" si="19"/>
        <v>25238.310019068715</v>
      </c>
      <c r="BA16" s="347" t="s">
        <v>481</v>
      </c>
      <c r="BB16" s="348">
        <v>2.9000000000000001E-2</v>
      </c>
      <c r="BC16" s="347" t="s">
        <v>482</v>
      </c>
      <c r="BQ16" s="347" t="s">
        <v>483</v>
      </c>
      <c r="BR16" s="448">
        <v>839</v>
      </c>
      <c r="BS16" s="448">
        <v>789</v>
      </c>
      <c r="BT16" s="448">
        <v>787</v>
      </c>
      <c r="BU16" s="448">
        <v>783</v>
      </c>
      <c r="BV16" s="448">
        <v>718</v>
      </c>
      <c r="BW16" s="448">
        <v>680</v>
      </c>
      <c r="BX16" s="449">
        <f>BW16-66</f>
        <v>614</v>
      </c>
      <c r="BY16" s="449">
        <f>BX16-84</f>
        <v>530</v>
      </c>
      <c r="BZ16" s="449">
        <f>BY16-16</f>
        <v>514</v>
      </c>
      <c r="CA16" s="347">
        <v>516</v>
      </c>
      <c r="CB16" s="347">
        <v>516</v>
      </c>
    </row>
    <row r="17" spans="1:80" s="347" customFormat="1" ht="10.5">
      <c r="A17" s="353" t="s">
        <v>484</v>
      </c>
      <c r="B17" s="342"/>
      <c r="C17" s="342"/>
      <c r="D17" s="342"/>
      <c r="E17" s="349"/>
      <c r="J17" s="437"/>
      <c r="K17" s="348">
        <f>K4</f>
        <v>-3.8610038610038611E-3</v>
      </c>
      <c r="L17" s="348">
        <f t="shared" ref="L17:AH17" si="20">L4</f>
        <v>-6.252170892671066E-3</v>
      </c>
      <c r="M17" s="348">
        <f t="shared" si="20"/>
        <v>-4.1689032027196281E-2</v>
      </c>
      <c r="N17" s="348">
        <f t="shared" si="20"/>
        <v>-1.3571017826336976E-2</v>
      </c>
      <c r="O17" s="436">
        <f t="shared" si="20"/>
        <v>-1.5851431679552431E-2</v>
      </c>
      <c r="P17" s="348">
        <f t="shared" si="20"/>
        <v>-0.44538407329105001</v>
      </c>
      <c r="Q17" s="348">
        <f t="shared" si="20"/>
        <v>-0.34865431667249214</v>
      </c>
      <c r="R17" s="348">
        <f t="shared" si="20"/>
        <v>-0.21863330843913367</v>
      </c>
      <c r="S17" s="348">
        <f t="shared" si="20"/>
        <v>-0.17954995919319108</v>
      </c>
      <c r="T17" s="436">
        <f t="shared" si="20"/>
        <v>-0.28557893490189884</v>
      </c>
      <c r="U17" s="348">
        <f t="shared" si="20"/>
        <v>0.545425667090216</v>
      </c>
      <c r="V17" s="348">
        <f t="shared" si="20"/>
        <v>0.56801717198819424</v>
      </c>
      <c r="W17" s="348">
        <f t="shared" si="20"/>
        <v>0.35077658303464754</v>
      </c>
      <c r="X17" s="348">
        <f t="shared" si="20"/>
        <v>0.26900667898252095</v>
      </c>
      <c r="Y17" s="436">
        <f t="shared" si="20"/>
        <v>0.40349229154003424</v>
      </c>
      <c r="Z17" s="348">
        <f t="shared" si="20"/>
        <v>0.14388489208633093</v>
      </c>
      <c r="AA17" s="348">
        <f t="shared" si="20"/>
        <v>-1.7111567419575632E-3</v>
      </c>
      <c r="AB17" s="348">
        <f t="shared" si="20"/>
        <v>-3.2902883424730231E-2</v>
      </c>
      <c r="AC17" s="348">
        <f t="shared" si="20"/>
        <v>-3.8857782754759242E-2</v>
      </c>
      <c r="AD17" s="348">
        <f t="shared" si="20"/>
        <v>1.9685814402141816E-3</v>
      </c>
      <c r="AE17" s="348">
        <f t="shared" si="20"/>
        <v>-7.0440251572327042E-2</v>
      </c>
      <c r="AF17" s="348">
        <f t="shared" si="20"/>
        <v>-9.4960575934178948E-2</v>
      </c>
      <c r="AG17" s="348">
        <f t="shared" si="20"/>
        <v>-7.847082494969819E-2</v>
      </c>
      <c r="AH17" s="348">
        <f t="shared" si="20"/>
        <v>-2.423395083304206E-2</v>
      </c>
      <c r="AI17" s="348">
        <f>AI4</f>
        <v>-6.2202837046642305E-2</v>
      </c>
      <c r="AK17" s="423"/>
      <c r="AN17" s="437"/>
      <c r="AS17" s="437"/>
      <c r="AX17" s="437"/>
      <c r="AY17" s="437"/>
      <c r="BA17" s="347" t="s">
        <v>485</v>
      </c>
      <c r="BB17" s="348">
        <v>1.8800000000000001E-2</v>
      </c>
      <c r="BC17" s="347" t="s">
        <v>486</v>
      </c>
      <c r="BQ17" s="347" t="s">
        <v>487</v>
      </c>
      <c r="BS17" s="348">
        <f>(BS16-BR16)/BR16</f>
        <v>-5.959475566150179E-2</v>
      </c>
      <c r="BT17" s="348">
        <f t="shared" ref="BT17:BZ17" si="21">(BT16-BS16)/BS16</f>
        <v>-2.5348542458808617E-3</v>
      </c>
      <c r="BU17" s="348">
        <f t="shared" si="21"/>
        <v>-5.0825921219822112E-3</v>
      </c>
      <c r="BV17" s="348">
        <f t="shared" si="21"/>
        <v>-8.3014048531289908E-2</v>
      </c>
      <c r="BW17" s="348">
        <f t="shared" si="21"/>
        <v>-5.2924791086350974E-2</v>
      </c>
      <c r="BX17" s="348">
        <f t="shared" si="21"/>
        <v>-9.7058823529411767E-2</v>
      </c>
      <c r="BY17" s="348">
        <f t="shared" si="21"/>
        <v>-0.13680781758957655</v>
      </c>
      <c r="BZ17" s="348">
        <f t="shared" si="21"/>
        <v>-3.0188679245283019E-2</v>
      </c>
      <c r="CA17" s="348">
        <f t="shared" ref="CA17" si="22">(CA16-BZ16)/BZ16</f>
        <v>3.8910505836575876E-3</v>
      </c>
      <c r="CB17" s="348">
        <f t="shared" ref="CB17" si="23">(CB16-CA16)/CA16</f>
        <v>0</v>
      </c>
    </row>
    <row r="18" spans="1:80" s="347" customFormat="1" ht="10.5">
      <c r="A18" s="356" t="s">
        <v>488</v>
      </c>
      <c r="B18" s="342"/>
      <c r="C18" s="342"/>
      <c r="D18" s="342"/>
      <c r="E18" s="349"/>
      <c r="J18" s="437"/>
      <c r="O18" s="437"/>
      <c r="T18" s="437"/>
      <c r="Y18" s="437"/>
      <c r="AK18" s="348"/>
      <c r="AN18" s="437"/>
      <c r="AS18" s="437"/>
      <c r="AX18" s="437"/>
      <c r="AY18" s="437"/>
      <c r="BA18" s="347" t="s">
        <v>489</v>
      </c>
      <c r="BB18" s="348">
        <v>1.9300000000000001E-2</v>
      </c>
      <c r="BC18" s="347" t="s">
        <v>486</v>
      </c>
      <c r="BQ18" s="347" t="s">
        <v>490</v>
      </c>
      <c r="BR18" s="347">
        <f>BR16*16%</f>
        <v>134.24</v>
      </c>
      <c r="BS18" s="347">
        <f>BS16*16%</f>
        <v>126.24000000000001</v>
      </c>
      <c r="BT18" s="347">
        <f t="shared" ref="BT18:CB18" si="24">BT16*16%</f>
        <v>125.92</v>
      </c>
      <c r="BU18" s="347">
        <f t="shared" si="24"/>
        <v>125.28</v>
      </c>
      <c r="BV18" s="347">
        <f t="shared" si="24"/>
        <v>114.88</v>
      </c>
      <c r="BW18" s="347">
        <f t="shared" si="24"/>
        <v>108.8</v>
      </c>
      <c r="BX18" s="347">
        <f t="shared" si="24"/>
        <v>98.240000000000009</v>
      </c>
      <c r="BY18" s="347">
        <f t="shared" si="24"/>
        <v>84.8</v>
      </c>
      <c r="BZ18" s="347">
        <f t="shared" si="24"/>
        <v>82.24</v>
      </c>
      <c r="CA18" s="347">
        <f t="shared" si="24"/>
        <v>82.56</v>
      </c>
      <c r="CB18" s="347">
        <f t="shared" si="24"/>
        <v>82.56</v>
      </c>
    </row>
    <row r="19" spans="1:80" s="347" customFormat="1" ht="10.5">
      <c r="A19" s="357" t="s">
        <v>491</v>
      </c>
      <c r="B19" s="342"/>
      <c r="C19" s="342"/>
      <c r="D19" s="342"/>
      <c r="E19" s="349"/>
      <c r="F19" s="347">
        <v>2152</v>
      </c>
      <c r="G19" s="347">
        <v>2039</v>
      </c>
      <c r="H19" s="347">
        <v>1960</v>
      </c>
      <c r="I19" s="347">
        <f>J19-(H19+G19+F19)</f>
        <v>3303</v>
      </c>
      <c r="J19" s="437">
        <v>9454</v>
      </c>
      <c r="K19" s="347">
        <v>1215</v>
      </c>
      <c r="L19" s="347">
        <v>1381</v>
      </c>
      <c r="M19" s="347">
        <v>1677</v>
      </c>
      <c r="N19" s="347">
        <f>O19-(M19+L19+K19)</f>
        <v>2933</v>
      </c>
      <c r="O19" s="437">
        <v>7206</v>
      </c>
      <c r="P19" s="347">
        <v>2023</v>
      </c>
      <c r="Q19" s="347">
        <v>2092</v>
      </c>
      <c r="R19" s="347">
        <v>2011</v>
      </c>
      <c r="S19" s="347">
        <f>T19-(R19+Q19+P19)</f>
        <v>3709</v>
      </c>
      <c r="T19" s="437">
        <v>9835</v>
      </c>
      <c r="U19" s="347">
        <v>2237</v>
      </c>
      <c r="V19" s="347">
        <v>2099</v>
      </c>
      <c r="W19" s="347">
        <v>2025</v>
      </c>
      <c r="X19" s="347">
        <f>Y19-(W19+V19+U19)</f>
        <v>3236</v>
      </c>
      <c r="Y19" s="437">
        <v>9597</v>
      </c>
      <c r="Z19" s="347">
        <v>2025</v>
      </c>
      <c r="AA19" s="347">
        <v>2050</v>
      </c>
      <c r="AB19" s="347">
        <v>1992</v>
      </c>
      <c r="AC19" s="347">
        <f>AD19-(AB19+AA19+Z19)</f>
        <v>3453</v>
      </c>
      <c r="AD19" s="347">
        <v>9520</v>
      </c>
      <c r="AE19" s="347">
        <v>2070</v>
      </c>
      <c r="AF19" s="347">
        <v>1990</v>
      </c>
      <c r="AG19" s="347">
        <v>1971</v>
      </c>
      <c r="AH19" s="347">
        <f>AI19-(AG19+AF19+AE19)</f>
        <v>3302</v>
      </c>
      <c r="AI19" s="347">
        <v>9333</v>
      </c>
      <c r="AJ19" s="347">
        <f>$AN$19/4</f>
        <v>2333.2481294642857</v>
      </c>
      <c r="AK19" s="347">
        <f t="shared" ref="AK19:AM19" si="25">$AN$19/4</f>
        <v>2333.2481294642857</v>
      </c>
      <c r="AL19" s="347">
        <f t="shared" si="25"/>
        <v>2333.2481294642857</v>
      </c>
      <c r="AM19" s="347">
        <f t="shared" si="25"/>
        <v>2333.2481294642857</v>
      </c>
      <c r="AN19" s="438">
        <f>BC23</f>
        <v>9332.992517857143</v>
      </c>
      <c r="AO19" s="347">
        <f>$AS$19/4</f>
        <v>2333.2492991071431</v>
      </c>
      <c r="AP19" s="347">
        <f t="shared" ref="AP19:AR19" si="26">$AS$19/4</f>
        <v>2333.2492991071431</v>
      </c>
      <c r="AQ19" s="347">
        <f t="shared" si="26"/>
        <v>2333.2492991071431</v>
      </c>
      <c r="AR19" s="347">
        <f t="shared" si="26"/>
        <v>2333.2492991071431</v>
      </c>
      <c r="AS19" s="438">
        <f>BC24</f>
        <v>9332.9971964285724</v>
      </c>
      <c r="AT19" s="347">
        <f>$AX$19/4</f>
        <v>2333.2535089285716</v>
      </c>
      <c r="AU19" s="347">
        <f t="shared" ref="AU19:AW19" si="27">$AX$19/4</f>
        <v>2333.2535089285716</v>
      </c>
      <c r="AV19" s="347">
        <f t="shared" si="27"/>
        <v>2333.2535089285716</v>
      </c>
      <c r="AW19" s="347">
        <f t="shared" si="27"/>
        <v>2333.2535089285716</v>
      </c>
      <c r="AX19" s="438">
        <f>BC25</f>
        <v>9333.0140357142864</v>
      </c>
      <c r="AY19" s="438">
        <f>BC26</f>
        <v>9333.0430357142868</v>
      </c>
      <c r="BA19" s="347" t="s">
        <v>492</v>
      </c>
      <c r="BB19" s="348">
        <v>4.9299999999999997E-2</v>
      </c>
      <c r="BC19" s="348">
        <v>-5.0000000000000001E-3</v>
      </c>
      <c r="BQ19" s="347" t="s">
        <v>487</v>
      </c>
      <c r="BS19" s="348">
        <f>(BS18-BR18)/BR18</f>
        <v>-5.9594755661501783E-2</v>
      </c>
      <c r="BT19" s="348">
        <f t="shared" ref="BT19:CB19" si="28">(BT18-BS18)/BS18</f>
        <v>-2.5348542458809202E-3</v>
      </c>
      <c r="BU19" s="348">
        <f t="shared" si="28"/>
        <v>-5.0825921219822155E-3</v>
      </c>
      <c r="BV19" s="348">
        <f t="shared" si="28"/>
        <v>-8.301404853128995E-2</v>
      </c>
      <c r="BW19" s="348">
        <f t="shared" si="28"/>
        <v>-5.292479108635096E-2</v>
      </c>
      <c r="BX19" s="348">
        <f>($BX$18-BW$18)/$BW18</f>
        <v>-9.7058823529411656E-2</v>
      </c>
      <c r="BY19" s="348">
        <f t="shared" si="28"/>
        <v>-0.13680781758957666</v>
      </c>
      <c r="BZ19" s="348">
        <f t="shared" si="28"/>
        <v>-3.0188679245283047E-2</v>
      </c>
      <c r="CA19" s="348">
        <f t="shared" si="28"/>
        <v>3.8910505836576778E-3</v>
      </c>
      <c r="CB19" s="348">
        <f t="shared" si="28"/>
        <v>0</v>
      </c>
    </row>
    <row r="20" spans="1:80" s="347" customFormat="1" ht="10.5">
      <c r="A20" s="357" t="s">
        <v>493</v>
      </c>
      <c r="B20" s="342"/>
      <c r="C20" s="342"/>
      <c r="D20" s="342"/>
      <c r="E20" s="349"/>
      <c r="F20" s="347">
        <v>1313</v>
      </c>
      <c r="G20" s="347">
        <v>1269</v>
      </c>
      <c r="H20" s="347">
        <v>1197</v>
      </c>
      <c r="I20" s="347">
        <f t="shared" ref="I20:I22" si="29">J20-(H20+G20+F20)</f>
        <v>1632</v>
      </c>
      <c r="J20" s="437">
        <v>5411</v>
      </c>
      <c r="K20" s="347">
        <v>579</v>
      </c>
      <c r="L20" s="347">
        <v>626</v>
      </c>
      <c r="M20" s="347">
        <v>690</v>
      </c>
      <c r="N20" s="347">
        <f t="shared" ref="N20:N22" si="30">O20-(M20+L20+K20)</f>
        <v>1014</v>
      </c>
      <c r="O20" s="437">
        <v>2909</v>
      </c>
      <c r="P20" s="347">
        <v>913</v>
      </c>
      <c r="Q20" s="347">
        <v>1299</v>
      </c>
      <c r="R20" s="347">
        <v>1211</v>
      </c>
      <c r="S20" s="347">
        <f t="shared" ref="S20:S22" si="31">T20-(R20+Q20+P20)</f>
        <v>751</v>
      </c>
      <c r="T20" s="437">
        <v>4174</v>
      </c>
      <c r="U20" s="347">
        <v>1135</v>
      </c>
      <c r="V20" s="347">
        <v>1267</v>
      </c>
      <c r="W20" s="347">
        <v>1223</v>
      </c>
      <c r="X20" s="347">
        <f t="shared" ref="X20:X22" si="32">Y20-(W20+V20+U20)</f>
        <v>1724</v>
      </c>
      <c r="Y20" s="437">
        <v>5349</v>
      </c>
      <c r="Z20" s="347">
        <v>1150</v>
      </c>
      <c r="AA20" s="347">
        <v>1120</v>
      </c>
      <c r="AB20" s="347">
        <v>1088</v>
      </c>
      <c r="AC20" s="347">
        <f t="shared" ref="AC20:AC22" si="33">AD20-(AB20+AA20+Z20)</f>
        <v>1503</v>
      </c>
      <c r="AD20" s="347">
        <v>4861</v>
      </c>
      <c r="AE20" s="347">
        <v>1145</v>
      </c>
      <c r="AF20" s="347">
        <v>1110</v>
      </c>
      <c r="AG20" s="347">
        <v>1077</v>
      </c>
      <c r="AH20" s="347">
        <f t="shared" ref="AH20:AH22" si="34">AI20-(AG20+AF20+AE20)</f>
        <v>1494</v>
      </c>
      <c r="AI20" s="347">
        <v>4826</v>
      </c>
      <c r="AJ20" s="347">
        <f>$AN$20/4</f>
        <v>1206.4998249691421</v>
      </c>
      <c r="AK20" s="347">
        <f t="shared" ref="AK20:AL20" si="35">$AN$20/4</f>
        <v>1206.4998249691421</v>
      </c>
      <c r="AL20" s="347">
        <f t="shared" si="35"/>
        <v>1206.4998249691421</v>
      </c>
      <c r="AM20" s="347">
        <f>$AN$20/4</f>
        <v>1206.4998249691421</v>
      </c>
      <c r="AN20" s="438">
        <f>BG23</f>
        <v>4825.9992998765683</v>
      </c>
      <c r="AO20" s="347">
        <f>$AS$20/4</f>
        <v>1206.5012749485702</v>
      </c>
      <c r="AP20" s="347">
        <f t="shared" ref="AP20:AR20" si="36">$AS$20/4</f>
        <v>1206.5012749485702</v>
      </c>
      <c r="AQ20" s="347">
        <f t="shared" si="36"/>
        <v>1206.5012749485702</v>
      </c>
      <c r="AR20" s="347">
        <f t="shared" si="36"/>
        <v>1206.5012749485702</v>
      </c>
      <c r="AS20" s="438">
        <f>BG24</f>
        <v>4826.0050997942808</v>
      </c>
      <c r="AT20" s="347">
        <f>$AX$20/4</f>
        <v>1206.5043499382843</v>
      </c>
      <c r="AU20" s="347">
        <f t="shared" ref="AU20:AW20" si="37">$AX$20/4</f>
        <v>1206.5043499382843</v>
      </c>
      <c r="AV20" s="347">
        <f t="shared" si="37"/>
        <v>1206.5043499382843</v>
      </c>
      <c r="AW20" s="347">
        <f t="shared" si="37"/>
        <v>1206.5043499382843</v>
      </c>
      <c r="AX20" s="438">
        <f>BG25</f>
        <v>4826.0173997531374</v>
      </c>
      <c r="AY20" s="438">
        <f>BG26</f>
        <v>4826.0361997531372</v>
      </c>
    </row>
    <row r="21" spans="1:80" s="347" customFormat="1" ht="10.5">
      <c r="A21" s="357" t="s">
        <v>494</v>
      </c>
      <c r="B21" s="342"/>
      <c r="C21" s="342"/>
      <c r="D21" s="342"/>
      <c r="E21" s="349"/>
      <c r="F21" s="347">
        <v>1202</v>
      </c>
      <c r="G21" s="347">
        <v>1266</v>
      </c>
      <c r="H21" s="347">
        <v>1195</v>
      </c>
      <c r="I21" s="347">
        <f t="shared" si="29"/>
        <v>1965</v>
      </c>
      <c r="J21" s="437">
        <v>5628</v>
      </c>
      <c r="K21" s="347">
        <v>573</v>
      </c>
      <c r="L21" s="347">
        <v>727</v>
      </c>
      <c r="M21" s="347">
        <v>790</v>
      </c>
      <c r="N21" s="347">
        <f t="shared" si="30"/>
        <v>1396</v>
      </c>
      <c r="O21" s="437">
        <v>3486</v>
      </c>
      <c r="P21" s="347">
        <v>932</v>
      </c>
      <c r="Q21" s="347">
        <v>1223</v>
      </c>
      <c r="R21" s="347">
        <v>1194</v>
      </c>
      <c r="S21" s="347">
        <f t="shared" si="31"/>
        <v>1898</v>
      </c>
      <c r="T21" s="437">
        <v>5247</v>
      </c>
      <c r="U21" s="347">
        <v>1086</v>
      </c>
      <c r="V21" s="347">
        <v>1220</v>
      </c>
      <c r="W21" s="347">
        <v>1153</v>
      </c>
      <c r="X21" s="347">
        <f t="shared" si="32"/>
        <v>1838</v>
      </c>
      <c r="Y21" s="437">
        <v>5297</v>
      </c>
      <c r="Z21" s="347">
        <v>1018</v>
      </c>
      <c r="AA21" s="347">
        <v>1110</v>
      </c>
      <c r="AB21" s="347">
        <v>1049</v>
      </c>
      <c r="AC21" s="347">
        <f t="shared" si="33"/>
        <v>1741</v>
      </c>
      <c r="AD21" s="347">
        <v>4918</v>
      </c>
      <c r="AE21" s="347">
        <v>981</v>
      </c>
      <c r="AF21" s="347">
        <v>1056</v>
      </c>
      <c r="AG21" s="347">
        <v>1034</v>
      </c>
      <c r="AH21" s="347">
        <f t="shared" si="34"/>
        <v>1682</v>
      </c>
      <c r="AI21" s="347">
        <v>4753</v>
      </c>
      <c r="AJ21" s="347">
        <f>$AN$21/4</f>
        <v>1188.2448843330621</v>
      </c>
      <c r="AK21" s="347">
        <f t="shared" ref="AK21:AM21" si="38">$AN$21/4</f>
        <v>1188.2448843330621</v>
      </c>
      <c r="AL21" s="347">
        <f t="shared" si="38"/>
        <v>1188.2448843330621</v>
      </c>
      <c r="AM21" s="347">
        <f t="shared" si="38"/>
        <v>1188.2448843330621</v>
      </c>
      <c r="AN21" s="438">
        <f>BK23</f>
        <v>4752.9795373322486</v>
      </c>
      <c r="AO21" s="347">
        <f>$AS$21/4</f>
        <v>1188.2430405551036</v>
      </c>
      <c r="AP21" s="347">
        <f t="shared" ref="AP21:AR21" si="39">$AS$21/4</f>
        <v>1188.2430405551036</v>
      </c>
      <c r="AQ21" s="347">
        <f t="shared" si="39"/>
        <v>1188.2430405551036</v>
      </c>
      <c r="AR21" s="347">
        <f t="shared" si="39"/>
        <v>1188.2430405551036</v>
      </c>
      <c r="AS21" s="438">
        <f>BK24</f>
        <v>4752.9721622204142</v>
      </c>
      <c r="AT21" s="347">
        <f>$AX$21/4</f>
        <v>1188.2444686661242</v>
      </c>
      <c r="AU21" s="347">
        <f t="shared" ref="AU21:AV21" si="40">$AX$21/4</f>
        <v>1188.2444686661242</v>
      </c>
      <c r="AV21" s="347">
        <f t="shared" si="40"/>
        <v>1188.2444686661242</v>
      </c>
      <c r="AW21" s="347">
        <f>$AX$21/4</f>
        <v>1188.2444686661242</v>
      </c>
      <c r="AX21" s="438">
        <f>BK25</f>
        <v>4752.977874664497</v>
      </c>
      <c r="AY21" s="438">
        <f>BK26</f>
        <v>4752.9966746644968</v>
      </c>
      <c r="BB21" s="445">
        <f>(AI19-AD19)/AD19</f>
        <v>-1.9642857142857142E-2</v>
      </c>
      <c r="BC21" s="444" t="s">
        <v>495</v>
      </c>
      <c r="BF21" s="445">
        <f>(AI20-AD20)/AD20</f>
        <v>-7.2001645751902897E-3</v>
      </c>
      <c r="BG21" s="444" t="s">
        <v>495</v>
      </c>
      <c r="BJ21" s="445">
        <f>(AI21-AD21)/AD21</f>
        <v>-3.355022366815779E-2</v>
      </c>
      <c r="BK21" s="444" t="s">
        <v>495</v>
      </c>
      <c r="BN21" s="445">
        <f>(AI22-AD22)/AD22</f>
        <v>-0.10862114421302399</v>
      </c>
      <c r="BO21" s="444" t="s">
        <v>495</v>
      </c>
    </row>
    <row r="22" spans="1:80" s="347" customFormat="1" ht="10.5">
      <c r="A22" s="357" t="s">
        <v>496</v>
      </c>
      <c r="B22" s="342"/>
      <c r="C22" s="342"/>
      <c r="D22" s="342"/>
      <c r="E22" s="349"/>
      <c r="F22" s="347">
        <v>837</v>
      </c>
      <c r="G22" s="347">
        <v>972</v>
      </c>
      <c r="H22" s="347">
        <v>821</v>
      </c>
      <c r="I22" s="347">
        <f t="shared" si="29"/>
        <v>1437</v>
      </c>
      <c r="J22" s="437">
        <v>4067</v>
      </c>
      <c r="K22" s="347">
        <v>650</v>
      </c>
      <c r="L22" s="347">
        <v>825</v>
      </c>
      <c r="M22" s="347">
        <v>833</v>
      </c>
      <c r="N22" s="347">
        <f t="shared" si="30"/>
        <v>1437</v>
      </c>
      <c r="O22" s="437">
        <v>3745</v>
      </c>
      <c r="P22" s="347">
        <v>838</v>
      </c>
      <c r="Q22" s="347">
        <v>1033</v>
      </c>
      <c r="R22" s="347">
        <v>1024</v>
      </c>
      <c r="S22" s="347">
        <f t="shared" si="31"/>
        <v>1759</v>
      </c>
      <c r="T22" s="437">
        <v>4654</v>
      </c>
      <c r="U22" s="347">
        <v>890</v>
      </c>
      <c r="V22" s="347">
        <v>1014</v>
      </c>
      <c r="W22" s="347">
        <v>829</v>
      </c>
      <c r="X22" s="347">
        <f t="shared" si="32"/>
        <v>1466</v>
      </c>
      <c r="Y22" s="437">
        <v>4199</v>
      </c>
      <c r="Z22" s="347">
        <v>789</v>
      </c>
      <c r="AA22" s="347">
        <v>860</v>
      </c>
      <c r="AB22" s="347">
        <v>731</v>
      </c>
      <c r="AC22" s="347">
        <f t="shared" si="33"/>
        <v>1413</v>
      </c>
      <c r="AD22" s="347">
        <v>3793</v>
      </c>
      <c r="AE22" s="347">
        <v>650</v>
      </c>
      <c r="AF22" s="347">
        <v>771</v>
      </c>
      <c r="AG22" s="347">
        <v>660</v>
      </c>
      <c r="AH22" s="347">
        <f t="shared" si="34"/>
        <v>1300</v>
      </c>
      <c r="AI22" s="347">
        <v>3381</v>
      </c>
      <c r="AJ22" s="347">
        <f>$AN$22/4</f>
        <v>845.22573529411761</v>
      </c>
      <c r="AK22" s="347">
        <f t="shared" ref="AK22:AM22" si="41">$AN$22/4</f>
        <v>845.22573529411761</v>
      </c>
      <c r="AL22" s="347">
        <f t="shared" si="41"/>
        <v>845.22573529411761</v>
      </c>
      <c r="AM22" s="347">
        <f t="shared" si="41"/>
        <v>845.22573529411761</v>
      </c>
      <c r="AN22" s="438">
        <f>BO23</f>
        <v>3380.9029411764704</v>
      </c>
      <c r="AO22" s="347">
        <f>$AS$22/4</f>
        <v>1188.2430405551036</v>
      </c>
      <c r="AP22" s="347">
        <f t="shared" ref="AP22:AR22" si="42">$AS$22/4</f>
        <v>1188.2430405551036</v>
      </c>
      <c r="AQ22" s="347">
        <f t="shared" si="42"/>
        <v>1188.2430405551036</v>
      </c>
      <c r="AR22" s="347">
        <f t="shared" si="42"/>
        <v>1188.2430405551036</v>
      </c>
      <c r="AS22" s="438">
        <f>BK24</f>
        <v>4752.9721622204142</v>
      </c>
      <c r="AT22" s="347">
        <f>$AX$22/4</f>
        <v>1188.2444686661242</v>
      </c>
      <c r="AU22" s="347">
        <f t="shared" ref="AU22:AW22" si="43">$AX$22/4</f>
        <v>1188.2444686661242</v>
      </c>
      <c r="AV22" s="347">
        <f t="shared" si="43"/>
        <v>1188.2444686661242</v>
      </c>
      <c r="AW22" s="347">
        <f t="shared" si="43"/>
        <v>1188.2444686661242</v>
      </c>
      <c r="AX22" s="438">
        <f>BK25</f>
        <v>4752.977874664497</v>
      </c>
      <c r="AY22" s="438">
        <f>BK26</f>
        <v>4752.9966746644968</v>
      </c>
      <c r="BA22" s="347" t="s">
        <v>481</v>
      </c>
      <c r="BB22" s="348">
        <v>2.9000000000000001E-2</v>
      </c>
      <c r="BC22" s="446">
        <f>(BB22-BB21)/4</f>
        <v>1.2160714285714285E-2</v>
      </c>
      <c r="BE22" s="347" t="s">
        <v>497</v>
      </c>
      <c r="BF22" s="348">
        <v>1.8800000000000001E-2</v>
      </c>
      <c r="BG22" s="446">
        <f>(BF22-BF21)/4</f>
        <v>6.5000411437975726E-3</v>
      </c>
      <c r="BI22" s="347" t="s">
        <v>498</v>
      </c>
      <c r="BJ22" s="348">
        <v>1.8800000000000001E-2</v>
      </c>
      <c r="BK22" s="348">
        <f>(BJ22-BJ21)/4</f>
        <v>1.3087555917039449E-2</v>
      </c>
      <c r="BM22" s="347" t="s">
        <v>499</v>
      </c>
      <c r="BQ22" s="347" t="s">
        <v>260</v>
      </c>
      <c r="BR22" s="347" t="s">
        <v>500</v>
      </c>
      <c r="BS22" s="347" t="s">
        <v>501</v>
      </c>
      <c r="BT22" s="347" t="s">
        <v>502</v>
      </c>
      <c r="BU22" s="347" t="s">
        <v>503</v>
      </c>
    </row>
    <row r="23" spans="1:80" s="347" customFormat="1" ht="10.9" thickBot="1">
      <c r="A23" s="417" t="s">
        <v>504</v>
      </c>
      <c r="B23" s="342"/>
      <c r="C23" s="342"/>
      <c r="D23" s="342"/>
      <c r="E23" s="349"/>
      <c r="F23" s="679">
        <f>SUM(F19:F22)</f>
        <v>5504</v>
      </c>
      <c r="G23" s="679">
        <f t="shared" ref="G23:I23" si="44">SUM(G19:G22)</f>
        <v>5546</v>
      </c>
      <c r="H23" s="679">
        <f t="shared" si="44"/>
        <v>5173</v>
      </c>
      <c r="I23" s="679">
        <f t="shared" si="44"/>
        <v>8337</v>
      </c>
      <c r="J23" s="680">
        <f>SUM(J19:J22)</f>
        <v>24560</v>
      </c>
      <c r="K23" s="680">
        <f t="shared" ref="K23:N23" si="45">SUM(K19:K22)</f>
        <v>3017</v>
      </c>
      <c r="L23" s="680">
        <f t="shared" si="45"/>
        <v>3559</v>
      </c>
      <c r="M23" s="680">
        <f t="shared" si="45"/>
        <v>3990</v>
      </c>
      <c r="N23" s="680">
        <f t="shared" si="45"/>
        <v>6780</v>
      </c>
      <c r="O23" s="680">
        <f>SUM(O19:O22)</f>
        <v>17346</v>
      </c>
      <c r="P23" s="679"/>
      <c r="Q23" s="679"/>
      <c r="R23" s="679"/>
      <c r="S23" s="679"/>
      <c r="T23" s="680">
        <f>SUM(T19:T22)</f>
        <v>23910</v>
      </c>
      <c r="U23" s="680">
        <f t="shared" ref="U23:X23" si="46">SUM(U19:U22)</f>
        <v>5348</v>
      </c>
      <c r="V23" s="680">
        <f t="shared" si="46"/>
        <v>5600</v>
      </c>
      <c r="W23" s="680">
        <f t="shared" si="46"/>
        <v>5230</v>
      </c>
      <c r="X23" s="680">
        <f t="shared" si="46"/>
        <v>8264</v>
      </c>
      <c r="Y23" s="680">
        <f>SUM(Y19:Y22)</f>
        <v>24442</v>
      </c>
      <c r="Z23" s="680">
        <f t="shared" ref="Z23:AC23" si="47">SUM(Z19:Z22)</f>
        <v>4982</v>
      </c>
      <c r="AA23" s="680">
        <f t="shared" si="47"/>
        <v>5140</v>
      </c>
      <c r="AB23" s="680">
        <f t="shared" si="47"/>
        <v>4860</v>
      </c>
      <c r="AC23" s="680">
        <f t="shared" si="47"/>
        <v>8110</v>
      </c>
      <c r="AD23" s="679">
        <f>SUM(AD19:AD22)</f>
        <v>23092</v>
      </c>
      <c r="AE23" s="680">
        <f t="shared" ref="AE23:AH23" si="48">SUM(AE19:AE22)</f>
        <v>4846</v>
      </c>
      <c r="AF23" s="680">
        <f t="shared" si="48"/>
        <v>4927</v>
      </c>
      <c r="AG23" s="680">
        <f t="shared" si="48"/>
        <v>4742</v>
      </c>
      <c r="AH23" s="680">
        <f t="shared" si="48"/>
        <v>7778</v>
      </c>
      <c r="AI23" s="679">
        <f>SUM(AI19:AI22)</f>
        <v>22293</v>
      </c>
      <c r="AJ23" s="680">
        <f t="shared" ref="AJ23:AS23" si="49">SUM(AJ19:AJ22)</f>
        <v>5573.2185740606074</v>
      </c>
      <c r="AK23" s="680">
        <f t="shared" si="49"/>
        <v>5573.2185740606074</v>
      </c>
      <c r="AL23" s="680">
        <f t="shared" si="49"/>
        <v>5573.2185740606074</v>
      </c>
      <c r="AM23" s="680">
        <f t="shared" si="49"/>
        <v>5573.2185740606074</v>
      </c>
      <c r="AN23" s="680">
        <f t="shared" si="49"/>
        <v>22292.874296242429</v>
      </c>
      <c r="AO23" s="680">
        <f t="shared" si="49"/>
        <v>5916.2366551659215</v>
      </c>
      <c r="AP23" s="680">
        <f t="shared" si="49"/>
        <v>5916.2366551659215</v>
      </c>
      <c r="AQ23" s="680">
        <f t="shared" si="49"/>
        <v>5916.2366551659215</v>
      </c>
      <c r="AR23" s="680">
        <f t="shared" si="49"/>
        <v>5916.2366551659215</v>
      </c>
      <c r="AS23" s="680">
        <f t="shared" si="49"/>
        <v>23664.946620663686</v>
      </c>
      <c r="AT23" s="680">
        <f>SUM(AT19:AT22)</f>
        <v>5916.2467961991042</v>
      </c>
      <c r="AU23" s="680">
        <f t="shared" ref="AU23" si="50">SUM(AU19:AU22)</f>
        <v>5916.2467961991042</v>
      </c>
      <c r="AV23" s="680">
        <f t="shared" ref="AV23" si="51">SUM(AV19:AV22)</f>
        <v>5916.2467961991042</v>
      </c>
      <c r="AW23" s="680">
        <f t="shared" ref="AW23" si="52">SUM(AW19:AW22)</f>
        <v>5916.2467961991042</v>
      </c>
      <c r="AX23" s="681">
        <f>SUM(AX19:AX22)</f>
        <v>23664.987184796417</v>
      </c>
      <c r="AY23" s="682">
        <f>SUM(AY19:AY22)</f>
        <v>23665.072584796417</v>
      </c>
      <c r="BA23" s="347">
        <v>2025</v>
      </c>
      <c r="BB23" s="348">
        <f>BC22+BB21</f>
        <v>-7.4821428571428573E-3</v>
      </c>
      <c r="BC23" s="460">
        <f>AI19+BB23</f>
        <v>9332.992517857143</v>
      </c>
      <c r="BE23" s="347">
        <v>2025</v>
      </c>
      <c r="BF23" s="348">
        <f>BG22+BF21</f>
        <v>-7.001234313927171E-4</v>
      </c>
      <c r="BG23" s="460">
        <f>BF23+AI20</f>
        <v>4825.9992998765683</v>
      </c>
      <c r="BI23" s="347">
        <v>2025</v>
      </c>
      <c r="BJ23" s="348">
        <f>BK22+BJ21</f>
        <v>-2.0462667751118341E-2</v>
      </c>
      <c r="BK23" s="460">
        <f>AI21+BJ23</f>
        <v>4752.9795373322486</v>
      </c>
      <c r="BM23" s="347">
        <v>2025</v>
      </c>
      <c r="BN23" s="348">
        <f>BX19</f>
        <v>-9.7058823529411656E-2</v>
      </c>
      <c r="BO23" s="423">
        <f>AI22+BN23</f>
        <v>3380.9029411764704</v>
      </c>
      <c r="BQ23" s="347" t="s">
        <v>505</v>
      </c>
      <c r="BR23" s="348">
        <f>(AE24/F24)^(1/5)-1</f>
        <v>0.11006703164112275</v>
      </c>
      <c r="BS23" s="348">
        <f t="shared" ref="BS23:BU23" si="53">(AF24/G24)^(1/5)-1</f>
        <v>0.10735728956347046</v>
      </c>
      <c r="BT23" s="348">
        <f t="shared" si="53"/>
        <v>-6.5800401961240818E-2</v>
      </c>
      <c r="BU23" s="348">
        <f t="shared" si="53"/>
        <v>0.1076900660332416</v>
      </c>
    </row>
    <row r="24" spans="1:80" s="347" customFormat="1" ht="10.5">
      <c r="A24" s="417" t="s">
        <v>506</v>
      </c>
      <c r="B24" s="342"/>
      <c r="C24" s="342"/>
      <c r="D24" s="342"/>
      <c r="E24" s="349"/>
      <c r="F24" s="459">
        <f>F16-F23</f>
        <v>194</v>
      </c>
      <c r="G24" s="459">
        <f t="shared" ref="G24:J24" si="54">G16-G23</f>
        <v>212</v>
      </c>
      <c r="H24" s="459">
        <f t="shared" si="54"/>
        <v>416</v>
      </c>
      <c r="I24" s="459">
        <f t="shared" si="54"/>
        <v>358</v>
      </c>
      <c r="J24" s="459">
        <f t="shared" si="54"/>
        <v>1179</v>
      </c>
      <c r="K24" s="458">
        <f t="shared" ref="K24:N24" si="55">K16-K23</f>
        <v>2659</v>
      </c>
      <c r="L24" s="458">
        <f t="shared" si="55"/>
        <v>2163</v>
      </c>
      <c r="M24" s="458">
        <f t="shared" si="55"/>
        <v>1366</v>
      </c>
      <c r="N24" s="458">
        <f t="shared" si="55"/>
        <v>1797</v>
      </c>
      <c r="O24" s="458">
        <f>O16-O23</f>
        <v>7985</v>
      </c>
      <c r="P24" s="458">
        <f t="shared" ref="P24:AC24" si="56">P16-P23</f>
        <v>3148</v>
      </c>
      <c r="Q24" s="458">
        <f t="shared" si="56"/>
        <v>3727</v>
      </c>
      <c r="R24" s="458">
        <f t="shared" si="56"/>
        <v>4185</v>
      </c>
      <c r="S24" s="458">
        <f t="shared" si="56"/>
        <v>7037</v>
      </c>
      <c r="T24" s="458">
        <f t="shared" si="56"/>
        <v>-5813</v>
      </c>
      <c r="U24" s="458">
        <f t="shared" si="56"/>
        <v>-483</v>
      </c>
      <c r="V24" s="458">
        <f t="shared" si="56"/>
        <v>244</v>
      </c>
      <c r="W24" s="458">
        <f t="shared" si="56"/>
        <v>423</v>
      </c>
      <c r="X24" s="458">
        <f t="shared" si="56"/>
        <v>666</v>
      </c>
      <c r="Y24" s="458">
        <f t="shared" si="56"/>
        <v>957</v>
      </c>
      <c r="Z24" s="458">
        <f t="shared" si="56"/>
        <v>583</v>
      </c>
      <c r="AA24" s="458">
        <f t="shared" si="56"/>
        <v>694</v>
      </c>
      <c r="AB24" s="458">
        <f t="shared" si="56"/>
        <v>607</v>
      </c>
      <c r="AC24" s="458">
        <f t="shared" si="56"/>
        <v>473</v>
      </c>
      <c r="AD24" s="459">
        <f t="shared" ref="AD24" si="57">AD16-AD23</f>
        <v>2357</v>
      </c>
      <c r="AE24" s="458">
        <f t="shared" ref="AE24" si="58">AE16-AE23</f>
        <v>327</v>
      </c>
      <c r="AF24" s="458">
        <f t="shared" ref="AF24" si="59">AF16-AF23</f>
        <v>353</v>
      </c>
      <c r="AG24" s="458">
        <f t="shared" ref="AG24" si="60">AG16-AG23</f>
        <v>296</v>
      </c>
      <c r="AH24" s="458">
        <f t="shared" ref="AH24" si="61">AH16-AH23</f>
        <v>597</v>
      </c>
      <c r="AI24" s="459">
        <f t="shared" ref="AI24" si="62">AI16-AI23</f>
        <v>1573</v>
      </c>
      <c r="AJ24" s="458">
        <f>$AN$24/4</f>
        <v>393.26483964201861</v>
      </c>
      <c r="AK24" s="458">
        <f t="shared" ref="AK24:AM24" si="63">$AN$24/4</f>
        <v>393.26483964201861</v>
      </c>
      <c r="AL24" s="458">
        <f t="shared" si="63"/>
        <v>393.26483964201861</v>
      </c>
      <c r="AM24" s="458">
        <f t="shared" si="63"/>
        <v>393.26483964201861</v>
      </c>
      <c r="AN24" s="458">
        <f>AI24+$BR$24</f>
        <v>1573.0593585680745</v>
      </c>
      <c r="AO24" s="458">
        <f>$AS$24/4</f>
        <v>393.27967928403723</v>
      </c>
      <c r="AP24" s="458">
        <f t="shared" ref="AP24:AR24" si="64">$AS$24/4</f>
        <v>393.27967928403723</v>
      </c>
      <c r="AQ24" s="458">
        <f t="shared" si="64"/>
        <v>393.27967928403723</v>
      </c>
      <c r="AR24" s="458">
        <f t="shared" si="64"/>
        <v>393.27967928403723</v>
      </c>
      <c r="AS24" s="458">
        <f>AN24+$BR$24</f>
        <v>1573.1187171361489</v>
      </c>
      <c r="AT24" s="458">
        <f>$AX$24/4</f>
        <v>393.29451892605584</v>
      </c>
      <c r="AU24" s="458">
        <f t="shared" ref="AU24:AW24" si="65">$AX$24/4</f>
        <v>393.29451892605584</v>
      </c>
      <c r="AV24" s="458">
        <f t="shared" si="65"/>
        <v>393.29451892605584</v>
      </c>
      <c r="AW24" s="458">
        <f t="shared" si="65"/>
        <v>393.29451892605584</v>
      </c>
      <c r="AX24" s="458">
        <f>AS24+$BR$24</f>
        <v>1573.1780757042234</v>
      </c>
      <c r="AY24" s="458">
        <f>AX24+$BR$24</f>
        <v>1573.2374342722978</v>
      </c>
      <c r="BA24" s="347">
        <v>2026</v>
      </c>
      <c r="BB24" s="348">
        <f>BB23+BC22</f>
        <v>4.6785714285714278E-3</v>
      </c>
      <c r="BC24" s="460">
        <f>BC23+BB24</f>
        <v>9332.9971964285724</v>
      </c>
      <c r="BE24" s="347">
        <v>2026</v>
      </c>
      <c r="BF24" s="348">
        <f>$BG$22+BF23</f>
        <v>5.7999177124048555E-3</v>
      </c>
      <c r="BG24" s="460">
        <f>BG23+BF24</f>
        <v>4826.0050997942808</v>
      </c>
      <c r="BI24" s="347">
        <v>2026</v>
      </c>
      <c r="BJ24" s="348">
        <f>BJ23+$BK$22</f>
        <v>-7.3751118340788929E-3</v>
      </c>
      <c r="BK24" s="460">
        <f>BJ24+BK23</f>
        <v>4752.9721622204142</v>
      </c>
      <c r="BM24" s="347">
        <v>2026</v>
      </c>
      <c r="BN24" s="348">
        <f>BY19</f>
        <v>-0.13680781758957666</v>
      </c>
      <c r="BO24" s="423">
        <f>BN24+BO23</f>
        <v>3380.7661333588808</v>
      </c>
      <c r="BQ24" s="347" t="s">
        <v>507</v>
      </c>
      <c r="BR24" s="348">
        <f>(AI24/J24)^(1/5)-1</f>
        <v>5.935856807441886E-2</v>
      </c>
    </row>
    <row r="25" spans="1:80" s="347" customFormat="1" ht="10.5">
      <c r="A25" s="342"/>
      <c r="B25" s="342"/>
      <c r="C25" s="342"/>
      <c r="D25" s="342"/>
      <c r="E25" s="349"/>
      <c r="J25" s="437"/>
      <c r="O25" s="437"/>
      <c r="T25" s="437"/>
      <c r="Y25" s="437"/>
      <c r="AN25" s="437"/>
      <c r="AS25" s="437"/>
      <c r="AX25" s="437"/>
      <c r="AY25" s="437"/>
      <c r="BA25" s="347">
        <v>2027</v>
      </c>
      <c r="BB25" s="348">
        <f>BB24+BC22</f>
        <v>1.6839285714285713E-2</v>
      </c>
      <c r="BC25" s="460">
        <f>BC24+BB25</f>
        <v>9333.0140357142864</v>
      </c>
      <c r="BE25" s="347">
        <v>2027</v>
      </c>
      <c r="BF25" s="348">
        <f>$BG$22+BF24</f>
        <v>1.2299958856202428E-2</v>
      </c>
      <c r="BG25" s="460">
        <f>BG24+BF25</f>
        <v>4826.0173997531374</v>
      </c>
      <c r="BI25" s="347">
        <v>2027</v>
      </c>
      <c r="BJ25" s="348">
        <f t="shared" ref="BJ25:BJ26" si="66">BJ24+$BK$22</f>
        <v>5.7124440829605556E-3</v>
      </c>
      <c r="BK25" s="460">
        <f t="shared" ref="BK25:BK26" si="67">BJ25+BK24</f>
        <v>4752.977874664497</v>
      </c>
      <c r="BM25" s="347">
        <v>2027</v>
      </c>
      <c r="BN25" s="348">
        <f>BZ19</f>
        <v>-3.0188679245283047E-2</v>
      </c>
      <c r="BO25" s="423">
        <f>BN25+BO24</f>
        <v>3380.7359446796354</v>
      </c>
    </row>
    <row r="26" spans="1:80" s="347" customFormat="1" ht="10.5">
      <c r="A26" s="322" t="s">
        <v>508</v>
      </c>
      <c r="B26" s="322"/>
      <c r="C26" s="322"/>
      <c r="D26" s="322"/>
      <c r="E26" s="323"/>
      <c r="F26" s="322"/>
      <c r="G26" s="322"/>
      <c r="H26" s="322"/>
      <c r="I26" s="322"/>
      <c r="J26" s="432"/>
      <c r="K26" s="322"/>
      <c r="L26" s="322"/>
      <c r="M26" s="322"/>
      <c r="N26" s="322"/>
      <c r="O26" s="432"/>
      <c r="P26" s="322"/>
      <c r="Q26" s="322"/>
      <c r="R26" s="322"/>
      <c r="S26" s="322"/>
      <c r="T26" s="432"/>
      <c r="U26" s="322"/>
      <c r="V26" s="322"/>
      <c r="W26" s="322"/>
      <c r="X26" s="322"/>
      <c r="Y26" s="432"/>
      <c r="Z26" s="322"/>
      <c r="AA26" s="322"/>
      <c r="AB26" s="322"/>
      <c r="AC26" s="322"/>
      <c r="AD26" s="742"/>
      <c r="AE26" s="322"/>
      <c r="AF26" s="322"/>
      <c r="AG26" s="322"/>
      <c r="AH26" s="322"/>
      <c r="AI26" s="742"/>
      <c r="AJ26" s="322"/>
      <c r="AK26" s="322"/>
      <c r="AL26" s="322"/>
      <c r="AM26" s="322"/>
      <c r="AN26" s="432"/>
      <c r="AO26" s="322"/>
      <c r="AP26" s="322"/>
      <c r="AQ26" s="322"/>
      <c r="AR26" s="322"/>
      <c r="AS26" s="432"/>
      <c r="AT26" s="322"/>
      <c r="AU26" s="322"/>
      <c r="AV26" s="322"/>
      <c r="AW26" s="322"/>
      <c r="AX26" s="432"/>
      <c r="AY26" s="432"/>
      <c r="BA26" s="347">
        <v>2028</v>
      </c>
      <c r="BB26" s="348">
        <f>BC22+BB25</f>
        <v>2.8999999999999998E-2</v>
      </c>
      <c r="BC26" s="460">
        <f>BC25+BB26</f>
        <v>9333.0430357142868</v>
      </c>
      <c r="BE26" s="347">
        <v>2028</v>
      </c>
      <c r="BF26" s="348">
        <f>$BG$22+BF25</f>
        <v>1.8800000000000001E-2</v>
      </c>
      <c r="BG26" s="460">
        <f>BG25+BF26</f>
        <v>4826.0361997531372</v>
      </c>
      <c r="BI26" s="347">
        <v>2028</v>
      </c>
      <c r="BJ26" s="348">
        <f t="shared" si="66"/>
        <v>1.8800000000000004E-2</v>
      </c>
      <c r="BK26" s="460">
        <f t="shared" si="67"/>
        <v>4752.9966746644968</v>
      </c>
      <c r="BM26" s="347">
        <v>2028</v>
      </c>
      <c r="BN26" s="348">
        <f>CA19</f>
        <v>3.8910505836576778E-3</v>
      </c>
      <c r="BO26" s="423">
        <f>BN26+BO25</f>
        <v>3380.7398357302191</v>
      </c>
    </row>
    <row r="27" spans="1:80" s="347" customFormat="1" ht="10.5">
      <c r="A27" s="342"/>
      <c r="B27" s="342"/>
      <c r="C27" s="342"/>
      <c r="D27" s="342"/>
      <c r="E27" s="349"/>
      <c r="F27" s="423"/>
      <c r="G27" s="423"/>
      <c r="H27" s="423"/>
      <c r="I27" s="423"/>
      <c r="J27" s="438"/>
      <c r="K27" s="423"/>
      <c r="L27" s="423"/>
      <c r="M27" s="423"/>
      <c r="N27" s="423"/>
      <c r="O27" s="438"/>
      <c r="P27" s="423"/>
      <c r="Q27" s="423"/>
      <c r="R27" s="423"/>
      <c r="S27" s="423"/>
      <c r="T27" s="438"/>
      <c r="U27" s="423"/>
      <c r="V27" s="423"/>
      <c r="W27" s="423"/>
      <c r="X27" s="423"/>
      <c r="Y27" s="438"/>
      <c r="Z27" s="423"/>
      <c r="AA27" s="423"/>
      <c r="AB27" s="423"/>
      <c r="AC27" s="423"/>
      <c r="AD27" s="423"/>
      <c r="AE27" s="423"/>
      <c r="AF27" s="423"/>
      <c r="AG27" s="423"/>
      <c r="AH27" s="423"/>
      <c r="AI27" s="423"/>
      <c r="AN27" s="437"/>
      <c r="AS27" s="437"/>
      <c r="AX27" s="437"/>
      <c r="AY27" s="437"/>
    </row>
    <row r="28" spans="1:80" s="347" customFormat="1" ht="10.5">
      <c r="A28" s="358" t="s">
        <v>509</v>
      </c>
      <c r="B28" s="342"/>
      <c r="C28" s="342"/>
      <c r="D28" s="342"/>
      <c r="E28" s="349"/>
      <c r="F28" s="423"/>
      <c r="G28" s="423"/>
      <c r="H28" s="423"/>
      <c r="I28" s="423"/>
      <c r="J28" s="438"/>
      <c r="K28" s="423"/>
      <c r="L28" s="423"/>
      <c r="M28" s="423"/>
      <c r="N28" s="423"/>
      <c r="O28" s="438"/>
      <c r="P28" s="423"/>
      <c r="Q28" s="423"/>
      <c r="R28" s="423"/>
      <c r="S28" s="423"/>
      <c r="T28" s="438"/>
      <c r="U28" s="423"/>
      <c r="V28" s="423"/>
      <c r="W28" s="423"/>
      <c r="X28" s="423"/>
      <c r="Y28" s="438"/>
      <c r="Z28" s="423"/>
      <c r="AA28" s="423"/>
      <c r="AB28" s="423"/>
      <c r="AC28" s="423"/>
      <c r="AD28" s="423"/>
      <c r="AE28" s="423"/>
      <c r="AF28" s="423"/>
      <c r="AG28" s="423"/>
      <c r="AH28" s="423"/>
      <c r="AI28" s="423"/>
      <c r="AN28" s="437"/>
      <c r="AS28" s="437"/>
      <c r="AX28" s="437"/>
      <c r="AY28" s="437"/>
    </row>
    <row r="29" spans="1:80" s="347" customFormat="1" ht="10.5">
      <c r="A29" s="342" t="s">
        <v>510</v>
      </c>
      <c r="B29" s="342"/>
      <c r="C29" s="342">
        <f>365</f>
        <v>365</v>
      </c>
      <c r="D29" s="342"/>
      <c r="E29" s="349"/>
      <c r="F29" s="423"/>
      <c r="G29" s="423"/>
      <c r="H29" s="423"/>
      <c r="I29" s="423"/>
      <c r="J29" s="438"/>
      <c r="K29" s="423"/>
      <c r="L29" s="423"/>
      <c r="M29" s="423"/>
      <c r="N29" s="423"/>
      <c r="O29" s="438"/>
      <c r="P29" s="423"/>
      <c r="Q29" s="423"/>
      <c r="R29" s="423"/>
      <c r="S29" s="423"/>
      <c r="T29" s="438"/>
      <c r="U29" s="423"/>
      <c r="V29" s="423"/>
      <c r="W29" s="423"/>
      <c r="X29" s="423"/>
      <c r="Y29" s="438"/>
      <c r="Z29" s="423"/>
      <c r="AA29" s="423"/>
      <c r="AB29" s="423"/>
      <c r="AC29" s="423"/>
      <c r="AD29" s="423"/>
      <c r="AE29" s="423"/>
      <c r="AF29" s="423"/>
      <c r="AG29" s="423"/>
      <c r="AH29" s="423"/>
      <c r="AI29" s="423"/>
      <c r="AN29" s="437"/>
      <c r="AS29" s="437"/>
      <c r="AX29" s="437"/>
      <c r="AY29" s="437"/>
    </row>
    <row r="30" spans="1:80" s="347" customFormat="1" ht="10.5">
      <c r="A30" s="342" t="s">
        <v>45</v>
      </c>
      <c r="B30" s="342"/>
      <c r="C30" s="342"/>
      <c r="D30" s="342"/>
      <c r="E30" s="349"/>
      <c r="F30" s="423">
        <f>F16</f>
        <v>5698</v>
      </c>
      <c r="G30" s="423">
        <f t="shared" ref="G30:AI30" si="68">G16</f>
        <v>5758</v>
      </c>
      <c r="H30" s="423">
        <f t="shared" si="68"/>
        <v>5589</v>
      </c>
      <c r="I30" s="423">
        <f t="shared" si="68"/>
        <v>8695</v>
      </c>
      <c r="J30" s="438">
        <f t="shared" si="68"/>
        <v>25739</v>
      </c>
      <c r="K30" s="423">
        <f t="shared" si="68"/>
        <v>5676</v>
      </c>
      <c r="L30" s="423">
        <f t="shared" si="68"/>
        <v>5722</v>
      </c>
      <c r="M30" s="423">
        <f t="shared" si="68"/>
        <v>5356</v>
      </c>
      <c r="N30" s="423">
        <f t="shared" si="68"/>
        <v>8577</v>
      </c>
      <c r="O30" s="438">
        <f t="shared" si="68"/>
        <v>25331</v>
      </c>
      <c r="P30" s="423">
        <f t="shared" si="68"/>
        <v>3148</v>
      </c>
      <c r="Q30" s="423">
        <f t="shared" si="68"/>
        <v>3727</v>
      </c>
      <c r="R30" s="423">
        <f t="shared" si="68"/>
        <v>4185</v>
      </c>
      <c r="S30" s="423">
        <f t="shared" si="68"/>
        <v>7037</v>
      </c>
      <c r="T30" s="438">
        <f t="shared" si="68"/>
        <v>18097</v>
      </c>
      <c r="U30" s="423">
        <f t="shared" si="68"/>
        <v>4865</v>
      </c>
      <c r="V30" s="423">
        <f t="shared" si="68"/>
        <v>5844</v>
      </c>
      <c r="W30" s="423">
        <f t="shared" si="68"/>
        <v>5653</v>
      </c>
      <c r="X30" s="423">
        <f t="shared" si="68"/>
        <v>8930</v>
      </c>
      <c r="Y30" s="438">
        <f t="shared" si="68"/>
        <v>25399</v>
      </c>
      <c r="Z30" s="423">
        <f t="shared" si="68"/>
        <v>5565</v>
      </c>
      <c r="AA30" s="423">
        <f t="shared" si="68"/>
        <v>5834</v>
      </c>
      <c r="AB30" s="423">
        <f t="shared" si="68"/>
        <v>5467</v>
      </c>
      <c r="AC30" s="423">
        <f t="shared" si="68"/>
        <v>8583</v>
      </c>
      <c r="AD30" s="423">
        <f t="shared" si="68"/>
        <v>25449</v>
      </c>
      <c r="AE30" s="423">
        <f t="shared" si="68"/>
        <v>5173</v>
      </c>
      <c r="AF30" s="423">
        <f t="shared" si="68"/>
        <v>5280</v>
      </c>
      <c r="AG30" s="423">
        <f t="shared" si="68"/>
        <v>5038</v>
      </c>
      <c r="AH30" s="423">
        <f t="shared" si="68"/>
        <v>8375</v>
      </c>
      <c r="AI30" s="423">
        <f t="shared" si="68"/>
        <v>23866</v>
      </c>
      <c r="AN30" s="437"/>
      <c r="AS30" s="437"/>
      <c r="AX30" s="437"/>
      <c r="AY30" s="437"/>
    </row>
    <row r="31" spans="1:80" s="347" customFormat="1" ht="10.5">
      <c r="A31" s="342" t="s">
        <v>511</v>
      </c>
      <c r="B31" s="342"/>
      <c r="C31" s="342"/>
      <c r="D31" s="342"/>
      <c r="E31" s="349"/>
      <c r="F31" s="423">
        <f>F5</f>
        <v>3382</v>
      </c>
      <c r="G31" s="423">
        <f t="shared" ref="G31:AH31" si="69">G5</f>
        <v>3320</v>
      </c>
      <c r="H31" s="423">
        <f t="shared" si="69"/>
        <v>3226</v>
      </c>
      <c r="I31" s="423">
        <f t="shared" si="69"/>
        <v>5288</v>
      </c>
      <c r="J31" s="438">
        <f t="shared" si="69"/>
        <v>15216</v>
      </c>
      <c r="K31" s="423">
        <f t="shared" si="69"/>
        <v>3403</v>
      </c>
      <c r="L31" s="423">
        <f t="shared" si="69"/>
        <v>3395</v>
      </c>
      <c r="M31" s="423">
        <f t="shared" si="69"/>
        <v>3106</v>
      </c>
      <c r="N31" s="423">
        <f t="shared" si="69"/>
        <v>5266</v>
      </c>
      <c r="O31" s="438">
        <f t="shared" si="69"/>
        <v>15170</v>
      </c>
      <c r="P31" s="423">
        <f t="shared" si="69"/>
        <v>2201</v>
      </c>
      <c r="Q31" s="423">
        <f t="shared" si="69"/>
        <v>2718</v>
      </c>
      <c r="R31" s="423">
        <f t="shared" si="69"/>
        <v>2569</v>
      </c>
      <c r="S31" s="423">
        <f t="shared" si="69"/>
        <v>4798</v>
      </c>
      <c r="T31" s="438">
        <f t="shared" si="69"/>
        <v>12286</v>
      </c>
      <c r="U31" s="423">
        <f t="shared" si="69"/>
        <v>2889</v>
      </c>
      <c r="V31" s="423">
        <f t="shared" si="69"/>
        <v>3353</v>
      </c>
      <c r="W31" s="423">
        <f t="shared" si="69"/>
        <v>3207</v>
      </c>
      <c r="X31" s="423">
        <f t="shared" si="69"/>
        <v>5507</v>
      </c>
      <c r="Y31" s="438">
        <f t="shared" si="69"/>
        <v>14956</v>
      </c>
      <c r="Z31" s="423">
        <f t="shared" si="69"/>
        <v>3231</v>
      </c>
      <c r="AA31" s="423">
        <f t="shared" si="69"/>
        <v>3422</v>
      </c>
      <c r="AB31" s="423">
        <f t="shared" si="69"/>
        <v>3204</v>
      </c>
      <c r="AC31" s="423">
        <f t="shared" si="69"/>
        <v>5450</v>
      </c>
      <c r="AD31" s="423">
        <f t="shared" si="69"/>
        <v>15307</v>
      </c>
      <c r="AE31" s="423">
        <f t="shared" si="69"/>
        <v>2988</v>
      </c>
      <c r="AF31" s="423">
        <f t="shared" si="69"/>
        <v>3176</v>
      </c>
      <c r="AG31" s="423">
        <f t="shared" si="69"/>
        <v>2905</v>
      </c>
      <c r="AH31" s="423">
        <f t="shared" si="69"/>
        <v>5154</v>
      </c>
      <c r="AI31" s="423" t="s">
        <v>512</v>
      </c>
      <c r="AN31" s="437"/>
      <c r="AS31" s="437"/>
      <c r="AX31" s="437"/>
      <c r="AY31" s="437"/>
    </row>
    <row r="32" spans="1:80" s="347" customFormat="1" ht="10.5">
      <c r="A32" s="342"/>
      <c r="B32" s="342"/>
      <c r="C32" s="342"/>
      <c r="D32" s="342"/>
      <c r="E32" s="349"/>
      <c r="F32" s="423"/>
      <c r="G32" s="423"/>
      <c r="H32" s="423"/>
      <c r="I32" s="423"/>
      <c r="J32" s="438"/>
      <c r="K32" s="423"/>
      <c r="L32" s="423"/>
      <c r="M32" s="423"/>
      <c r="N32" s="423"/>
      <c r="O32" s="438"/>
      <c r="P32" s="423"/>
      <c r="Q32" s="423"/>
      <c r="R32" s="423"/>
      <c r="S32" s="423"/>
      <c r="T32" s="438"/>
      <c r="U32" s="423"/>
      <c r="V32" s="423"/>
      <c r="W32" s="423"/>
      <c r="X32" s="423"/>
      <c r="Y32" s="438"/>
      <c r="Z32" s="423"/>
      <c r="AA32" s="423"/>
      <c r="AB32" s="423"/>
      <c r="AC32" s="423"/>
      <c r="AD32" s="423"/>
      <c r="AE32" s="423"/>
      <c r="AF32" s="423"/>
      <c r="AG32" s="423"/>
      <c r="AH32" s="423"/>
      <c r="AI32" s="423"/>
      <c r="AN32" s="437"/>
      <c r="AS32" s="437"/>
      <c r="AX32" s="437"/>
      <c r="AY32" s="437"/>
    </row>
    <row r="33" spans="1:51" s="347" customFormat="1" ht="10.5">
      <c r="A33" s="358" t="s">
        <v>513</v>
      </c>
      <c r="B33" s="342"/>
      <c r="C33" s="342"/>
      <c r="D33" s="342"/>
      <c r="E33" s="349"/>
      <c r="F33" s="423"/>
      <c r="G33" s="423"/>
      <c r="H33" s="423"/>
      <c r="I33" s="423"/>
      <c r="J33" s="438"/>
      <c r="K33" s="423"/>
      <c r="L33" s="423"/>
      <c r="M33" s="423"/>
      <c r="N33" s="423"/>
      <c r="O33" s="438"/>
      <c r="P33" s="423"/>
      <c r="Q33" s="423"/>
      <c r="R33" s="423"/>
      <c r="S33" s="423"/>
      <c r="T33" s="438"/>
      <c r="U33" s="423"/>
      <c r="V33" s="423"/>
      <c r="W33" s="423"/>
      <c r="X33" s="423"/>
      <c r="Y33" s="438"/>
      <c r="Z33" s="423"/>
      <c r="AA33" s="423"/>
      <c r="AB33" s="423"/>
      <c r="AC33" s="423"/>
      <c r="AD33" s="423"/>
      <c r="AE33" s="423"/>
      <c r="AF33" s="423"/>
      <c r="AG33" s="423"/>
      <c r="AH33" s="423"/>
      <c r="AI33" s="423"/>
      <c r="AN33" s="437"/>
      <c r="AS33" s="437"/>
      <c r="AX33" s="437"/>
      <c r="AY33" s="437"/>
    </row>
    <row r="34" spans="1:51" s="347" customFormat="1" ht="10.5">
      <c r="A34" s="421" t="s">
        <v>514</v>
      </c>
      <c r="B34" s="342"/>
      <c r="C34" s="342"/>
      <c r="D34" s="342"/>
      <c r="E34" s="349"/>
      <c r="F34" s="423">
        <f>BS!C21</f>
        <v>250</v>
      </c>
      <c r="G34" s="423">
        <f>BS!D21</f>
        <v>261</v>
      </c>
      <c r="H34" s="423">
        <f>BS!E21</f>
        <v>180</v>
      </c>
      <c r="I34" s="423">
        <f>BS!F21</f>
        <v>400</v>
      </c>
      <c r="J34" s="438">
        <f>BS!G21</f>
        <v>400</v>
      </c>
      <c r="K34" s="423">
        <f>BS!H21</f>
        <v>237</v>
      </c>
      <c r="L34" s="423">
        <f>BS!I21</f>
        <v>240</v>
      </c>
      <c r="M34" s="423">
        <f>BS!J21</f>
        <v>175</v>
      </c>
      <c r="N34" s="423">
        <f>BS!K21</f>
        <v>409</v>
      </c>
      <c r="O34" s="438">
        <f>BS!L21</f>
        <v>409</v>
      </c>
      <c r="P34" s="423">
        <f>BS!M21</f>
        <v>170</v>
      </c>
      <c r="Q34" s="423">
        <f>BS!N21</f>
        <v>184</v>
      </c>
      <c r="R34" s="423">
        <f>BS!O21</f>
        <v>185</v>
      </c>
      <c r="S34" s="423">
        <f>BS!P21</f>
        <v>276</v>
      </c>
      <c r="T34" s="438">
        <f>BS!Q21</f>
        <v>276</v>
      </c>
      <c r="U34" s="423">
        <f>BS!R21</f>
        <v>205</v>
      </c>
      <c r="V34" s="423">
        <f>BS!S21</f>
        <v>221</v>
      </c>
      <c r="W34" s="423">
        <f>BS!T21</f>
        <v>212</v>
      </c>
      <c r="X34" s="423">
        <f>BS!U21</f>
        <v>297</v>
      </c>
      <c r="Y34" s="438">
        <f>BS!V21</f>
        <v>297</v>
      </c>
      <c r="Z34" s="423">
        <f>BS!W21</f>
        <v>233</v>
      </c>
      <c r="AA34" s="423">
        <f>BS!X21</f>
        <v>219</v>
      </c>
      <c r="AB34" s="423">
        <f>BS!Y21</f>
        <v>204</v>
      </c>
      <c r="AC34" s="423">
        <f>BS!Z21</f>
        <v>300</v>
      </c>
      <c r="AD34" s="423">
        <f>BS!AA21</f>
        <v>300</v>
      </c>
      <c r="AE34" s="423">
        <f>BS!AB21</f>
        <v>255</v>
      </c>
      <c r="AF34" s="423">
        <f>BS!AC21</f>
        <v>223</v>
      </c>
      <c r="AG34" s="423">
        <f>BS!AD21</f>
        <v>218</v>
      </c>
      <c r="AH34" s="423">
        <f>BS!AE21</f>
        <v>293</v>
      </c>
      <c r="AI34" s="423">
        <f>BS!AF21</f>
        <v>293</v>
      </c>
      <c r="AN34" s="437"/>
      <c r="AS34" s="437"/>
      <c r="AX34" s="437"/>
      <c r="AY34" s="437"/>
    </row>
    <row r="35" spans="1:51" s="347" customFormat="1" ht="10.5">
      <c r="A35" s="422" t="s">
        <v>515</v>
      </c>
      <c r="B35" s="342"/>
      <c r="C35" s="342"/>
      <c r="D35" s="342"/>
      <c r="E35" s="349"/>
      <c r="F35" s="423">
        <f>(F34/F30)*90</f>
        <v>3.9487539487539487</v>
      </c>
      <c r="G35" s="423">
        <f t="shared" ref="G35:AH35" si="70">(G34/G30)*90</f>
        <v>4.0795415074678711</v>
      </c>
      <c r="H35" s="423">
        <f t="shared" si="70"/>
        <v>2.8985507246376807</v>
      </c>
      <c r="I35" s="423">
        <f t="shared" si="70"/>
        <v>4.140310523289247</v>
      </c>
      <c r="J35" s="438">
        <f>(J34/J30)*360</f>
        <v>5.594622945724387</v>
      </c>
      <c r="K35" s="423">
        <f t="shared" si="70"/>
        <v>3.7579281183932349</v>
      </c>
      <c r="L35" s="423">
        <f t="shared" si="70"/>
        <v>3.7749038797623209</v>
      </c>
      <c r="M35" s="423">
        <f t="shared" si="70"/>
        <v>2.940627333831217</v>
      </c>
      <c r="N35" s="423">
        <f t="shared" si="70"/>
        <v>4.2917103882476395</v>
      </c>
      <c r="O35" s="438">
        <f>(O34/O30)*360</f>
        <v>5.8126406379534963</v>
      </c>
      <c r="P35" s="423">
        <f t="shared" si="70"/>
        <v>4.8602287166454889</v>
      </c>
      <c r="Q35" s="423">
        <f t="shared" si="70"/>
        <v>4.4432519452642882</v>
      </c>
      <c r="R35" s="423">
        <f t="shared" si="70"/>
        <v>3.9784946236559144</v>
      </c>
      <c r="S35" s="423">
        <f t="shared" si="70"/>
        <v>3.5299133153332383</v>
      </c>
      <c r="T35" s="438">
        <f>(T34/T30)*360</f>
        <v>5.4904127755981653</v>
      </c>
      <c r="U35" s="423">
        <f t="shared" si="70"/>
        <v>3.7923946557040082</v>
      </c>
      <c r="V35" s="423">
        <f t="shared" si="70"/>
        <v>3.4034907597535935</v>
      </c>
      <c r="W35" s="423">
        <f t="shared" si="70"/>
        <v>3.3751990093755531</v>
      </c>
      <c r="X35" s="423">
        <f t="shared" si="70"/>
        <v>2.9932810750279955</v>
      </c>
      <c r="Y35" s="438">
        <f>(Y34/Y30)*360</f>
        <v>4.2096145517540062</v>
      </c>
      <c r="Z35" s="423">
        <f t="shared" si="70"/>
        <v>3.7681940700808627</v>
      </c>
      <c r="AA35" s="423">
        <f t="shared" si="70"/>
        <v>3.378471031882071</v>
      </c>
      <c r="AB35" s="423">
        <f t="shared" si="70"/>
        <v>3.3583318090360343</v>
      </c>
      <c r="AC35" s="423">
        <f t="shared" si="70"/>
        <v>3.1457532331352676</v>
      </c>
      <c r="AD35" s="423">
        <f>(AD34/AD30)*360</f>
        <v>4.2437816810090769</v>
      </c>
      <c r="AE35" s="423">
        <f t="shared" si="70"/>
        <v>4.4364971969843419</v>
      </c>
      <c r="AF35" s="423">
        <f t="shared" si="70"/>
        <v>3.8011363636363638</v>
      </c>
      <c r="AG35" s="423">
        <f t="shared" si="70"/>
        <v>3.8944025406907508</v>
      </c>
      <c r="AH35" s="423">
        <f t="shared" si="70"/>
        <v>3.1486567164179102</v>
      </c>
      <c r="AI35" s="423">
        <f>(AI34/AI30)*360</f>
        <v>4.4196765272772982</v>
      </c>
      <c r="AJ35" s="438"/>
      <c r="AK35" s="438"/>
      <c r="AL35" s="438"/>
      <c r="AM35" s="438"/>
      <c r="AN35" s="438"/>
      <c r="AO35" s="438"/>
      <c r="AP35" s="438"/>
      <c r="AQ35" s="438"/>
      <c r="AR35" s="438"/>
      <c r="AS35" s="438"/>
      <c r="AX35" s="437"/>
      <c r="AY35" s="437"/>
    </row>
    <row r="36" spans="1:51" s="347" customFormat="1" ht="10.5">
      <c r="A36" s="421" t="s">
        <v>516</v>
      </c>
      <c r="B36" s="342"/>
      <c r="C36" s="342"/>
      <c r="D36" s="342"/>
      <c r="E36" s="349"/>
      <c r="F36" s="423">
        <f>BS!C25</f>
        <v>5291</v>
      </c>
      <c r="G36" s="423">
        <f>BS!D25</f>
        <v>4956</v>
      </c>
      <c r="H36" s="423">
        <f>BS!E25</f>
        <v>7147</v>
      </c>
      <c r="I36" s="423">
        <f>BS!F25</f>
        <v>5263</v>
      </c>
      <c r="J36" s="438">
        <f>BS!G25</f>
        <v>5263</v>
      </c>
      <c r="K36" s="423">
        <f>BS!H25</f>
        <v>5498</v>
      </c>
      <c r="L36" s="423">
        <f>BS!I25</f>
        <v>5029</v>
      </c>
      <c r="M36" s="423">
        <f>BS!J25</f>
        <v>7256</v>
      </c>
      <c r="N36" s="423">
        <f>BS!K25</f>
        <v>5188</v>
      </c>
      <c r="O36" s="438">
        <f>BS!L25</f>
        <v>5188</v>
      </c>
      <c r="P36" s="423">
        <f>BS!M25</f>
        <v>4923</v>
      </c>
      <c r="Q36" s="423">
        <f>BS!N25</f>
        <v>3582</v>
      </c>
      <c r="R36" s="423">
        <f>BS!O25</f>
        <v>5144</v>
      </c>
      <c r="S36" s="423">
        <f>BS!P25</f>
        <v>3774</v>
      </c>
      <c r="T36" s="438">
        <f>BS!Q25</f>
        <v>3774</v>
      </c>
      <c r="U36" s="423">
        <f>BS!R25</f>
        <v>4230</v>
      </c>
      <c r="V36" s="423">
        <f>BS!S25</f>
        <v>4298</v>
      </c>
      <c r="W36" s="423">
        <f>BS!T25</f>
        <v>6141</v>
      </c>
      <c r="X36" s="423">
        <f>BS!U25</f>
        <v>4383</v>
      </c>
      <c r="Y36" s="438">
        <f>BS!V25</f>
        <v>4383</v>
      </c>
      <c r="Z36" s="423">
        <f>BS!W25</f>
        <v>4956</v>
      </c>
      <c r="AA36" s="423">
        <f>BS!X25</f>
        <v>4610</v>
      </c>
      <c r="AB36" s="423">
        <f>BS!Y25</f>
        <v>6403</v>
      </c>
      <c r="AC36" s="423">
        <f>BS!Z25</f>
        <v>4267</v>
      </c>
      <c r="AD36" s="423">
        <f>BS!AA25</f>
        <v>4267</v>
      </c>
      <c r="AE36" s="423">
        <f>BS!AB25</f>
        <v>4607</v>
      </c>
      <c r="AF36" s="423">
        <f>BS!AC25</f>
        <v>4129</v>
      </c>
      <c r="AG36" s="423">
        <f>BS!AD25</f>
        <v>6025</v>
      </c>
      <c r="AH36" s="423">
        <f>BS!AE25</f>
        <v>4361</v>
      </c>
      <c r="AI36" s="423">
        <f>BS!AF25</f>
        <v>4361</v>
      </c>
      <c r="AN36" s="437"/>
      <c r="AS36" s="437"/>
      <c r="AX36" s="437"/>
      <c r="AY36" s="437"/>
    </row>
    <row r="37" spans="1:51" s="347" customFormat="1" ht="10.5">
      <c r="A37" s="422" t="s">
        <v>517</v>
      </c>
      <c r="B37" s="342"/>
      <c r="C37" s="342"/>
      <c r="D37" s="342"/>
      <c r="E37" s="349"/>
      <c r="F37" s="423"/>
      <c r="G37" s="423">
        <f>G31/((F36+G36)/2)*90</f>
        <v>58.319508148726449</v>
      </c>
      <c r="H37" s="423">
        <f t="shared" ref="H37:AH37" si="71">H31/((G36+H36)/2)*90</f>
        <v>47.978187226307526</v>
      </c>
      <c r="I37" s="423">
        <f t="shared" si="71"/>
        <v>76.699435938759066</v>
      </c>
      <c r="J37" s="438">
        <f t="shared" si="71"/>
        <v>260.20140604218125</v>
      </c>
      <c r="K37" s="423">
        <f t="shared" si="71"/>
        <v>56.922219124616667</v>
      </c>
      <c r="L37" s="423">
        <f t="shared" si="71"/>
        <v>58.050726702764315</v>
      </c>
      <c r="M37" s="423">
        <f t="shared" si="71"/>
        <v>45.509157509157511</v>
      </c>
      <c r="N37" s="423">
        <f t="shared" si="71"/>
        <v>76.17164898746384</v>
      </c>
      <c r="O37" s="438">
        <f t="shared" si="71"/>
        <v>263.1649961449499</v>
      </c>
      <c r="P37" s="423">
        <f t="shared" si="71"/>
        <v>39.183067945801604</v>
      </c>
      <c r="Q37" s="423">
        <f t="shared" si="71"/>
        <v>57.523809523809526</v>
      </c>
      <c r="R37" s="423">
        <f t="shared" si="71"/>
        <v>52.993353197341278</v>
      </c>
      <c r="S37" s="423">
        <f t="shared" si="71"/>
        <v>96.842341332137252</v>
      </c>
      <c r="T37" s="438">
        <f t="shared" si="71"/>
        <v>292.98887122416534</v>
      </c>
      <c r="U37" s="423">
        <f t="shared" si="71"/>
        <v>64.970014992503749</v>
      </c>
      <c r="V37" s="423">
        <f t="shared" si="71"/>
        <v>70.771575984990619</v>
      </c>
      <c r="W37" s="423">
        <f t="shared" si="71"/>
        <v>55.298400229907074</v>
      </c>
      <c r="X37" s="423">
        <f t="shared" si="71"/>
        <v>94.190421892816417</v>
      </c>
      <c r="Y37" s="438">
        <f t="shared" si="71"/>
        <v>307.10472279260779</v>
      </c>
      <c r="Z37" s="423">
        <f t="shared" si="71"/>
        <v>62.274333440411176</v>
      </c>
      <c r="AA37" s="423">
        <f t="shared" si="71"/>
        <v>64.390549864102027</v>
      </c>
      <c r="AB37" s="423">
        <f t="shared" si="71"/>
        <v>52.367202397166984</v>
      </c>
      <c r="AC37" s="423">
        <f t="shared" si="71"/>
        <v>91.940018744142463</v>
      </c>
      <c r="AD37" s="423">
        <f t="shared" si="71"/>
        <v>322.85680806187014</v>
      </c>
      <c r="AE37" s="423">
        <f t="shared" si="71"/>
        <v>60.608519269776878</v>
      </c>
      <c r="AF37" s="423">
        <f t="shared" si="71"/>
        <v>65.439560439560438</v>
      </c>
      <c r="AG37" s="423">
        <f t="shared" si="71"/>
        <v>51.496947015954305</v>
      </c>
      <c r="AH37" s="423">
        <f t="shared" si="71"/>
        <v>89.324090121317155</v>
      </c>
      <c r="AI37" s="423" t="e">
        <f>AI31/((AD36+AI36)/2)*360</f>
        <v>#VALUE!</v>
      </c>
      <c r="AN37" s="437"/>
      <c r="AS37" s="437"/>
      <c r="AX37" s="437"/>
      <c r="AY37" s="437"/>
    </row>
    <row r="38" spans="1:51" s="347" customFormat="1" ht="10.5">
      <c r="A38" s="421" t="s">
        <v>518</v>
      </c>
      <c r="B38" s="342"/>
      <c r="C38" s="342"/>
      <c r="D38" s="342"/>
      <c r="E38" s="349"/>
      <c r="F38" s="423">
        <f>BS!C26+BS!C28</f>
        <v>638</v>
      </c>
      <c r="G38" s="423">
        <f>BS!D26+BS!D28</f>
        <v>580</v>
      </c>
      <c r="H38" s="423">
        <f>BS!E26+BS!E28</f>
        <v>594</v>
      </c>
      <c r="I38" s="423">
        <f>BS!F26+BS!F28</f>
        <v>583</v>
      </c>
      <c r="J38" s="438">
        <f>BS!G26+BS!G28</f>
        <v>583</v>
      </c>
      <c r="K38" s="423">
        <f>BS!H26+BS!H28</f>
        <v>633</v>
      </c>
      <c r="L38" s="423">
        <f>BS!I26+BS!I28</f>
        <v>603</v>
      </c>
      <c r="M38" s="423">
        <f>BS!J26+BS!J28</f>
        <v>568</v>
      </c>
      <c r="N38" s="423">
        <f>BS!K26+BS!K28</f>
        <v>491</v>
      </c>
      <c r="O38" s="438">
        <f>BS!L26+BS!L28</f>
        <v>491</v>
      </c>
      <c r="P38" s="423">
        <f>BS!M26+BS!M28</f>
        <v>519</v>
      </c>
      <c r="Q38" s="423">
        <f>BS!N26+BS!N28</f>
        <v>470</v>
      </c>
      <c r="R38" s="423">
        <f>BS!O26+BS!O28</f>
        <v>477</v>
      </c>
      <c r="S38" s="423">
        <f>BS!P26+BS!P28</f>
        <v>455</v>
      </c>
      <c r="T38" s="438">
        <f>BS!Q26+BS!Q28</f>
        <v>455</v>
      </c>
      <c r="U38" s="423">
        <f>BS!R26+BS!R28</f>
        <v>487</v>
      </c>
      <c r="V38" s="423">
        <f>BS!S26+BS!S28</f>
        <v>435</v>
      </c>
      <c r="W38" s="423">
        <f>BS!T26+BS!T28</f>
        <v>332</v>
      </c>
      <c r="X38" s="423">
        <f>BS!U26+BS!U28</f>
        <v>366</v>
      </c>
      <c r="Y38" s="438">
        <f>BS!V26+BS!V28</f>
        <v>366</v>
      </c>
      <c r="Z38" s="423">
        <f>BS!W26+BS!W28</f>
        <v>372</v>
      </c>
      <c r="AA38" s="423">
        <f>BS!X26+BS!X28</f>
        <v>387</v>
      </c>
      <c r="AB38" s="423">
        <f>BS!Y26+BS!Y28</f>
        <v>415</v>
      </c>
      <c r="AC38" s="423">
        <f>BS!Z26+BS!Z28</f>
        <v>424</v>
      </c>
      <c r="AD38" s="423">
        <f>BS!AA26+BS!AA28</f>
        <v>424</v>
      </c>
      <c r="AE38" s="423">
        <f>BS!AB26+BS!AB28</f>
        <v>390</v>
      </c>
      <c r="AF38" s="423">
        <f>BS!AC26+BS!AC28</f>
        <v>411</v>
      </c>
      <c r="AG38" s="423">
        <f>BS!AD26+BS!AD28</f>
        <v>390</v>
      </c>
      <c r="AH38" s="423">
        <f>BS!AE26+BS!AE28</f>
        <v>401</v>
      </c>
      <c r="AI38" s="423">
        <f>BS!AF26+BS!AF28</f>
        <v>401</v>
      </c>
      <c r="AN38" s="437"/>
      <c r="AS38" s="437"/>
      <c r="AX38" s="437"/>
      <c r="AY38" s="437"/>
    </row>
    <row r="39" spans="1:51" s="347" customFormat="1" ht="10.5">
      <c r="A39" s="422" t="s">
        <v>519</v>
      </c>
      <c r="B39" s="342"/>
      <c r="C39" s="342"/>
      <c r="D39" s="342"/>
      <c r="E39" s="349"/>
      <c r="F39" s="423">
        <f>(F38/F31)*90</f>
        <v>16.978119455943229</v>
      </c>
      <c r="G39" s="423">
        <f t="shared" ref="G39:I39" si="72">(G38/G31)*90</f>
        <v>15.72289156626506</v>
      </c>
      <c r="H39" s="423">
        <f t="shared" si="72"/>
        <v>16.571605703657781</v>
      </c>
      <c r="I39" s="423">
        <f t="shared" si="72"/>
        <v>9.922465960665658</v>
      </c>
      <c r="J39" s="438">
        <f t="shared" ref="J39" si="73">(J38/J31)*90</f>
        <v>3.4483438485804414</v>
      </c>
      <c r="K39" s="423">
        <f t="shared" ref="K39" si="74">(K38/K31)*90</f>
        <v>16.741110784601823</v>
      </c>
      <c r="L39" s="423">
        <f t="shared" ref="L39" si="75">(L38/L31)*90</f>
        <v>15.985272459499264</v>
      </c>
      <c r="M39" s="423">
        <f t="shared" ref="M39" si="76">(M38/M31)*90</f>
        <v>16.458467482292338</v>
      </c>
      <c r="N39" s="423">
        <f t="shared" ref="N39" si="77">(N38/N31)*90</f>
        <v>8.3915685529813899</v>
      </c>
      <c r="O39" s="438">
        <f>(O38/O31)*360</f>
        <v>11.651944627554384</v>
      </c>
      <c r="P39" s="423">
        <f t="shared" ref="P39" si="78">(P38/P31)*90</f>
        <v>21.222171740118128</v>
      </c>
      <c r="Q39" s="423">
        <f t="shared" ref="Q39" si="79">(Q38/Q31)*90</f>
        <v>15.562913907284768</v>
      </c>
      <c r="R39" s="423">
        <f t="shared" ref="R39" si="80">(R38/R31)*90</f>
        <v>16.710782405605293</v>
      </c>
      <c r="S39" s="423">
        <f t="shared" ref="S39" si="81">(S38/S31)*90</f>
        <v>8.5348061692371822</v>
      </c>
      <c r="T39" s="438">
        <f>(T38/T31)*360</f>
        <v>13.332248087253786</v>
      </c>
      <c r="U39" s="423">
        <f t="shared" ref="U39" si="82">(U38/U31)*90</f>
        <v>15.171339563862928</v>
      </c>
      <c r="V39" s="423">
        <f t="shared" ref="V39" si="83">(V38/V31)*90</f>
        <v>11.67611094542201</v>
      </c>
      <c r="W39" s="423">
        <f t="shared" ref="W39" si="84">(W38/W31)*90</f>
        <v>9.3171188026192695</v>
      </c>
      <c r="X39" s="423">
        <f t="shared" ref="X39" si="85">(X38/X31)*90</f>
        <v>5.981478118757944</v>
      </c>
      <c r="Y39" s="438">
        <f>(Y38/Y31)*360</f>
        <v>8.8098422037978068</v>
      </c>
      <c r="Z39" s="423">
        <f t="shared" ref="Z39" si="86">(Z38/Z31)*90</f>
        <v>10.362116991643454</v>
      </c>
      <c r="AA39" s="423">
        <f t="shared" ref="AA39" si="87">(AA38/AA31)*90</f>
        <v>10.178258328462887</v>
      </c>
      <c r="AB39" s="423">
        <f t="shared" ref="AB39" si="88">(AB38/AB31)*90</f>
        <v>11.657303370786519</v>
      </c>
      <c r="AC39" s="423">
        <f t="shared" ref="AC39" si="89">(AC38/AC31)*90</f>
        <v>7.0018348623853202</v>
      </c>
      <c r="AD39" s="423">
        <f>(AD38/AD31)*360</f>
        <v>9.9719082772587715</v>
      </c>
      <c r="AE39" s="423">
        <f t="shared" ref="AE39" si="90">(AE38/AE31)*90</f>
        <v>11.746987951807229</v>
      </c>
      <c r="AF39" s="423">
        <f t="shared" ref="AF39" si="91">(AF38/AF31)*90</f>
        <v>11.646725440806046</v>
      </c>
      <c r="AG39" s="423">
        <f t="shared" ref="AG39" si="92">(AG38/AG31)*90</f>
        <v>12.082616179001722</v>
      </c>
      <c r="AH39" s="423">
        <f t="shared" ref="AH39" si="93">(AH38/AH31)*90</f>
        <v>7.0023282887078002</v>
      </c>
      <c r="AI39" s="423" t="e">
        <f>(AI38/AI31)*360</f>
        <v>#VALUE!</v>
      </c>
      <c r="AN39" s="437"/>
      <c r="AS39" s="437"/>
      <c r="AX39" s="437"/>
      <c r="AY39" s="437"/>
    </row>
    <row r="40" spans="1:51" s="347" customFormat="1" ht="10.5">
      <c r="A40" s="357"/>
      <c r="B40" s="342"/>
      <c r="C40" s="342"/>
      <c r="D40" s="342"/>
      <c r="E40" s="349"/>
      <c r="F40" s="423"/>
      <c r="G40" s="423"/>
      <c r="H40" s="423"/>
      <c r="I40" s="423"/>
      <c r="J40" s="438"/>
      <c r="K40" s="423"/>
      <c r="L40" s="423"/>
      <c r="M40" s="423"/>
      <c r="N40" s="423"/>
      <c r="O40" s="438"/>
      <c r="P40" s="423"/>
      <c r="Q40" s="423"/>
      <c r="R40" s="423"/>
      <c r="S40" s="423"/>
      <c r="T40" s="438"/>
      <c r="U40" s="423"/>
      <c r="V40" s="423"/>
      <c r="W40" s="423"/>
      <c r="X40" s="423"/>
      <c r="Y40" s="438"/>
      <c r="Z40" s="423"/>
      <c r="AA40" s="423"/>
      <c r="AB40" s="423"/>
      <c r="AC40" s="423"/>
      <c r="AD40" s="423"/>
      <c r="AE40" s="423"/>
      <c r="AF40" s="423"/>
      <c r="AG40" s="423"/>
      <c r="AH40" s="423"/>
      <c r="AI40" s="423"/>
      <c r="AN40" s="437"/>
      <c r="AS40" s="437"/>
      <c r="AX40" s="437"/>
      <c r="AY40" s="437"/>
    </row>
    <row r="41" spans="1:51" s="347" customFormat="1" ht="10.9" thickBot="1">
      <c r="A41" s="417" t="s">
        <v>520</v>
      </c>
      <c r="B41" s="342"/>
      <c r="C41" s="342"/>
      <c r="D41" s="342"/>
      <c r="E41" s="349"/>
      <c r="F41" s="683">
        <f>F34+F36+F38</f>
        <v>6179</v>
      </c>
      <c r="G41" s="683">
        <f t="shared" ref="G41:AH41" si="94">G34+G36+G38</f>
        <v>5797</v>
      </c>
      <c r="H41" s="683">
        <f t="shared" si="94"/>
        <v>7921</v>
      </c>
      <c r="I41" s="683">
        <f t="shared" si="94"/>
        <v>6246</v>
      </c>
      <c r="J41" s="684">
        <f t="shared" si="94"/>
        <v>6246</v>
      </c>
      <c r="K41" s="683">
        <f t="shared" si="94"/>
        <v>6368</v>
      </c>
      <c r="L41" s="683">
        <f t="shared" si="94"/>
        <v>5872</v>
      </c>
      <c r="M41" s="683">
        <f t="shared" si="94"/>
        <v>7999</v>
      </c>
      <c r="N41" s="683">
        <f t="shared" si="94"/>
        <v>6088</v>
      </c>
      <c r="O41" s="684">
        <f t="shared" si="94"/>
        <v>6088</v>
      </c>
      <c r="P41" s="683">
        <f t="shared" si="94"/>
        <v>5612</v>
      </c>
      <c r="Q41" s="683">
        <f t="shared" si="94"/>
        <v>4236</v>
      </c>
      <c r="R41" s="683">
        <f t="shared" si="94"/>
        <v>5806</v>
      </c>
      <c r="S41" s="683">
        <f t="shared" si="94"/>
        <v>4505</v>
      </c>
      <c r="T41" s="684">
        <f t="shared" si="94"/>
        <v>4505</v>
      </c>
      <c r="U41" s="683">
        <f t="shared" si="94"/>
        <v>4922</v>
      </c>
      <c r="V41" s="683">
        <f t="shared" si="94"/>
        <v>4954</v>
      </c>
      <c r="W41" s="683">
        <f t="shared" si="94"/>
        <v>6685</v>
      </c>
      <c r="X41" s="683">
        <f t="shared" si="94"/>
        <v>5046</v>
      </c>
      <c r="Y41" s="684">
        <f t="shared" si="94"/>
        <v>5046</v>
      </c>
      <c r="Z41" s="683">
        <f t="shared" si="94"/>
        <v>5561</v>
      </c>
      <c r="AA41" s="683">
        <f t="shared" si="94"/>
        <v>5216</v>
      </c>
      <c r="AB41" s="683">
        <f t="shared" si="94"/>
        <v>7022</v>
      </c>
      <c r="AC41" s="683">
        <f t="shared" si="94"/>
        <v>4991</v>
      </c>
      <c r="AD41" s="683">
        <f t="shared" si="94"/>
        <v>4991</v>
      </c>
      <c r="AE41" s="683">
        <f t="shared" si="94"/>
        <v>5252</v>
      </c>
      <c r="AF41" s="683">
        <f t="shared" si="94"/>
        <v>4763</v>
      </c>
      <c r="AG41" s="683">
        <f t="shared" si="94"/>
        <v>6633</v>
      </c>
      <c r="AH41" s="683">
        <f t="shared" si="94"/>
        <v>5055</v>
      </c>
      <c r="AI41" s="683">
        <f>AI34+AI36+AI38</f>
        <v>5055</v>
      </c>
      <c r="AN41" s="437"/>
      <c r="AS41" s="437"/>
      <c r="AX41" s="437"/>
      <c r="AY41" s="437"/>
    </row>
    <row r="42" spans="1:51" s="347" customFormat="1" ht="10.5">
      <c r="A42" s="357"/>
      <c r="B42" s="342"/>
      <c r="C42" s="342"/>
      <c r="D42" s="342"/>
      <c r="E42" s="349"/>
      <c r="F42" s="423"/>
      <c r="G42" s="423"/>
      <c r="H42" s="423"/>
      <c r="I42" s="423"/>
      <c r="J42" s="438"/>
      <c r="K42" s="423"/>
      <c r="L42" s="423"/>
      <c r="M42" s="423"/>
      <c r="N42" s="423"/>
      <c r="O42" s="438"/>
      <c r="P42" s="423"/>
      <c r="Q42" s="423"/>
      <c r="R42" s="423"/>
      <c r="S42" s="423"/>
      <c r="T42" s="438"/>
      <c r="U42" s="423"/>
      <c r="V42" s="423"/>
      <c r="W42" s="423"/>
      <c r="X42" s="423"/>
      <c r="Y42" s="438"/>
      <c r="Z42" s="423"/>
      <c r="AA42" s="423"/>
      <c r="AB42" s="423"/>
      <c r="AC42" s="423"/>
      <c r="AD42" s="423"/>
      <c r="AE42" s="423"/>
      <c r="AF42" s="423"/>
      <c r="AG42" s="423"/>
      <c r="AH42" s="423"/>
      <c r="AI42" s="423"/>
      <c r="AN42" s="437"/>
      <c r="AS42" s="437"/>
      <c r="AX42" s="437"/>
      <c r="AY42" s="437"/>
    </row>
    <row r="43" spans="1:51" s="347" customFormat="1" ht="10.5">
      <c r="A43" s="358" t="s">
        <v>521</v>
      </c>
      <c r="B43" s="342"/>
      <c r="C43" s="342"/>
      <c r="D43" s="342"/>
      <c r="E43" s="349"/>
      <c r="F43" s="423"/>
      <c r="G43" s="423"/>
      <c r="H43" s="423"/>
      <c r="I43" s="423"/>
      <c r="J43" s="438"/>
      <c r="K43" s="423"/>
      <c r="L43" s="423"/>
      <c r="M43" s="423"/>
      <c r="N43" s="423"/>
      <c r="O43" s="438"/>
      <c r="P43" s="423"/>
      <c r="Q43" s="423"/>
      <c r="R43" s="423"/>
      <c r="S43" s="423"/>
      <c r="T43" s="438"/>
      <c r="U43" s="423"/>
      <c r="V43" s="423"/>
      <c r="W43" s="423"/>
      <c r="X43" s="423"/>
      <c r="Y43" s="438"/>
      <c r="Z43" s="423"/>
      <c r="AA43" s="423"/>
      <c r="AB43" s="423"/>
      <c r="AC43" s="423"/>
      <c r="AD43" s="423"/>
      <c r="AE43" s="423"/>
      <c r="AF43" s="423"/>
      <c r="AG43" s="423"/>
      <c r="AH43" s="423"/>
      <c r="AI43" s="423"/>
      <c r="AN43" s="437"/>
      <c r="AS43" s="437"/>
      <c r="AX43" s="437"/>
      <c r="AY43" s="437"/>
    </row>
    <row r="44" spans="1:51" s="347" customFormat="1" ht="10.5">
      <c r="A44" s="421" t="s">
        <v>219</v>
      </c>
      <c r="B44" s="342"/>
      <c r="C44" s="342"/>
      <c r="D44" s="342"/>
      <c r="E44" s="349"/>
      <c r="F44" s="423">
        <f>BS!C42</f>
        <v>3715</v>
      </c>
      <c r="G44" s="423">
        <f>BS!D42</f>
        <v>3498</v>
      </c>
      <c r="H44" s="423">
        <f>BS!E42</f>
        <v>5403</v>
      </c>
      <c r="I44" s="423">
        <f>BS!F42</f>
        <v>2638</v>
      </c>
      <c r="J44" s="438">
        <f>BS!G42</f>
        <v>2638</v>
      </c>
      <c r="K44" s="423">
        <f>BS!H42</f>
        <v>3443</v>
      </c>
      <c r="L44" s="423">
        <f>BS!I42</f>
        <v>3181</v>
      </c>
      <c r="M44" s="423">
        <f>BS!J42</f>
        <v>5209</v>
      </c>
      <c r="N44" s="423">
        <f>BS!K42</f>
        <v>2659</v>
      </c>
      <c r="O44" s="438">
        <f>BS!L42</f>
        <v>2659</v>
      </c>
      <c r="P44" s="423">
        <f>BS!M42</f>
        <v>3969</v>
      </c>
      <c r="Q44" s="423">
        <f>BS!N42</f>
        <v>3484</v>
      </c>
      <c r="R44" s="423">
        <f>BS!O42</f>
        <v>5289</v>
      </c>
      <c r="S44" s="423">
        <f>BS!P42</f>
        <v>2856</v>
      </c>
      <c r="T44" s="438">
        <f>BS!Q42</f>
        <v>2856</v>
      </c>
      <c r="U44" s="423">
        <f>BS!R42</f>
        <v>4353</v>
      </c>
      <c r="V44" s="423">
        <f>BS!S42</f>
        <v>4391</v>
      </c>
      <c r="W44" s="423">
        <f>BS!T42</f>
        <v>5787</v>
      </c>
      <c r="X44" s="423">
        <f>BS!U42</f>
        <v>3280</v>
      </c>
      <c r="Y44" s="438">
        <f>BS!V42</f>
        <v>3280</v>
      </c>
      <c r="Z44" s="423">
        <f>BS!W42</f>
        <v>4648</v>
      </c>
      <c r="AA44" s="423">
        <f>BS!X42</f>
        <v>4113</v>
      </c>
      <c r="AB44" s="423">
        <f>BS!Y42</f>
        <v>5951</v>
      </c>
      <c r="AC44" s="423">
        <f>BS!Z42</f>
        <v>2874</v>
      </c>
      <c r="AD44" s="423">
        <f>BS!AA42</f>
        <v>2874</v>
      </c>
      <c r="AE44" s="423">
        <f>BS!AB42</f>
        <v>4074</v>
      </c>
      <c r="AF44" s="423">
        <f>BS!AC42</f>
        <v>3696</v>
      </c>
      <c r="AG44" s="423">
        <f>BS!AD42</f>
        <v>5328</v>
      </c>
      <c r="AH44" s="423">
        <f>BS!AE42</f>
        <v>2660</v>
      </c>
      <c r="AI44" s="423">
        <f>BS!AF42</f>
        <v>2660</v>
      </c>
      <c r="AN44" s="437"/>
      <c r="AS44" s="437"/>
      <c r="AX44" s="437"/>
      <c r="AY44" s="437"/>
    </row>
    <row r="45" spans="1:51" s="347" customFormat="1" ht="10.5">
      <c r="A45" s="422" t="s">
        <v>522</v>
      </c>
      <c r="B45" s="342"/>
      <c r="C45" s="342"/>
      <c r="D45" s="342"/>
      <c r="E45" s="349"/>
      <c r="F45" s="423">
        <f>(F44/F31)*360</f>
        <v>395.44648137196924</v>
      </c>
      <c r="G45" s="423">
        <f t="shared" ref="G45:AH45" si="95">(G44/G31)*90</f>
        <v>94.825301204819283</v>
      </c>
      <c r="H45" s="423">
        <f t="shared" si="95"/>
        <v>150.73465592064477</v>
      </c>
      <c r="I45" s="423">
        <f t="shared" si="95"/>
        <v>44.897881996974277</v>
      </c>
      <c r="J45" s="438">
        <f>(J44/J31)*360</f>
        <v>62.413249211356465</v>
      </c>
      <c r="K45" s="423">
        <f t="shared" si="95"/>
        <v>91.057890096973253</v>
      </c>
      <c r="L45" s="423">
        <f t="shared" si="95"/>
        <v>84.326951399116354</v>
      </c>
      <c r="M45" s="423">
        <f t="shared" si="95"/>
        <v>150.93689632968449</v>
      </c>
      <c r="N45" s="423">
        <f t="shared" si="95"/>
        <v>45.444360045575387</v>
      </c>
      <c r="O45" s="438">
        <f>(O44/O31)*360</f>
        <v>63.100856954515493</v>
      </c>
      <c r="P45" s="423">
        <f t="shared" si="95"/>
        <v>162.29441163107677</v>
      </c>
      <c r="Q45" s="423">
        <f t="shared" si="95"/>
        <v>115.36423841059602</v>
      </c>
      <c r="R45" s="423">
        <f t="shared" si="95"/>
        <v>185.2899961074348</v>
      </c>
      <c r="S45" s="423">
        <f t="shared" si="95"/>
        <v>53.572321800750309</v>
      </c>
      <c r="T45" s="438">
        <f>(T44/T31)*360</f>
        <v>83.685495686146837</v>
      </c>
      <c r="U45" s="423">
        <f t="shared" si="95"/>
        <v>135.60747663551402</v>
      </c>
      <c r="V45" s="423">
        <f t="shared" si="95"/>
        <v>117.86161646286908</v>
      </c>
      <c r="W45" s="423">
        <f t="shared" si="95"/>
        <v>162.40411599625818</v>
      </c>
      <c r="X45" s="423">
        <f t="shared" si="95"/>
        <v>53.604503359360812</v>
      </c>
      <c r="Y45" s="438">
        <f>(Y44/Y31)*360</f>
        <v>78.951591334581437</v>
      </c>
      <c r="Z45" s="423">
        <f t="shared" si="95"/>
        <v>129.47075208913648</v>
      </c>
      <c r="AA45" s="423">
        <f t="shared" si="95"/>
        <v>108.17358270017534</v>
      </c>
      <c r="AB45" s="423">
        <f t="shared" si="95"/>
        <v>167.1629213483146</v>
      </c>
      <c r="AC45" s="423">
        <f t="shared" si="95"/>
        <v>47.460550458715595</v>
      </c>
      <c r="AD45" s="423">
        <f>(AD44/AD31)*360</f>
        <v>67.592604690664402</v>
      </c>
      <c r="AE45" s="423">
        <f t="shared" si="95"/>
        <v>122.71084337349399</v>
      </c>
      <c r="AF45" s="423">
        <f t="shared" si="95"/>
        <v>104.73551637279597</v>
      </c>
      <c r="AG45" s="423">
        <f t="shared" si="95"/>
        <v>165.06712564543889</v>
      </c>
      <c r="AH45" s="423">
        <f t="shared" si="95"/>
        <v>46.449359720605351</v>
      </c>
      <c r="AI45" s="423" t="e">
        <f>(AI44/AI31)*360</f>
        <v>#VALUE!</v>
      </c>
      <c r="AN45" s="437"/>
      <c r="AS45" s="437"/>
      <c r="AX45" s="437"/>
      <c r="AY45" s="437"/>
    </row>
    <row r="46" spans="1:51" s="347" customFormat="1" ht="10.5">
      <c r="A46" s="421" t="s">
        <v>523</v>
      </c>
      <c r="B46" s="342"/>
      <c r="C46" s="342"/>
      <c r="D46" s="342"/>
      <c r="E46" s="349"/>
      <c r="F46" s="423">
        <v>0</v>
      </c>
      <c r="G46" s="423">
        <v>0</v>
      </c>
      <c r="H46" s="423">
        <v>0</v>
      </c>
      <c r="I46" s="423">
        <f>BS!F43</f>
        <v>939</v>
      </c>
      <c r="J46" s="438">
        <f>BS!G43</f>
        <v>939</v>
      </c>
      <c r="K46" s="423">
        <v>0</v>
      </c>
      <c r="L46" s="423">
        <v>0</v>
      </c>
      <c r="M46" s="423">
        <v>0</v>
      </c>
      <c r="N46" s="423">
        <f>BS!K43</f>
        <v>731</v>
      </c>
      <c r="O46" s="438">
        <f>BS!L43</f>
        <v>731</v>
      </c>
      <c r="P46" s="423">
        <v>0</v>
      </c>
      <c r="Q46" s="423">
        <v>0</v>
      </c>
      <c r="R46" s="423">
        <v>0</v>
      </c>
      <c r="S46" s="423">
        <f>BS!P43</f>
        <v>844</v>
      </c>
      <c r="T46" s="438">
        <f>BS!Q43</f>
        <v>844</v>
      </c>
      <c r="U46" s="423">
        <v>0</v>
      </c>
      <c r="V46" s="423">
        <v>0</v>
      </c>
      <c r="W46" s="423">
        <v>0</v>
      </c>
      <c r="X46" s="423">
        <f>BS!U43</f>
        <v>818</v>
      </c>
      <c r="Y46" s="438">
        <f>BS!V43</f>
        <v>818</v>
      </c>
      <c r="Z46" s="423">
        <v>0</v>
      </c>
      <c r="AA46" s="423">
        <v>0</v>
      </c>
      <c r="AB46" s="423">
        <v>0</v>
      </c>
      <c r="AC46" s="423">
        <f>BS!Z43</f>
        <v>719</v>
      </c>
      <c r="AD46" s="423">
        <f>BS!AA43</f>
        <v>719</v>
      </c>
      <c r="AE46" s="423">
        <v>0</v>
      </c>
      <c r="AF46" s="423">
        <v>0</v>
      </c>
      <c r="AG46" s="423">
        <v>0</v>
      </c>
      <c r="AH46" s="423">
        <f>BS!AE43</f>
        <v>680</v>
      </c>
      <c r="AI46" s="423">
        <f>BS!AF43</f>
        <v>680</v>
      </c>
      <c r="AN46" s="437"/>
      <c r="AS46" s="437"/>
      <c r="AX46" s="437"/>
      <c r="AY46" s="437"/>
    </row>
    <row r="47" spans="1:51" s="347" customFormat="1" ht="10.5">
      <c r="A47" s="422" t="s">
        <v>524</v>
      </c>
      <c r="B47" s="342"/>
      <c r="C47" s="342"/>
      <c r="D47" s="342"/>
      <c r="E47" s="349"/>
      <c r="F47" s="423">
        <f>(F46/F10)*90</f>
        <v>0</v>
      </c>
      <c r="G47" s="423">
        <f t="shared" ref="G47:AH47" si="96">(G46/G10)*90</f>
        <v>0</v>
      </c>
      <c r="H47" s="423">
        <f t="shared" si="96"/>
        <v>0</v>
      </c>
      <c r="I47" s="423">
        <f t="shared" si="96"/>
        <v>33.403162055335969</v>
      </c>
      <c r="J47" s="438">
        <f>(J46/J10)*360</f>
        <v>37.555827130318853</v>
      </c>
      <c r="K47" s="423">
        <f t="shared" si="96"/>
        <v>0</v>
      </c>
      <c r="L47" s="423">
        <f t="shared" si="96"/>
        <v>0</v>
      </c>
      <c r="M47" s="423">
        <f t="shared" si="96"/>
        <v>0</v>
      </c>
      <c r="N47" s="423">
        <f t="shared" si="96"/>
        <v>26.305477808876454</v>
      </c>
      <c r="O47" s="438">
        <f>(O46/O10)*360</f>
        <v>29.34106366373063</v>
      </c>
      <c r="P47" s="423">
        <f t="shared" si="96"/>
        <v>0</v>
      </c>
      <c r="Q47" s="423">
        <f t="shared" si="96"/>
        <v>0</v>
      </c>
      <c r="R47" s="423">
        <f t="shared" si="96"/>
        <v>0</v>
      </c>
      <c r="S47" s="423">
        <f t="shared" si="96"/>
        <v>37.474099654662062</v>
      </c>
      <c r="T47" s="438">
        <f>(T46/T10)*360</f>
        <v>45.261433040369432</v>
      </c>
      <c r="U47" s="423">
        <f t="shared" si="96"/>
        <v>0</v>
      </c>
      <c r="V47" s="423">
        <f t="shared" si="96"/>
        <v>0</v>
      </c>
      <c r="W47" s="423">
        <f t="shared" si="96"/>
        <v>0</v>
      </c>
      <c r="X47" s="423">
        <f t="shared" si="96"/>
        <v>30.522388059701495</v>
      </c>
      <c r="Y47" s="438">
        <f>(Y46/Y10)*360</f>
        <v>36.89300927085943</v>
      </c>
      <c r="Z47" s="423">
        <f t="shared" si="96"/>
        <v>0</v>
      </c>
      <c r="AA47" s="423">
        <f t="shared" si="96"/>
        <v>0</v>
      </c>
      <c r="AB47" s="423">
        <f t="shared" si="96"/>
        <v>0</v>
      </c>
      <c r="AC47" s="423">
        <f t="shared" si="96"/>
        <v>26.336996336996336</v>
      </c>
      <c r="AD47" s="423">
        <f>(AD46/AD10)*360</f>
        <v>30.668246445497633</v>
      </c>
      <c r="AE47" s="423">
        <f t="shared" si="96"/>
        <v>0</v>
      </c>
      <c r="AF47" s="423">
        <f t="shared" si="96"/>
        <v>0</v>
      </c>
      <c r="AG47" s="423">
        <f t="shared" si="96"/>
        <v>0</v>
      </c>
      <c r="AH47" s="423">
        <f t="shared" si="96"/>
        <v>25.457570715474212</v>
      </c>
      <c r="AI47" s="423">
        <f>(AI46/AI10)*360</f>
        <v>29.268292682926827</v>
      </c>
      <c r="AN47" s="437"/>
      <c r="AS47" s="437"/>
      <c r="AX47" s="437"/>
      <c r="AY47" s="437"/>
    </row>
    <row r="48" spans="1:51" s="347" customFormat="1" ht="10.5">
      <c r="A48" s="421" t="s">
        <v>525</v>
      </c>
      <c r="B48" s="342"/>
      <c r="C48" s="342"/>
      <c r="D48" s="342"/>
      <c r="E48" s="349"/>
      <c r="F48" s="423">
        <f>BS!C48</f>
        <v>727</v>
      </c>
      <c r="G48" s="423">
        <f>BS!D48</f>
        <v>662</v>
      </c>
      <c r="H48" s="423">
        <f>BS!E48</f>
        <v>711</v>
      </c>
      <c r="I48" s="423">
        <f>BS!F48</f>
        <v>879</v>
      </c>
      <c r="J48" s="438">
        <f>BS!G48</f>
        <v>879</v>
      </c>
      <c r="K48" s="423">
        <f>BS!H48</f>
        <v>696</v>
      </c>
      <c r="L48" s="423">
        <f>BS!I48</f>
        <v>654</v>
      </c>
      <c r="M48" s="423">
        <f>BS!J48</f>
        <v>705</v>
      </c>
      <c r="N48" s="423">
        <f>BS!K48</f>
        <v>839</v>
      </c>
      <c r="O48" s="438">
        <f>BS!L48</f>
        <v>839</v>
      </c>
      <c r="P48" s="423">
        <f>BS!M48</f>
        <v>732</v>
      </c>
      <c r="Q48" s="423">
        <f>BS!N48</f>
        <v>675</v>
      </c>
      <c r="R48" s="423">
        <f>BS!O48</f>
        <v>639</v>
      </c>
      <c r="S48" s="423">
        <f>BS!P48</f>
        <v>616</v>
      </c>
      <c r="T48" s="438">
        <f>BS!Q48</f>
        <v>616</v>
      </c>
      <c r="U48" s="423">
        <f>BS!R48</f>
        <v>580</v>
      </c>
      <c r="V48" s="423">
        <f>BS!S48</f>
        <v>547</v>
      </c>
      <c r="W48" s="423">
        <f>BS!T48</f>
        <v>500</v>
      </c>
      <c r="X48" s="423">
        <f>BS!U48</f>
        <v>481</v>
      </c>
      <c r="Y48" s="438">
        <f>BS!V48</f>
        <v>481</v>
      </c>
      <c r="Z48" s="423">
        <f>BS!W48</f>
        <v>428</v>
      </c>
      <c r="AA48" s="423">
        <f>BS!X48</f>
        <v>386</v>
      </c>
      <c r="AB48" s="423">
        <f>BS!Y48</f>
        <v>355</v>
      </c>
      <c r="AC48" s="423">
        <f>BS!Z48</f>
        <v>399</v>
      </c>
      <c r="AD48" s="423">
        <f>BS!AA48</f>
        <v>399</v>
      </c>
      <c r="AE48" s="423">
        <f>BS!AB48</f>
        <v>360</v>
      </c>
      <c r="AF48" s="423">
        <f>BS!AC48</f>
        <v>340</v>
      </c>
      <c r="AG48" s="423">
        <f>BS!AD48</f>
        <v>336</v>
      </c>
      <c r="AH48" s="423">
        <f>BS!AE48</f>
        <v>384</v>
      </c>
      <c r="AI48" s="423">
        <f>BS!AF48</f>
        <v>384</v>
      </c>
      <c r="AN48" s="437"/>
      <c r="AS48" s="437"/>
      <c r="AX48" s="437"/>
      <c r="AY48" s="437"/>
    </row>
    <row r="49" spans="1:60" s="347" customFormat="1" ht="10.5">
      <c r="A49" s="422" t="s">
        <v>526</v>
      </c>
      <c r="B49" s="342"/>
      <c r="C49" s="342"/>
      <c r="D49" s="342"/>
      <c r="E49" s="349"/>
      <c r="F49" s="423">
        <f>(F48/F16)*365</f>
        <v>46.569849069849077</v>
      </c>
      <c r="G49" s="423">
        <f t="shared" ref="G49:AH49" si="97">(G48/G16)*90</f>
        <v>10.347342827370616</v>
      </c>
      <c r="H49" s="423">
        <f t="shared" si="97"/>
        <v>11.449275362318842</v>
      </c>
      <c r="I49" s="423">
        <f t="shared" si="97"/>
        <v>9.0983323749281197</v>
      </c>
      <c r="J49" s="438">
        <f>(J48/J16)*365</f>
        <v>12.464936477718638</v>
      </c>
      <c r="K49" s="423">
        <f t="shared" si="97"/>
        <v>11.035940803382664</v>
      </c>
      <c r="L49" s="423">
        <f t="shared" si="97"/>
        <v>10.286613072352324</v>
      </c>
      <c r="M49" s="423">
        <f t="shared" si="97"/>
        <v>11.846527259148619</v>
      </c>
      <c r="N49" s="423">
        <f t="shared" si="97"/>
        <v>8.8037775445960129</v>
      </c>
      <c r="O49" s="438">
        <f>(O48/O16)*365</f>
        <v>12.089337175792508</v>
      </c>
      <c r="P49" s="423">
        <f t="shared" si="97"/>
        <v>20.927573062261754</v>
      </c>
      <c r="Q49" s="423">
        <f t="shared" si="97"/>
        <v>16.299973168768446</v>
      </c>
      <c r="R49" s="423">
        <f t="shared" si="97"/>
        <v>13.741935483870966</v>
      </c>
      <c r="S49" s="423">
        <f t="shared" si="97"/>
        <v>7.8783572545118661</v>
      </c>
      <c r="T49" s="438">
        <f>(T48/T16)*365</f>
        <v>12.424158700337074</v>
      </c>
      <c r="U49" s="423">
        <f t="shared" si="97"/>
        <v>10.729701952723536</v>
      </c>
      <c r="V49" s="423">
        <f t="shared" si="97"/>
        <v>8.424024640657084</v>
      </c>
      <c r="W49" s="423">
        <f t="shared" si="97"/>
        <v>7.960375022112153</v>
      </c>
      <c r="X49" s="423">
        <f t="shared" si="97"/>
        <v>4.8477043673012314</v>
      </c>
      <c r="Y49" s="438">
        <f>(Y48/Y16)*365</f>
        <v>6.9122800110240563</v>
      </c>
      <c r="Z49" s="423">
        <f t="shared" si="97"/>
        <v>6.9218328840970349</v>
      </c>
      <c r="AA49" s="423">
        <f t="shared" si="97"/>
        <v>5.9547480287967085</v>
      </c>
      <c r="AB49" s="423">
        <f t="shared" si="97"/>
        <v>5.8441558441558437</v>
      </c>
      <c r="AC49" s="423">
        <f t="shared" si="97"/>
        <v>4.1838518000699052</v>
      </c>
      <c r="AD49" s="423">
        <f>(AD48/AD16)*365</f>
        <v>5.7226217140162676</v>
      </c>
      <c r="AE49" s="423">
        <f t="shared" si="97"/>
        <v>6.2632901604484825</v>
      </c>
      <c r="AF49" s="423">
        <f t="shared" si="97"/>
        <v>5.795454545454545</v>
      </c>
      <c r="AG49" s="423">
        <f t="shared" si="97"/>
        <v>6.0023818975784042</v>
      </c>
      <c r="AH49" s="423">
        <f t="shared" si="97"/>
        <v>4.1265671641791046</v>
      </c>
      <c r="AI49" s="423">
        <f>(AI48/AI16)*365</f>
        <v>5.8727897427302445</v>
      </c>
      <c r="AN49" s="437"/>
      <c r="AS49" s="437"/>
      <c r="AX49" s="437"/>
      <c r="AY49" s="437"/>
    </row>
    <row r="50" spans="1:60" s="347" customFormat="1" ht="10.9" thickBot="1">
      <c r="A50" s="417" t="s">
        <v>527</v>
      </c>
      <c r="B50" s="359"/>
      <c r="C50" s="359"/>
      <c r="D50" s="359"/>
      <c r="E50" s="360"/>
      <c r="F50" s="683">
        <f>F44+F46+F48</f>
        <v>4442</v>
      </c>
      <c r="G50" s="683">
        <f t="shared" ref="G50:AI50" si="98">G44+G46+G48</f>
        <v>4160</v>
      </c>
      <c r="H50" s="683">
        <f t="shared" si="98"/>
        <v>6114</v>
      </c>
      <c r="I50" s="683">
        <f t="shared" si="98"/>
        <v>4456</v>
      </c>
      <c r="J50" s="684">
        <f t="shared" si="98"/>
        <v>4456</v>
      </c>
      <c r="K50" s="683">
        <f t="shared" si="98"/>
        <v>4139</v>
      </c>
      <c r="L50" s="683">
        <f t="shared" si="98"/>
        <v>3835</v>
      </c>
      <c r="M50" s="683">
        <f t="shared" si="98"/>
        <v>5914</v>
      </c>
      <c r="N50" s="683">
        <f t="shared" si="98"/>
        <v>4229</v>
      </c>
      <c r="O50" s="684">
        <f t="shared" si="98"/>
        <v>4229</v>
      </c>
      <c r="P50" s="683">
        <f t="shared" si="98"/>
        <v>4701</v>
      </c>
      <c r="Q50" s="683">
        <f t="shared" si="98"/>
        <v>4159</v>
      </c>
      <c r="R50" s="683">
        <f t="shared" si="98"/>
        <v>5928</v>
      </c>
      <c r="S50" s="683">
        <f t="shared" si="98"/>
        <v>4316</v>
      </c>
      <c r="T50" s="684">
        <f t="shared" si="98"/>
        <v>4316</v>
      </c>
      <c r="U50" s="683">
        <f t="shared" si="98"/>
        <v>4933</v>
      </c>
      <c r="V50" s="683">
        <f t="shared" si="98"/>
        <v>4938</v>
      </c>
      <c r="W50" s="683">
        <f t="shared" si="98"/>
        <v>6287</v>
      </c>
      <c r="X50" s="683">
        <f t="shared" si="98"/>
        <v>4579</v>
      </c>
      <c r="Y50" s="684">
        <f t="shared" si="98"/>
        <v>4579</v>
      </c>
      <c r="Z50" s="683">
        <f t="shared" si="98"/>
        <v>5076</v>
      </c>
      <c r="AA50" s="683">
        <f t="shared" si="98"/>
        <v>4499</v>
      </c>
      <c r="AB50" s="683">
        <f t="shared" si="98"/>
        <v>6306</v>
      </c>
      <c r="AC50" s="683">
        <f t="shared" si="98"/>
        <v>3992</v>
      </c>
      <c r="AD50" s="683">
        <f t="shared" si="98"/>
        <v>3992</v>
      </c>
      <c r="AE50" s="683">
        <f t="shared" si="98"/>
        <v>4434</v>
      </c>
      <c r="AF50" s="683">
        <f t="shared" si="98"/>
        <v>4036</v>
      </c>
      <c r="AG50" s="683">
        <f t="shared" si="98"/>
        <v>5664</v>
      </c>
      <c r="AH50" s="683">
        <f t="shared" si="98"/>
        <v>3724</v>
      </c>
      <c r="AI50" s="683">
        <f t="shared" si="98"/>
        <v>3724</v>
      </c>
      <c r="AN50" s="437"/>
      <c r="AS50" s="437"/>
      <c r="AX50" s="437"/>
      <c r="AY50" s="437"/>
    </row>
    <row r="51" spans="1:60" s="347" customFormat="1" ht="10.5">
      <c r="A51" s="342"/>
      <c r="B51" s="342"/>
      <c r="C51" s="342"/>
      <c r="D51" s="342"/>
      <c r="E51" s="342"/>
      <c r="J51" s="437"/>
      <c r="O51" s="437"/>
      <c r="T51" s="437"/>
      <c r="Y51" s="437"/>
      <c r="AN51" s="437"/>
      <c r="AS51" s="437"/>
      <c r="AX51" s="437"/>
      <c r="AY51" s="437"/>
    </row>
    <row r="52" spans="1:60" s="347" customFormat="1" ht="10.5">
      <c r="A52" s="342"/>
      <c r="B52" s="342"/>
      <c r="C52" s="342"/>
      <c r="D52" s="342"/>
      <c r="E52" s="342"/>
      <c r="J52" s="437"/>
      <c r="O52" s="437"/>
      <c r="T52" s="437"/>
      <c r="Y52" s="437"/>
      <c r="AN52" s="437"/>
      <c r="AS52" s="437"/>
      <c r="AX52" s="437"/>
      <c r="AY52" s="437"/>
    </row>
    <row r="53" spans="1:60" s="347" customFormat="1" ht="10.9" thickBot="1">
      <c r="A53" s="361" t="s">
        <v>528</v>
      </c>
      <c r="B53" s="361"/>
      <c r="C53" s="361"/>
      <c r="D53" s="361"/>
      <c r="E53" s="362" t="s">
        <v>417</v>
      </c>
      <c r="F53" s="685">
        <f>F41-F50</f>
        <v>1737</v>
      </c>
      <c r="G53" s="685">
        <f t="shared" ref="G53:AI53" si="99">G41-G50</f>
        <v>1637</v>
      </c>
      <c r="H53" s="685">
        <f t="shared" si="99"/>
        <v>1807</v>
      </c>
      <c r="I53" s="685">
        <f t="shared" si="99"/>
        <v>1790</v>
      </c>
      <c r="J53" s="682">
        <f t="shared" si="99"/>
        <v>1790</v>
      </c>
      <c r="K53" s="685">
        <f t="shared" si="99"/>
        <v>2229</v>
      </c>
      <c r="L53" s="685">
        <f t="shared" si="99"/>
        <v>2037</v>
      </c>
      <c r="M53" s="685">
        <f t="shared" si="99"/>
        <v>2085</v>
      </c>
      <c r="N53" s="685">
        <f t="shared" si="99"/>
        <v>1859</v>
      </c>
      <c r="O53" s="682">
        <f t="shared" si="99"/>
        <v>1859</v>
      </c>
      <c r="P53" s="685">
        <f t="shared" si="99"/>
        <v>911</v>
      </c>
      <c r="Q53" s="685">
        <f t="shared" si="99"/>
        <v>77</v>
      </c>
      <c r="R53" s="685">
        <f t="shared" si="99"/>
        <v>-122</v>
      </c>
      <c r="S53" s="685">
        <f t="shared" si="99"/>
        <v>189</v>
      </c>
      <c r="T53" s="682">
        <f t="shared" si="99"/>
        <v>189</v>
      </c>
      <c r="U53" s="685">
        <f t="shared" si="99"/>
        <v>-11</v>
      </c>
      <c r="V53" s="685">
        <f t="shared" si="99"/>
        <v>16</v>
      </c>
      <c r="W53" s="685">
        <f t="shared" si="99"/>
        <v>398</v>
      </c>
      <c r="X53" s="685">
        <f t="shared" si="99"/>
        <v>467</v>
      </c>
      <c r="Y53" s="682">
        <f t="shared" si="99"/>
        <v>467</v>
      </c>
      <c r="Z53" s="685">
        <f t="shared" si="99"/>
        <v>485</v>
      </c>
      <c r="AA53" s="685">
        <f t="shared" si="99"/>
        <v>717</v>
      </c>
      <c r="AB53" s="685">
        <f t="shared" si="99"/>
        <v>716</v>
      </c>
      <c r="AC53" s="685">
        <f t="shared" si="99"/>
        <v>999</v>
      </c>
      <c r="AD53" s="685">
        <f t="shared" si="99"/>
        <v>999</v>
      </c>
      <c r="AE53" s="685">
        <f t="shared" si="99"/>
        <v>818</v>
      </c>
      <c r="AF53" s="685">
        <f t="shared" si="99"/>
        <v>727</v>
      </c>
      <c r="AG53" s="685">
        <f t="shared" si="99"/>
        <v>969</v>
      </c>
      <c r="AH53" s="685">
        <f t="shared" si="99"/>
        <v>1331</v>
      </c>
      <c r="AI53" s="685">
        <f t="shared" si="99"/>
        <v>1331</v>
      </c>
      <c r="AN53" s="437"/>
      <c r="AS53" s="437"/>
      <c r="AX53" s="437"/>
      <c r="AY53" s="437"/>
    </row>
    <row r="54" spans="1:60" s="347" customFormat="1" ht="10.5">
      <c r="A54" s="342"/>
      <c r="B54" s="342"/>
      <c r="C54" s="342"/>
      <c r="D54" s="342"/>
      <c r="E54" s="349"/>
      <c r="J54" s="437"/>
      <c r="O54" s="437"/>
      <c r="T54" s="437"/>
      <c r="Y54" s="437"/>
      <c r="AN54" s="437"/>
      <c r="AS54" s="437"/>
      <c r="AX54" s="437"/>
      <c r="AY54" s="437"/>
    </row>
    <row r="55" spans="1:60" s="347" customFormat="1" ht="10.5">
      <c r="A55" s="342"/>
      <c r="B55" s="342"/>
      <c r="C55" s="342"/>
      <c r="D55" s="342"/>
      <c r="E55" s="349"/>
      <c r="J55" s="437"/>
      <c r="O55" s="437"/>
      <c r="T55" s="437"/>
      <c r="Y55" s="437"/>
      <c r="AN55" s="437"/>
      <c r="AS55" s="437"/>
      <c r="AX55" s="437"/>
      <c r="AY55" s="437"/>
    </row>
    <row r="56" spans="1:60" s="347" customFormat="1" ht="10.5">
      <c r="A56" s="322" t="s">
        <v>529</v>
      </c>
      <c r="B56" s="322"/>
      <c r="C56" s="322"/>
      <c r="D56" s="322"/>
      <c r="E56" s="323"/>
      <c r="F56" s="322"/>
      <c r="G56" s="322"/>
      <c r="H56" s="322"/>
      <c r="I56" s="322"/>
      <c r="J56" s="432"/>
      <c r="K56" s="322"/>
      <c r="L56" s="322"/>
      <c r="M56" s="322"/>
      <c r="N56" s="322"/>
      <c r="O56" s="432"/>
      <c r="P56" s="322"/>
      <c r="Q56" s="322"/>
      <c r="R56" s="322"/>
      <c r="S56" s="322"/>
      <c r="T56" s="432"/>
      <c r="U56" s="322"/>
      <c r="V56" s="322"/>
      <c r="W56" s="322"/>
      <c r="X56" s="322"/>
      <c r="Y56" s="432"/>
      <c r="Z56" s="322"/>
      <c r="AA56" s="322"/>
      <c r="AB56" s="322"/>
      <c r="AC56" s="322"/>
      <c r="AD56" s="742"/>
      <c r="AE56" s="322"/>
      <c r="AF56" s="322"/>
      <c r="AG56" s="322"/>
      <c r="AH56" s="322"/>
      <c r="AI56" s="742"/>
      <c r="AJ56" s="322"/>
      <c r="AK56" s="322"/>
      <c r="AL56" s="322"/>
      <c r="AM56" s="322"/>
      <c r="AN56" s="432"/>
      <c r="AO56" s="322"/>
      <c r="AP56" s="322"/>
      <c r="AQ56" s="322"/>
      <c r="AR56" s="322"/>
      <c r="AS56" s="432"/>
      <c r="AT56" s="322"/>
      <c r="AU56" s="322"/>
      <c r="AV56" s="322"/>
      <c r="AW56" s="322"/>
      <c r="AX56" s="432"/>
      <c r="AY56" s="432"/>
    </row>
    <row r="57" spans="1:60" s="347" customFormat="1" ht="10.5">
      <c r="A57" s="342"/>
      <c r="B57" s="342"/>
      <c r="C57" s="342"/>
      <c r="D57" s="342"/>
      <c r="E57" s="349"/>
      <c r="J57" s="437"/>
      <c r="O57" s="437"/>
      <c r="T57" s="437"/>
      <c r="Y57" s="437"/>
      <c r="AN57" s="437"/>
      <c r="AS57" s="437"/>
      <c r="AX57" s="437"/>
      <c r="AY57" s="437"/>
    </row>
    <row r="58" spans="1:60" s="347" customFormat="1">
      <c r="B58" s="342"/>
      <c r="C58" s="342"/>
      <c r="D58" s="342"/>
      <c r="E58" s="349"/>
      <c r="F58" s="325"/>
      <c r="G58" s="324"/>
      <c r="H58" s="324"/>
      <c r="I58" s="324"/>
      <c r="J58" s="326"/>
      <c r="K58" s="324"/>
      <c r="L58" s="324"/>
      <c r="M58" s="324"/>
      <c r="N58" s="324"/>
      <c r="O58" s="326"/>
      <c r="P58" s="324"/>
      <c r="T58" s="437"/>
      <c r="Y58" s="437"/>
      <c r="AN58" s="437"/>
      <c r="AS58" s="437"/>
      <c r="AX58" s="437"/>
      <c r="AY58" s="437"/>
    </row>
    <row r="59" spans="1:60" s="347" customFormat="1">
      <c r="A59" s="342" t="s">
        <v>416</v>
      </c>
      <c r="B59" s="342"/>
      <c r="C59" s="342"/>
      <c r="D59" s="342"/>
      <c r="E59" s="349"/>
      <c r="F59" s="325"/>
      <c r="G59" s="324"/>
      <c r="H59" s="324"/>
      <c r="I59" s="324"/>
      <c r="J59" s="326"/>
      <c r="K59" s="324"/>
      <c r="L59" s="324"/>
      <c r="M59" s="324"/>
      <c r="N59" s="324"/>
      <c r="O59" s="326"/>
      <c r="P59" s="324"/>
      <c r="Q59" s="324"/>
      <c r="R59" s="325"/>
      <c r="S59" s="324"/>
      <c r="T59" s="324"/>
      <c r="U59" s="324"/>
      <c r="V59" s="326"/>
      <c r="W59" s="324"/>
      <c r="X59" s="324"/>
      <c r="Y59" s="325"/>
      <c r="Z59" s="324"/>
      <c r="AA59" s="324"/>
      <c r="AB59" s="324"/>
      <c r="AC59" s="326"/>
      <c r="AD59" s="324"/>
      <c r="AE59" s="325"/>
      <c r="AF59" s="324"/>
      <c r="AG59" s="324"/>
      <c r="AH59" s="324"/>
      <c r="AI59" s="324"/>
      <c r="AJ59" s="324"/>
      <c r="AK59" s="324"/>
      <c r="AL59" s="324"/>
      <c r="AM59" s="324"/>
      <c r="AN59" s="326"/>
      <c r="AO59" s="324"/>
      <c r="AP59" s="324"/>
      <c r="AQ59" s="325"/>
      <c r="AR59" s="324"/>
      <c r="AS59" s="324"/>
      <c r="AT59" s="324"/>
      <c r="AU59" s="326"/>
      <c r="AV59" s="324"/>
      <c r="AW59" s="324"/>
      <c r="AX59" s="325"/>
      <c r="AY59" s="324"/>
      <c r="AZ59" s="324"/>
      <c r="BA59" s="324"/>
      <c r="BB59" s="324"/>
      <c r="BC59" s="324"/>
      <c r="BD59" s="324"/>
      <c r="BE59" s="324"/>
      <c r="BF59" s="324"/>
      <c r="BG59" s="324"/>
      <c r="BH59" s="324"/>
    </row>
    <row r="60" spans="1:60" s="347" customFormat="1" ht="21" customHeight="1">
      <c r="A60" s="342" t="s">
        <v>530</v>
      </c>
      <c r="B60" s="342"/>
      <c r="C60" s="342"/>
      <c r="D60" s="342"/>
      <c r="E60" s="349"/>
      <c r="F60" s="325"/>
      <c r="G60" s="324"/>
      <c r="H60" s="324"/>
      <c r="I60" s="324"/>
      <c r="J60" s="326"/>
      <c r="K60" s="324"/>
      <c r="L60" s="324"/>
      <c r="M60" s="324"/>
      <c r="N60" s="324"/>
      <c r="O60" s="326"/>
      <c r="P60" s="324"/>
      <c r="Q60" s="324"/>
      <c r="R60" s="325"/>
      <c r="S60" s="324"/>
      <c r="T60" s="324"/>
      <c r="U60" s="324"/>
      <c r="V60" s="326"/>
      <c r="W60" s="324"/>
      <c r="X60" s="324"/>
      <c r="Y60" s="325"/>
      <c r="Z60" s="324"/>
      <c r="AA60" s="324"/>
      <c r="AB60" s="324"/>
      <c r="AC60" s="326"/>
      <c r="AD60" s="324"/>
      <c r="AE60" s="325"/>
      <c r="AF60" s="324"/>
      <c r="AG60" s="324"/>
      <c r="AH60" s="324"/>
      <c r="AI60" s="324"/>
      <c r="AJ60" s="324"/>
      <c r="AK60" s="324"/>
      <c r="AL60" s="324"/>
      <c r="AM60" s="324"/>
      <c r="AN60" s="326"/>
      <c r="AO60" s="324"/>
      <c r="AP60" s="324"/>
      <c r="AQ60" s="325"/>
      <c r="AR60" s="324"/>
      <c r="AS60" s="324"/>
      <c r="AT60" s="324"/>
      <c r="AU60" s="326"/>
      <c r="AV60" s="324"/>
      <c r="AW60" s="324"/>
      <c r="AX60" s="325"/>
      <c r="AY60" s="324"/>
      <c r="AZ60" s="324"/>
      <c r="BA60" s="324"/>
      <c r="BB60" s="324"/>
      <c r="BC60" s="324"/>
      <c r="BD60" s="324"/>
      <c r="BE60" s="324"/>
      <c r="BF60" s="324"/>
      <c r="BG60" s="324"/>
      <c r="BH60" s="324"/>
    </row>
    <row r="61" spans="1:60" s="347" customFormat="1" ht="19.05" customHeight="1">
      <c r="A61" s="342" t="s">
        <v>531</v>
      </c>
      <c r="B61" s="342"/>
      <c r="C61" s="342"/>
      <c r="D61" s="342"/>
      <c r="E61" s="349"/>
      <c r="F61" s="325"/>
      <c r="G61" s="324"/>
      <c r="H61" s="324"/>
      <c r="I61" s="324"/>
      <c r="J61" s="324"/>
      <c r="K61" s="324"/>
      <c r="L61" s="324"/>
      <c r="M61" s="324"/>
      <c r="N61" s="324"/>
      <c r="O61" s="324"/>
      <c r="P61" s="324"/>
      <c r="Q61" s="324"/>
      <c r="R61" s="324"/>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c r="AQ61" s="324"/>
      <c r="AR61" s="324"/>
      <c r="AS61" s="324"/>
      <c r="AT61" s="324"/>
      <c r="AU61" s="324"/>
      <c r="AV61" s="324"/>
      <c r="AW61" s="324"/>
      <c r="AX61" s="324"/>
      <c r="AY61" s="324"/>
      <c r="AZ61" s="324"/>
      <c r="BA61" s="324"/>
      <c r="BB61" s="324"/>
      <c r="BC61" s="324"/>
      <c r="BD61" s="324"/>
      <c r="BE61" s="324"/>
      <c r="BF61" s="324"/>
      <c r="BG61" s="324"/>
      <c r="BH61" s="324"/>
    </row>
    <row r="62" spans="1:60" s="347" customFormat="1" ht="10.5" customHeight="1">
      <c r="A62" s="342" t="s">
        <v>532</v>
      </c>
      <c r="B62" s="342"/>
      <c r="C62" s="342"/>
      <c r="D62" s="342"/>
      <c r="E62" s="349"/>
      <c r="G62" s="456"/>
      <c r="H62" s="456"/>
      <c r="I62" s="456"/>
      <c r="J62" s="456"/>
      <c r="K62" s="456"/>
      <c r="L62" s="456"/>
      <c r="M62" s="456"/>
      <c r="O62" s="437"/>
      <c r="T62" s="437"/>
      <c r="Y62" s="437"/>
      <c r="AN62" s="437"/>
      <c r="AS62" s="437"/>
      <c r="AX62" s="437"/>
      <c r="AY62" s="437"/>
    </row>
    <row r="63" spans="1:60" s="347" customFormat="1" ht="10.5" customHeight="1">
      <c r="A63" s="342" t="s">
        <v>533</v>
      </c>
      <c r="B63" s="342"/>
      <c r="C63" s="342"/>
      <c r="D63" s="342"/>
      <c r="E63" s="349"/>
      <c r="G63" s="456"/>
      <c r="H63" s="456"/>
      <c r="I63" s="456"/>
      <c r="J63" s="456"/>
      <c r="K63" s="456"/>
      <c r="L63" s="456"/>
      <c r="M63" s="456"/>
      <c r="O63" s="437"/>
      <c r="T63" s="437"/>
      <c r="Y63" s="437"/>
      <c r="AN63" s="437"/>
      <c r="AS63" s="437"/>
      <c r="AX63" s="437"/>
      <c r="AY63" s="437"/>
    </row>
    <row r="64" spans="1:60" s="347" customFormat="1" ht="10.5" customHeight="1">
      <c r="A64" s="342"/>
      <c r="B64" s="342"/>
      <c r="C64" s="342"/>
      <c r="D64" s="342"/>
      <c r="E64" s="349"/>
      <c r="G64" s="456"/>
      <c r="H64" s="456"/>
      <c r="I64" s="456"/>
      <c r="J64" s="456"/>
      <c r="K64" s="456"/>
      <c r="L64" s="456"/>
      <c r="M64" s="456"/>
      <c r="O64" s="437"/>
      <c r="T64" s="437"/>
      <c r="Y64" s="437"/>
      <c r="AN64" s="437"/>
      <c r="AS64" s="437"/>
      <c r="AX64" s="437"/>
      <c r="AY64" s="437"/>
    </row>
    <row r="65" spans="1:51" s="347" customFormat="1" ht="10.5" customHeight="1">
      <c r="A65" s="342" t="s">
        <v>416</v>
      </c>
      <c r="B65" s="342"/>
      <c r="C65" s="342"/>
      <c r="D65" s="342"/>
      <c r="E65" s="349"/>
      <c r="G65" s="456"/>
      <c r="H65" s="456"/>
      <c r="I65" s="456"/>
      <c r="J65" s="456"/>
      <c r="K65" s="456"/>
      <c r="L65" s="456"/>
      <c r="M65" s="456"/>
      <c r="O65" s="437"/>
      <c r="T65" s="437"/>
      <c r="Y65" s="437"/>
      <c r="AN65" s="437"/>
      <c r="AS65" s="437"/>
      <c r="AX65" s="437"/>
      <c r="AY65" s="437"/>
    </row>
    <row r="66" spans="1:51" s="347" customFormat="1" ht="10.5" customHeight="1">
      <c r="A66" s="342" t="s">
        <v>418</v>
      </c>
      <c r="B66" s="342"/>
      <c r="C66" s="342"/>
      <c r="D66" s="342"/>
      <c r="E66" s="349"/>
      <c r="G66" s="456"/>
      <c r="H66" s="456"/>
      <c r="I66" s="456"/>
      <c r="J66" s="456"/>
      <c r="K66" s="456"/>
      <c r="L66" s="456"/>
      <c r="M66" s="456"/>
      <c r="O66" s="437"/>
      <c r="T66" s="437"/>
      <c r="Y66" s="437"/>
      <c r="AN66" s="437"/>
      <c r="AS66" s="437"/>
      <c r="AX66" s="437"/>
      <c r="AY66" s="437"/>
    </row>
    <row r="67" spans="1:51" s="347" customFormat="1" ht="10.5" customHeight="1">
      <c r="A67" s="342"/>
      <c r="B67" s="342"/>
      <c r="C67" s="342"/>
      <c r="D67" s="342"/>
      <c r="E67" s="349"/>
      <c r="G67" s="456"/>
      <c r="H67" s="456"/>
      <c r="I67" s="456"/>
      <c r="J67" s="456"/>
      <c r="K67" s="456"/>
      <c r="L67" s="456"/>
      <c r="M67" s="456"/>
      <c r="O67" s="437"/>
      <c r="T67" s="437"/>
      <c r="Y67" s="437"/>
      <c r="AN67" s="437"/>
      <c r="AS67" s="437"/>
      <c r="AX67" s="437"/>
      <c r="AY67" s="437"/>
    </row>
    <row r="68" spans="1:51" s="347" customFormat="1" ht="10.5" customHeight="1">
      <c r="A68" s="342" t="s">
        <v>420</v>
      </c>
      <c r="B68" s="342"/>
      <c r="C68" s="342"/>
      <c r="D68" s="342"/>
      <c r="E68" s="349"/>
      <c r="G68" s="456"/>
      <c r="H68" s="456"/>
      <c r="I68" s="456"/>
      <c r="J68" s="456"/>
      <c r="K68" s="456"/>
      <c r="L68" s="456"/>
      <c r="M68" s="456"/>
      <c r="O68" s="437"/>
      <c r="T68" s="437"/>
      <c r="Y68" s="437"/>
      <c r="AN68" s="437"/>
      <c r="AS68" s="437"/>
      <c r="AX68" s="437"/>
      <c r="AY68" s="437"/>
    </row>
    <row r="69" spans="1:51" s="347" customFormat="1" ht="10.5" customHeight="1">
      <c r="A69" s="342"/>
      <c r="B69" s="342"/>
      <c r="C69" s="342"/>
      <c r="D69" s="342"/>
      <c r="E69" s="349"/>
      <c r="G69" s="456"/>
      <c r="H69" s="456"/>
      <c r="I69" s="456"/>
      <c r="J69" s="456"/>
      <c r="K69" s="456"/>
      <c r="L69" s="456"/>
      <c r="M69" s="456"/>
      <c r="O69" s="437"/>
      <c r="T69" s="437"/>
      <c r="Y69" s="437"/>
      <c r="AN69" s="437"/>
      <c r="AS69" s="437"/>
      <c r="AX69" s="437"/>
      <c r="AY69" s="437"/>
    </row>
    <row r="70" spans="1:51" s="347" customFormat="1" ht="10.5" customHeight="1">
      <c r="A70" s="342" t="s">
        <v>421</v>
      </c>
      <c r="B70" s="342"/>
      <c r="C70" s="342"/>
      <c r="D70" s="342"/>
      <c r="E70" s="349"/>
      <c r="G70" s="456"/>
      <c r="H70" s="456"/>
      <c r="I70" s="456"/>
      <c r="J70" s="456"/>
      <c r="K70" s="456"/>
      <c r="L70" s="456"/>
      <c r="M70" s="456"/>
      <c r="O70" s="437"/>
      <c r="T70" s="437"/>
      <c r="Y70" s="437"/>
      <c r="AN70" s="437"/>
      <c r="AS70" s="437"/>
      <c r="AX70" s="437"/>
      <c r="AY70" s="437"/>
    </row>
    <row r="71" spans="1:51" s="347" customFormat="1" ht="10.5">
      <c r="A71" s="342" t="s">
        <v>422</v>
      </c>
      <c r="B71" s="342"/>
      <c r="C71" s="342"/>
      <c r="D71" s="342"/>
      <c r="E71" s="349"/>
      <c r="J71" s="437"/>
      <c r="O71" s="437"/>
      <c r="T71" s="437"/>
      <c r="Y71" s="437"/>
      <c r="AN71" s="437"/>
      <c r="AS71" s="437"/>
      <c r="AX71" s="437"/>
      <c r="AY71" s="437"/>
    </row>
    <row r="72" spans="1:51" s="347" customFormat="1" ht="10.5">
      <c r="A72" s="342" t="s">
        <v>423</v>
      </c>
      <c r="B72" s="342"/>
      <c r="C72" s="342"/>
      <c r="D72" s="342"/>
      <c r="E72" s="349"/>
      <c r="J72" s="437"/>
      <c r="O72" s="437"/>
      <c r="T72" s="437"/>
      <c r="Y72" s="437"/>
      <c r="AN72" s="437"/>
      <c r="AS72" s="437"/>
      <c r="AX72" s="437"/>
      <c r="AY72" s="437"/>
    </row>
    <row r="73" spans="1:51" s="347" customFormat="1" ht="10.5">
      <c r="A73" s="342"/>
      <c r="B73" s="342"/>
      <c r="C73" s="342"/>
      <c r="D73" s="342"/>
      <c r="E73" s="349"/>
      <c r="J73" s="437"/>
      <c r="O73" s="437"/>
      <c r="T73" s="437"/>
      <c r="Y73" s="437"/>
      <c r="AN73" s="437"/>
      <c r="AS73" s="437"/>
      <c r="AX73" s="437"/>
      <c r="AY73" s="437"/>
    </row>
    <row r="74" spans="1:51" s="347" customFormat="1" ht="10.5">
      <c r="A74" s="342" t="s">
        <v>424</v>
      </c>
      <c r="B74" s="342"/>
      <c r="C74" s="342"/>
      <c r="D74" s="342"/>
      <c r="E74" s="349"/>
      <c r="J74" s="437"/>
      <c r="O74" s="437"/>
      <c r="T74" s="437"/>
      <c r="Y74" s="437"/>
      <c r="AN74" s="437"/>
      <c r="AS74" s="437"/>
      <c r="AX74" s="437"/>
      <c r="AY74" s="437"/>
    </row>
    <row r="75" spans="1:51" s="347" customFormat="1" ht="10.5">
      <c r="A75" s="342"/>
      <c r="B75" s="342"/>
      <c r="C75" s="342"/>
      <c r="D75" s="342"/>
      <c r="E75" s="349"/>
      <c r="J75" s="437"/>
      <c r="O75" s="437"/>
      <c r="T75" s="437"/>
      <c r="Y75" s="437"/>
      <c r="AN75" s="437"/>
      <c r="AS75" s="437"/>
      <c r="AX75" s="437"/>
      <c r="AY75" s="437"/>
    </row>
    <row r="76" spans="1:51" s="347" customFormat="1" ht="10.5">
      <c r="A76" s="342" t="s">
        <v>425</v>
      </c>
      <c r="B76" s="342"/>
      <c r="C76" s="342"/>
      <c r="D76" s="342"/>
      <c r="E76" s="349"/>
      <c r="J76" s="437"/>
      <c r="O76" s="437"/>
      <c r="T76" s="437"/>
      <c r="Y76" s="437"/>
      <c r="AN76" s="437"/>
      <c r="AS76" s="437"/>
      <c r="AX76" s="437"/>
      <c r="AY76" s="437"/>
    </row>
    <row r="77" spans="1:51" s="347" customFormat="1" ht="10.5">
      <c r="A77" s="342" t="s">
        <v>534</v>
      </c>
      <c r="B77" s="342"/>
      <c r="C77" s="342"/>
      <c r="D77" s="342"/>
      <c r="E77" s="349"/>
      <c r="J77" s="437"/>
      <c r="O77" s="437"/>
      <c r="T77" s="437"/>
      <c r="Y77" s="437"/>
      <c r="AN77" s="437"/>
      <c r="AS77" s="437"/>
      <c r="AX77" s="437"/>
      <c r="AY77" s="437"/>
    </row>
    <row r="78" spans="1:51" s="347" customFormat="1" ht="10.5">
      <c r="A78" s="342" t="s">
        <v>33</v>
      </c>
      <c r="B78" s="342"/>
      <c r="C78" s="342"/>
      <c r="D78" s="342"/>
      <c r="E78" s="349"/>
      <c r="J78" s="437"/>
      <c r="O78" s="437"/>
      <c r="T78" s="437"/>
      <c r="Y78" s="437"/>
      <c r="AN78" s="437"/>
      <c r="AS78" s="437"/>
      <c r="AX78" s="437"/>
      <c r="AY78" s="437"/>
    </row>
    <row r="79" spans="1:51" s="347" customFormat="1" ht="10.5">
      <c r="A79" s="342" t="s">
        <v>84</v>
      </c>
      <c r="B79" s="342"/>
      <c r="C79" s="342"/>
      <c r="D79" s="342"/>
      <c r="E79" s="349"/>
      <c r="J79" s="437"/>
      <c r="O79" s="437"/>
      <c r="T79" s="437"/>
      <c r="Y79" s="437"/>
      <c r="AN79" s="437"/>
      <c r="AS79" s="437"/>
      <c r="AX79" s="437"/>
      <c r="AY79" s="437"/>
    </row>
    <row r="80" spans="1:51" s="347" customFormat="1" ht="10.5">
      <c r="A80" s="342" t="s">
        <v>85</v>
      </c>
      <c r="B80" s="342"/>
      <c r="C80" s="342"/>
      <c r="D80" s="342"/>
      <c r="E80" s="349"/>
      <c r="J80" s="437"/>
      <c r="O80" s="437"/>
      <c r="T80" s="437"/>
      <c r="Y80" s="437"/>
      <c r="AN80" s="437"/>
      <c r="AS80" s="437"/>
      <c r="AX80" s="437"/>
      <c r="AY80" s="437"/>
    </row>
    <row r="81" spans="1:60" s="347" customFormat="1" ht="10.5">
      <c r="A81" s="342" t="s">
        <v>86</v>
      </c>
      <c r="B81" s="342"/>
      <c r="C81" s="342"/>
      <c r="D81" s="342"/>
      <c r="E81" s="349"/>
      <c r="J81" s="437"/>
      <c r="O81" s="437"/>
      <c r="T81" s="437"/>
      <c r="Y81" s="437"/>
      <c r="AN81" s="437"/>
      <c r="AS81" s="437"/>
      <c r="AX81" s="437"/>
      <c r="AY81" s="437"/>
    </row>
    <row r="82" spans="1:60" s="347" customFormat="1" ht="10.5">
      <c r="A82" s="342" t="s">
        <v>426</v>
      </c>
      <c r="B82" s="342"/>
      <c r="C82" s="342"/>
      <c r="D82" s="342"/>
      <c r="E82" s="349"/>
      <c r="J82" s="437"/>
      <c r="O82" s="437"/>
      <c r="T82" s="437"/>
      <c r="Y82" s="437"/>
      <c r="AN82" s="437"/>
      <c r="AS82" s="437"/>
      <c r="AX82" s="437"/>
      <c r="AY82" s="437"/>
    </row>
    <row r="83" spans="1:60" s="347" customFormat="1" ht="10.5">
      <c r="A83" s="342"/>
      <c r="B83" s="342"/>
      <c r="C83" s="342"/>
      <c r="D83" s="342"/>
      <c r="E83" s="349"/>
      <c r="J83" s="437"/>
      <c r="O83" s="437"/>
      <c r="T83" s="437"/>
      <c r="Y83" s="437"/>
      <c r="AN83" s="437"/>
      <c r="AS83" s="437"/>
      <c r="AX83" s="437"/>
      <c r="AY83" s="437"/>
    </row>
    <row r="84" spans="1:60" s="347" customFormat="1" ht="10.5">
      <c r="A84" s="342" t="s">
        <v>427</v>
      </c>
      <c r="B84" s="342"/>
      <c r="C84" s="342"/>
      <c r="D84" s="342"/>
      <c r="E84" s="349"/>
      <c r="J84" s="437"/>
      <c r="O84" s="437"/>
      <c r="T84" s="437"/>
      <c r="Y84" s="437"/>
      <c r="AN84" s="437"/>
      <c r="AS84" s="437"/>
      <c r="AX84" s="437"/>
      <c r="AY84" s="437"/>
    </row>
    <row r="85" spans="1:60" s="347" customFormat="1" ht="10.5">
      <c r="A85" s="342"/>
      <c r="B85" s="342"/>
      <c r="C85" s="342"/>
      <c r="D85" s="342"/>
      <c r="E85" s="349"/>
      <c r="J85" s="437"/>
      <c r="O85" s="437"/>
      <c r="T85" s="437"/>
      <c r="Y85" s="437"/>
      <c r="AN85" s="437"/>
      <c r="AS85" s="437"/>
      <c r="AX85" s="437"/>
      <c r="AY85" s="437"/>
    </row>
    <row r="86" spans="1:60" s="347" customFormat="1" ht="10.5">
      <c r="A86" s="342" t="s">
        <v>428</v>
      </c>
      <c r="B86" s="342"/>
      <c r="C86" s="342"/>
      <c r="D86" s="342"/>
      <c r="E86" s="349"/>
      <c r="J86" s="437"/>
      <c r="O86" s="437"/>
      <c r="T86" s="437"/>
      <c r="Y86" s="437"/>
      <c r="AN86" s="437"/>
      <c r="AS86" s="437"/>
      <c r="AX86" s="437"/>
      <c r="AY86" s="437"/>
    </row>
    <row r="87" spans="1:60" s="347" customFormat="1" ht="10.5">
      <c r="E87" s="349"/>
      <c r="J87" s="437"/>
      <c r="O87" s="437"/>
      <c r="T87" s="437"/>
      <c r="Y87" s="437"/>
      <c r="AN87" s="437"/>
      <c r="AS87" s="437"/>
      <c r="AX87" s="437"/>
      <c r="AY87" s="437"/>
    </row>
    <row r="88" spans="1:60" s="347" customFormat="1" ht="10.5">
      <c r="J88" s="437"/>
      <c r="O88" s="437"/>
      <c r="T88" s="437"/>
      <c r="Y88" s="437"/>
      <c r="AN88" s="437"/>
      <c r="AS88" s="437"/>
      <c r="AX88" s="437"/>
      <c r="AY88" s="437"/>
      <c r="BA88" s="347" t="s">
        <v>535</v>
      </c>
      <c r="BB88" s="347" t="s">
        <v>536</v>
      </c>
    </row>
    <row r="89" spans="1:60" s="347" customFormat="1">
      <c r="A89" s="324"/>
      <c r="B89" s="324"/>
      <c r="C89" s="324"/>
      <c r="D89" s="324"/>
      <c r="E89" s="324"/>
      <c r="F89" s="325"/>
      <c r="G89" s="324"/>
      <c r="H89" s="324"/>
      <c r="I89" s="324"/>
      <c r="J89" s="324"/>
      <c r="K89" s="324"/>
      <c r="L89" s="324"/>
      <c r="M89" s="324"/>
      <c r="N89" s="324"/>
      <c r="O89" s="324"/>
      <c r="P89" s="324"/>
      <c r="Q89" s="324"/>
      <c r="R89" s="324"/>
      <c r="S89" s="324"/>
      <c r="T89" s="324"/>
      <c r="U89" s="324"/>
      <c r="V89" s="324"/>
      <c r="W89" s="324"/>
      <c r="X89" s="324"/>
      <c r="Y89" s="324"/>
      <c r="Z89" s="324"/>
      <c r="AA89" s="324"/>
      <c r="AB89" s="324"/>
      <c r="AC89" s="324"/>
      <c r="AD89" s="324"/>
      <c r="AE89" s="324"/>
      <c r="AF89" s="324"/>
      <c r="AG89" s="324"/>
      <c r="AH89" s="324"/>
      <c r="AI89" s="324"/>
      <c r="AJ89" s="324"/>
      <c r="AK89" s="324"/>
      <c r="AL89" s="324"/>
      <c r="AM89" s="324"/>
      <c r="AN89" s="324"/>
      <c r="AO89" s="324"/>
      <c r="AP89" s="324"/>
      <c r="AQ89" s="324"/>
      <c r="AR89" s="324"/>
      <c r="AS89" s="324"/>
      <c r="AT89" s="324"/>
      <c r="AU89" s="324"/>
      <c r="AV89" s="324"/>
      <c r="AW89" s="324"/>
      <c r="AX89" s="324"/>
      <c r="AY89" s="324"/>
      <c r="AZ89" s="324"/>
      <c r="BA89" s="324"/>
      <c r="BB89" s="324"/>
      <c r="BC89" s="324"/>
      <c r="BD89" s="324"/>
      <c r="BE89" s="324"/>
      <c r="BF89" s="324"/>
      <c r="BG89" s="324"/>
      <c r="BH89" s="324"/>
    </row>
  </sheetData>
  <mergeCells count="1">
    <mergeCell ref="AZ2:BI11"/>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B6F7-BA8A-0246-AF61-569B3B6E6DDC}">
  <sheetPr codeName="Sheet10">
    <tabColor theme="9" tint="0.79998168889431442"/>
    <outlinePr summaryBelow="0" summaryRight="0"/>
    <pageSetUpPr autoPageBreaks="0"/>
  </sheetPr>
  <dimension ref="A1:IU75"/>
  <sheetViews>
    <sheetView topLeftCell="A4" zoomScale="97" zoomScaleNormal="175" workbookViewId="0">
      <pane xSplit="1" ySplit="1" topLeftCell="AC5" activePane="bottomRight" state="frozen"/>
      <selection pane="topRight" activeCell="E19" sqref="E19"/>
      <selection pane="bottomLeft" activeCell="E19" sqref="E19"/>
      <selection pane="bottomRight" activeCell="I42" sqref="I42"/>
    </sheetView>
  </sheetViews>
  <sheetFormatPr defaultColWidth="10.8125" defaultRowHeight="10.15" outlineLevelCol="2"/>
  <cols>
    <col min="1" max="1" width="27.5" style="9" customWidth="1"/>
    <col min="2" max="2" width="7.8125" style="9" hidden="1" customWidth="1"/>
    <col min="3" max="5" width="13.8125" style="34" customWidth="1" outlineLevel="1"/>
    <col min="6" max="6" width="11.5" style="34" customWidth="1" outlineLevel="1"/>
    <col min="7" max="7" width="13.8125" style="34" customWidth="1"/>
    <col min="8" max="11" width="13.8125" style="34" customWidth="1" outlineLevel="1"/>
    <col min="12" max="12" width="13.8125" style="34" customWidth="1"/>
    <col min="13" max="16" width="13.8125" style="34" customWidth="1" outlineLevel="2"/>
    <col min="17" max="17" width="13.8125" style="34" customWidth="1"/>
    <col min="18" max="21" width="13.8125" style="34" customWidth="1" outlineLevel="2"/>
    <col min="22" max="22" width="13.8125" style="34" customWidth="1"/>
    <col min="23" max="26" width="13.8125" style="34" customWidth="1" outlineLevel="1"/>
    <col min="27" max="27" width="13.8125" style="34" customWidth="1"/>
    <col min="28" max="31" width="13.8125" style="34" customWidth="1" outlineLevel="1"/>
    <col min="32" max="32" width="13.8125" style="66" customWidth="1"/>
    <col min="33" max="37" width="8.8125" style="60" customWidth="1"/>
    <col min="38" max="255" width="8.8125" style="9" customWidth="1"/>
    <col min="256" max="16384" width="10.8125" style="9"/>
  </cols>
  <sheetData>
    <row r="1" spans="1:255">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91"/>
    </row>
    <row r="2" spans="1:255">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91"/>
    </row>
    <row r="3" spans="1:255">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91"/>
    </row>
    <row r="4" spans="1:255">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91"/>
    </row>
    <row r="5" spans="1:255" ht="16.149999999999999">
      <c r="A5" s="33" t="s">
        <v>537</v>
      </c>
      <c r="B5" s="33"/>
      <c r="C5" s="65"/>
      <c r="D5" s="65"/>
      <c r="E5" s="65"/>
      <c r="F5" s="65"/>
      <c r="G5" s="60"/>
      <c r="H5" s="65"/>
      <c r="I5" s="65"/>
      <c r="J5" s="65"/>
      <c r="K5" s="65"/>
      <c r="L5" s="60"/>
      <c r="M5" s="65"/>
      <c r="N5" s="65"/>
      <c r="O5" s="65"/>
      <c r="P5" s="65"/>
      <c r="Q5" s="60"/>
      <c r="R5" s="65"/>
      <c r="S5" s="65"/>
      <c r="T5" s="65"/>
      <c r="U5" s="65"/>
      <c r="V5" s="60"/>
      <c r="W5" s="60"/>
      <c r="X5" s="60"/>
      <c r="Y5" s="60"/>
      <c r="Z5" s="60"/>
      <c r="AA5" s="60"/>
      <c r="AB5" s="60"/>
      <c r="AC5" s="60"/>
      <c r="AD5" s="60"/>
      <c r="AE5" s="60"/>
      <c r="AF5" s="91"/>
    </row>
    <row r="6" spans="1:255">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91"/>
    </row>
    <row r="7" spans="1:255">
      <c r="A7" s="32" t="s">
        <v>21</v>
      </c>
      <c r="C7" s="30" t="s">
        <v>2</v>
      </c>
      <c r="D7" s="9" t="s">
        <v>3</v>
      </c>
      <c r="E7" s="30" t="s">
        <v>4</v>
      </c>
      <c r="F7" s="9" t="s">
        <v>5</v>
      </c>
      <c r="G7" s="62" t="s">
        <v>2</v>
      </c>
      <c r="H7" s="64"/>
      <c r="I7" s="64"/>
      <c r="J7" s="64"/>
      <c r="K7" s="64"/>
      <c r="L7" s="60" t="s">
        <v>3</v>
      </c>
      <c r="M7" s="64"/>
      <c r="N7" s="64"/>
      <c r="O7" s="64"/>
      <c r="P7" s="64"/>
      <c r="Q7" s="45" t="s">
        <v>22</v>
      </c>
      <c r="R7" s="64"/>
      <c r="S7" s="64"/>
      <c r="T7" s="64"/>
      <c r="U7" s="64"/>
      <c r="V7" s="62" t="s">
        <v>4</v>
      </c>
      <c r="W7" s="62"/>
      <c r="X7" s="62"/>
      <c r="Y7" s="62"/>
      <c r="Z7" s="62"/>
      <c r="AA7" s="60" t="s">
        <v>5</v>
      </c>
      <c r="AB7" s="62"/>
      <c r="AC7" s="62"/>
      <c r="AD7" s="62"/>
      <c r="AE7" s="62"/>
      <c r="AF7" s="91"/>
    </row>
    <row r="8" spans="1:255">
      <c r="A8" s="12"/>
      <c r="C8" s="30" t="s">
        <v>6</v>
      </c>
      <c r="D8" s="9" t="s">
        <v>7</v>
      </c>
      <c r="E8" s="30" t="s">
        <v>8</v>
      </c>
      <c r="F8" s="9" t="s">
        <v>9</v>
      </c>
      <c r="G8" s="62" t="s">
        <v>6</v>
      </c>
      <c r="H8" s="45"/>
      <c r="I8" s="45"/>
      <c r="J8" s="45"/>
      <c r="K8" s="45"/>
      <c r="L8" s="60" t="s">
        <v>7</v>
      </c>
      <c r="M8" s="45"/>
      <c r="N8" s="45"/>
      <c r="O8" s="45"/>
      <c r="P8" s="45"/>
      <c r="Q8" s="45" t="s">
        <v>22</v>
      </c>
      <c r="R8" s="45"/>
      <c r="S8" s="45"/>
      <c r="T8" s="45"/>
      <c r="U8" s="45"/>
      <c r="V8" s="62" t="s">
        <v>8</v>
      </c>
      <c r="W8" s="62"/>
      <c r="X8" s="62"/>
      <c r="Y8" s="62"/>
      <c r="Z8" s="62"/>
      <c r="AA8" s="60" t="s">
        <v>9</v>
      </c>
      <c r="AB8" s="62"/>
      <c r="AC8" s="62"/>
      <c r="AD8" s="62"/>
      <c r="AE8" s="62"/>
      <c r="AF8" s="91"/>
    </row>
    <row r="9" spans="1:255">
      <c r="A9" s="12"/>
      <c r="C9" s="30" t="s">
        <v>10</v>
      </c>
      <c r="D9" s="9" t="s">
        <v>11</v>
      </c>
      <c r="E9" s="30" t="s">
        <v>12</v>
      </c>
      <c r="F9" s="9" t="s">
        <v>13</v>
      </c>
      <c r="G9" s="62" t="s">
        <v>10</v>
      </c>
      <c r="H9" s="45"/>
      <c r="I9" s="45"/>
      <c r="J9" s="45"/>
      <c r="K9" s="45"/>
      <c r="L9" s="60" t="s">
        <v>11</v>
      </c>
      <c r="M9" s="45"/>
      <c r="N9" s="45"/>
      <c r="O9" s="45"/>
      <c r="P9" s="45"/>
      <c r="Q9" s="45" t="s">
        <v>22</v>
      </c>
      <c r="R9" s="45"/>
      <c r="S9" s="45"/>
      <c r="T9" s="45"/>
      <c r="U9" s="45"/>
      <c r="V9" s="62" t="s">
        <v>12</v>
      </c>
      <c r="W9" s="62"/>
      <c r="X9" s="62"/>
      <c r="Y9" s="62"/>
      <c r="Z9" s="62"/>
      <c r="AA9" s="60" t="s">
        <v>13</v>
      </c>
      <c r="AB9" s="62"/>
      <c r="AC9" s="62"/>
      <c r="AD9" s="62"/>
      <c r="AE9" s="62"/>
      <c r="AF9" s="91"/>
    </row>
    <row r="10" spans="1:255">
      <c r="A10" s="12"/>
      <c r="C10" s="30" t="s">
        <v>14</v>
      </c>
      <c r="D10" s="9" t="s">
        <v>15</v>
      </c>
      <c r="E10" s="30" t="s">
        <v>16</v>
      </c>
      <c r="F10" s="31" t="s">
        <v>17</v>
      </c>
      <c r="G10" s="62" t="s">
        <v>14</v>
      </c>
      <c r="H10" s="45"/>
      <c r="I10" s="45"/>
      <c r="J10" s="45"/>
      <c r="K10" s="45"/>
      <c r="L10" s="60" t="s">
        <v>15</v>
      </c>
      <c r="M10" s="45"/>
      <c r="N10" s="45"/>
      <c r="O10" s="45"/>
      <c r="P10" s="45"/>
      <c r="Q10" s="45" t="s">
        <v>22</v>
      </c>
      <c r="R10" s="45"/>
      <c r="S10" s="45"/>
      <c r="T10" s="45"/>
      <c r="U10" s="45"/>
      <c r="V10" s="62" t="s">
        <v>16</v>
      </c>
      <c r="W10" s="62"/>
      <c r="X10" s="62"/>
      <c r="Y10" s="62"/>
      <c r="Z10" s="62"/>
      <c r="AA10" s="63" t="s">
        <v>17</v>
      </c>
      <c r="AB10" s="62"/>
      <c r="AC10" s="62"/>
      <c r="AD10" s="62"/>
      <c r="AE10" s="62"/>
      <c r="AF10" s="91"/>
    </row>
    <row r="11" spans="1:255">
      <c r="A11" s="12"/>
      <c r="C11" s="30" t="s">
        <v>18</v>
      </c>
      <c r="D11" s="9" t="s">
        <v>19</v>
      </c>
      <c r="E11" s="92"/>
      <c r="F11" s="92"/>
      <c r="G11" s="62" t="s">
        <v>18</v>
      </c>
      <c r="H11" s="45"/>
      <c r="I11" s="45"/>
      <c r="J11" s="45"/>
      <c r="K11" s="45"/>
      <c r="L11" s="60" t="s">
        <v>19</v>
      </c>
      <c r="M11" s="45"/>
      <c r="N11" s="45"/>
      <c r="O11" s="45"/>
      <c r="P11" s="45"/>
      <c r="Q11" s="45" t="s">
        <v>22</v>
      </c>
      <c r="R11" s="45"/>
      <c r="S11" s="45"/>
      <c r="T11" s="45"/>
      <c r="U11" s="45"/>
      <c r="V11" s="61"/>
      <c r="W11" s="61"/>
      <c r="X11" s="61"/>
      <c r="Y11" s="61"/>
      <c r="Z11" s="61"/>
      <c r="AA11" s="61"/>
      <c r="AB11" s="61"/>
      <c r="AC11" s="61"/>
      <c r="AD11" s="61"/>
      <c r="AE11" s="61"/>
      <c r="AF11" s="91"/>
    </row>
    <row r="12" spans="1:255">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91"/>
    </row>
    <row r="13" spans="1:255">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91"/>
    </row>
    <row r="14" spans="1:255" s="56" customFormat="1" ht="14.25">
      <c r="A14" s="59" t="s">
        <v>292</v>
      </c>
      <c r="B14" s="59"/>
      <c r="C14" s="58"/>
      <c r="D14" s="58"/>
      <c r="E14" s="58"/>
      <c r="F14" s="58"/>
      <c r="G14" s="90">
        <v>2019</v>
      </c>
      <c r="H14" s="58"/>
      <c r="I14" s="58"/>
      <c r="J14" s="58"/>
      <c r="K14" s="58"/>
      <c r="L14" s="90">
        <v>2020</v>
      </c>
      <c r="M14" s="58"/>
      <c r="N14" s="58"/>
      <c r="O14" s="58"/>
      <c r="P14" s="58"/>
      <c r="Q14" s="58">
        <v>2021</v>
      </c>
      <c r="R14" s="58"/>
      <c r="S14" s="58"/>
      <c r="T14" s="58"/>
      <c r="U14" s="58"/>
      <c r="V14" s="58">
        <v>2022</v>
      </c>
      <c r="W14" s="58"/>
      <c r="X14" s="58"/>
      <c r="Y14" s="58"/>
      <c r="Z14" s="58"/>
      <c r="AA14" s="58">
        <v>2023</v>
      </c>
      <c r="AB14" s="58"/>
      <c r="AC14" s="58"/>
      <c r="AD14" s="58"/>
      <c r="AE14" s="58"/>
      <c r="AF14" s="89">
        <v>2024</v>
      </c>
      <c r="AG14" s="88"/>
      <c r="AH14" s="88"/>
      <c r="AI14" s="88"/>
      <c r="AJ14" s="88"/>
      <c r="AK14" s="88"/>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row>
    <row r="15" spans="1:255" s="55" customFormat="1" ht="26.25">
      <c r="A15" s="109" t="s">
        <v>34</v>
      </c>
      <c r="B15" s="109"/>
      <c r="C15" s="110" t="s">
        <v>169</v>
      </c>
      <c r="D15" s="110" t="s">
        <v>170</v>
      </c>
      <c r="E15" s="110" t="s">
        <v>171</v>
      </c>
      <c r="F15" s="110" t="s">
        <v>172</v>
      </c>
      <c r="G15" s="110" t="s">
        <v>26</v>
      </c>
      <c r="H15" s="110" t="s">
        <v>173</v>
      </c>
      <c r="I15" s="110" t="s">
        <v>174</v>
      </c>
      <c r="J15" s="110" t="s">
        <v>175</v>
      </c>
      <c r="K15" s="110" t="s">
        <v>176</v>
      </c>
      <c r="L15" s="110" t="s">
        <v>27</v>
      </c>
      <c r="M15" s="110" t="s">
        <v>177</v>
      </c>
      <c r="N15" s="110" t="s">
        <v>178</v>
      </c>
      <c r="O15" s="110" t="s">
        <v>179</v>
      </c>
      <c r="P15" s="110" t="s">
        <v>180</v>
      </c>
      <c r="Q15" s="110" t="s">
        <v>28</v>
      </c>
      <c r="R15" s="110" t="s">
        <v>181</v>
      </c>
      <c r="S15" s="110" t="s">
        <v>182</v>
      </c>
      <c r="T15" s="110" t="s">
        <v>183</v>
      </c>
      <c r="U15" s="110" t="s">
        <v>184</v>
      </c>
      <c r="V15" s="110" t="s">
        <v>29</v>
      </c>
      <c r="W15" s="110" t="s">
        <v>185</v>
      </c>
      <c r="X15" s="110" t="s">
        <v>186</v>
      </c>
      <c r="Y15" s="110" t="s">
        <v>187</v>
      </c>
      <c r="Z15" s="110" t="s">
        <v>209</v>
      </c>
      <c r="AA15" s="110" t="s">
        <v>30</v>
      </c>
      <c r="AB15" s="110" t="s">
        <v>189</v>
      </c>
      <c r="AC15" s="110" t="s">
        <v>190</v>
      </c>
      <c r="AD15" s="110" t="s">
        <v>191</v>
      </c>
      <c r="AE15" s="110" t="s">
        <v>192</v>
      </c>
      <c r="AF15" s="117" t="s">
        <v>31</v>
      </c>
      <c r="AG15" s="87"/>
      <c r="AH15" s="87"/>
      <c r="AI15" s="87"/>
      <c r="AJ15" s="87"/>
      <c r="AK15" s="87"/>
    </row>
    <row r="16" spans="1:255">
      <c r="A16" s="112" t="s">
        <v>193</v>
      </c>
      <c r="B16" s="112"/>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8"/>
    </row>
    <row r="17" spans="1:37">
      <c r="A17" s="15" t="s">
        <v>293</v>
      </c>
      <c r="B17" s="15"/>
      <c r="C17" s="54"/>
      <c r="D17" s="54"/>
      <c r="E17" s="54"/>
      <c r="F17" s="54"/>
      <c r="G17" s="45"/>
      <c r="H17" s="54"/>
      <c r="I17" s="54"/>
      <c r="J17" s="54"/>
      <c r="K17" s="54"/>
      <c r="L17" s="45"/>
      <c r="M17" s="54"/>
      <c r="N17" s="54"/>
      <c r="O17" s="54"/>
      <c r="P17" s="54"/>
      <c r="Q17" s="45"/>
      <c r="R17" s="54"/>
      <c r="S17" s="54"/>
      <c r="T17" s="54"/>
      <c r="U17" s="54"/>
      <c r="V17" s="45"/>
      <c r="W17" s="45"/>
      <c r="X17" s="45"/>
      <c r="Y17" s="45"/>
      <c r="Z17" s="45"/>
      <c r="AA17" s="45"/>
      <c r="AB17" s="45"/>
      <c r="AC17" s="45"/>
      <c r="AD17" s="45"/>
      <c r="AE17" s="45"/>
      <c r="AF17" s="86"/>
    </row>
    <row r="18" spans="1:37">
      <c r="A18" s="12" t="s">
        <v>294</v>
      </c>
      <c r="B18" s="12"/>
      <c r="C18" s="52">
        <v>1531</v>
      </c>
      <c r="D18" s="52">
        <v>1068</v>
      </c>
      <c r="E18" s="52">
        <v>736</v>
      </c>
      <c r="F18" s="52">
        <v>1162</v>
      </c>
      <c r="G18" s="51">
        <f>F18</f>
        <v>1162</v>
      </c>
      <c r="H18" s="52">
        <v>737</v>
      </c>
      <c r="I18" s="52">
        <v>674</v>
      </c>
      <c r="J18" s="52">
        <v>301</v>
      </c>
      <c r="K18" s="52">
        <v>685</v>
      </c>
      <c r="L18" s="51">
        <f>K18</f>
        <v>685</v>
      </c>
      <c r="M18" s="52">
        <v>1523</v>
      </c>
      <c r="N18" s="52">
        <v>1395</v>
      </c>
      <c r="O18" s="52">
        <v>1551</v>
      </c>
      <c r="P18" s="52">
        <v>1679</v>
      </c>
      <c r="Q18" s="51">
        <f>P18</f>
        <v>1679</v>
      </c>
      <c r="R18" s="52">
        <v>1798</v>
      </c>
      <c r="S18" s="52">
        <v>2137</v>
      </c>
      <c r="T18" s="52">
        <v>316</v>
      </c>
      <c r="U18" s="52">
        <v>1712</v>
      </c>
      <c r="V18" s="51">
        <f>U18</f>
        <v>1712</v>
      </c>
      <c r="W18" s="51">
        <v>672</v>
      </c>
      <c r="X18" s="51">
        <v>300</v>
      </c>
      <c r="Y18" s="51">
        <v>326</v>
      </c>
      <c r="Z18" s="51">
        <v>862</v>
      </c>
      <c r="AA18" s="51">
        <f>Z18</f>
        <v>862</v>
      </c>
      <c r="AB18" s="51">
        <v>603</v>
      </c>
      <c r="AC18" s="51">
        <v>438</v>
      </c>
      <c r="AD18" s="51">
        <v>364</v>
      </c>
      <c r="AE18" s="51">
        <v>1034</v>
      </c>
      <c r="AF18" s="78">
        <f>AE18</f>
        <v>1034</v>
      </c>
    </row>
    <row r="19" spans="1:37">
      <c r="A19" s="15" t="s">
        <v>295</v>
      </c>
      <c r="B19" s="12"/>
      <c r="C19" s="646">
        <v>1531</v>
      </c>
      <c r="D19" s="646">
        <v>1068</v>
      </c>
      <c r="E19" s="646">
        <v>736</v>
      </c>
      <c r="F19" s="646">
        <v>1162</v>
      </c>
      <c r="G19" s="644">
        <f>F19</f>
        <v>1162</v>
      </c>
      <c r="H19" s="646">
        <v>737</v>
      </c>
      <c r="I19" s="646">
        <v>674</v>
      </c>
      <c r="J19" s="646">
        <v>301</v>
      </c>
      <c r="K19" s="646">
        <v>685</v>
      </c>
      <c r="L19" s="644">
        <f>K19</f>
        <v>685</v>
      </c>
      <c r="M19" s="646">
        <v>1523</v>
      </c>
      <c r="N19" s="646">
        <v>1395</v>
      </c>
      <c r="O19" s="646">
        <v>1551</v>
      </c>
      <c r="P19" s="646">
        <v>1679</v>
      </c>
      <c r="Q19" s="644">
        <f>P19</f>
        <v>1679</v>
      </c>
      <c r="R19" s="646">
        <v>1798</v>
      </c>
      <c r="S19" s="646">
        <v>2137</v>
      </c>
      <c r="T19" s="646">
        <v>316</v>
      </c>
      <c r="U19" s="646">
        <v>1712</v>
      </c>
      <c r="V19" s="644">
        <f>U19</f>
        <v>1712</v>
      </c>
      <c r="W19" s="644">
        <v>672</v>
      </c>
      <c r="X19" s="644">
        <v>300</v>
      </c>
      <c r="Y19" s="644">
        <v>326</v>
      </c>
      <c r="Z19" s="644">
        <v>862</v>
      </c>
      <c r="AA19" s="644">
        <f>Z19</f>
        <v>862</v>
      </c>
      <c r="AB19" s="686">
        <f>AB18</f>
        <v>603</v>
      </c>
      <c r="AC19" s="686">
        <f>AC18</f>
        <v>438</v>
      </c>
      <c r="AD19" s="686">
        <f>AD18</f>
        <v>364</v>
      </c>
      <c r="AE19" s="686">
        <f>AE18</f>
        <v>1034</v>
      </c>
      <c r="AF19" s="645">
        <f>AE19</f>
        <v>1034</v>
      </c>
    </row>
    <row r="20" spans="1:37">
      <c r="A20" s="12"/>
      <c r="B20" s="15"/>
      <c r="C20" s="50"/>
      <c r="D20" s="50"/>
      <c r="E20" s="50"/>
      <c r="F20" s="50"/>
      <c r="G20" s="52"/>
      <c r="H20" s="50"/>
      <c r="I20" s="50"/>
      <c r="J20" s="50"/>
      <c r="K20" s="50"/>
      <c r="L20" s="52"/>
      <c r="M20" s="50"/>
      <c r="N20" s="50"/>
      <c r="O20" s="50"/>
      <c r="P20" s="50"/>
      <c r="Q20" s="52"/>
      <c r="R20" s="50"/>
      <c r="S20" s="50"/>
      <c r="T20" s="50"/>
      <c r="U20" s="50"/>
      <c r="V20" s="52"/>
      <c r="W20" s="53"/>
      <c r="X20" s="53"/>
      <c r="Y20" s="53"/>
      <c r="Z20" s="53"/>
      <c r="AA20" s="52"/>
      <c r="AB20" s="53"/>
      <c r="AC20" s="53"/>
      <c r="AD20" s="53"/>
      <c r="AE20" s="53"/>
      <c r="AF20" s="82"/>
    </row>
    <row r="21" spans="1:37">
      <c r="A21" s="12" t="s">
        <v>296</v>
      </c>
      <c r="B21" s="12"/>
      <c r="C21" s="52">
        <v>250</v>
      </c>
      <c r="D21" s="52">
        <v>261</v>
      </c>
      <c r="E21" s="52">
        <v>180</v>
      </c>
      <c r="F21" s="52">
        <v>400</v>
      </c>
      <c r="G21" s="51">
        <v>400</v>
      </c>
      <c r="H21" s="52">
        <v>237</v>
      </c>
      <c r="I21" s="52">
        <v>240</v>
      </c>
      <c r="J21" s="52">
        <v>175</v>
      </c>
      <c r="K21" s="52">
        <v>409</v>
      </c>
      <c r="L21" s="51">
        <v>409</v>
      </c>
      <c r="M21" s="52">
        <v>170</v>
      </c>
      <c r="N21" s="52">
        <v>184</v>
      </c>
      <c r="O21" s="52">
        <v>185</v>
      </c>
      <c r="P21" s="52">
        <v>276</v>
      </c>
      <c r="Q21" s="51">
        <v>276</v>
      </c>
      <c r="R21" s="52">
        <v>205</v>
      </c>
      <c r="S21" s="52">
        <v>221</v>
      </c>
      <c r="T21" s="52">
        <v>212</v>
      </c>
      <c r="U21" s="52">
        <v>297</v>
      </c>
      <c r="V21" s="51">
        <v>297</v>
      </c>
      <c r="W21" s="52">
        <v>233</v>
      </c>
      <c r="X21" s="52">
        <v>219</v>
      </c>
      <c r="Y21" s="52">
        <v>204</v>
      </c>
      <c r="Z21" s="52">
        <v>300</v>
      </c>
      <c r="AA21" s="51">
        <v>300</v>
      </c>
      <c r="AB21" s="52">
        <v>255</v>
      </c>
      <c r="AC21" s="52">
        <v>223</v>
      </c>
      <c r="AD21" s="52">
        <v>218</v>
      </c>
      <c r="AE21" s="52">
        <v>293</v>
      </c>
      <c r="AF21" s="78">
        <v>293</v>
      </c>
    </row>
    <row r="22" spans="1:37">
      <c r="A22" s="12" t="s">
        <v>297</v>
      </c>
      <c r="B22" s="12"/>
      <c r="C22" s="52">
        <v>0</v>
      </c>
      <c r="D22" s="52">
        <v>0</v>
      </c>
      <c r="E22" s="52">
        <v>10</v>
      </c>
      <c r="F22" s="52" t="s">
        <v>47</v>
      </c>
      <c r="G22" s="51" t="s">
        <v>47</v>
      </c>
      <c r="H22" s="52">
        <v>0</v>
      </c>
      <c r="I22" s="52">
        <v>0</v>
      </c>
      <c r="J22" s="52">
        <v>1</v>
      </c>
      <c r="K22" s="52" t="s">
        <v>47</v>
      </c>
      <c r="L22" s="51" t="s">
        <v>47</v>
      </c>
      <c r="M22" s="52">
        <v>0</v>
      </c>
      <c r="N22" s="52">
        <v>0</v>
      </c>
      <c r="O22" s="52">
        <v>0</v>
      </c>
      <c r="P22" s="52">
        <v>0</v>
      </c>
      <c r="Q22" s="51" t="s">
        <v>47</v>
      </c>
      <c r="R22" s="52">
        <v>520</v>
      </c>
      <c r="S22" s="52">
        <v>520</v>
      </c>
      <c r="T22" s="52">
        <v>590</v>
      </c>
      <c r="U22" s="52">
        <v>0</v>
      </c>
      <c r="V22" s="51" t="s">
        <v>47</v>
      </c>
      <c r="W22" s="51" t="s">
        <v>47</v>
      </c>
      <c r="X22" s="51" t="s">
        <v>47</v>
      </c>
      <c r="Y22" s="51" t="s">
        <v>47</v>
      </c>
      <c r="Z22" s="51" t="s">
        <v>47</v>
      </c>
      <c r="AA22" s="51" t="s">
        <v>47</v>
      </c>
      <c r="AB22" s="51" t="s">
        <v>47</v>
      </c>
      <c r="AC22" s="51">
        <v>70</v>
      </c>
      <c r="AD22" s="51">
        <v>73</v>
      </c>
      <c r="AE22" s="51" t="s">
        <v>47</v>
      </c>
      <c r="AF22" s="78" t="s">
        <v>47</v>
      </c>
    </row>
    <row r="23" spans="1:37">
      <c r="A23" s="15" t="s">
        <v>298</v>
      </c>
      <c r="B23" s="15"/>
      <c r="C23" s="50">
        <f>SUM(C21:C22)</f>
        <v>250</v>
      </c>
      <c r="D23" s="50">
        <f>SUM(D21:D22)</f>
        <v>261</v>
      </c>
      <c r="E23" s="50">
        <f>SUM(E21:E22)</f>
        <v>190</v>
      </c>
      <c r="F23" s="50">
        <f>SUM(F21:F22)</f>
        <v>400</v>
      </c>
      <c r="G23" s="672">
        <v>400</v>
      </c>
      <c r="H23" s="50">
        <f>SUM(H21:H22)</f>
        <v>237</v>
      </c>
      <c r="I23" s="50">
        <f>SUM(I21:I22)</f>
        <v>240</v>
      </c>
      <c r="J23" s="50">
        <f>SUM(J21:J22)</f>
        <v>176</v>
      </c>
      <c r="K23" s="50">
        <f>SUM(K21:K22)</f>
        <v>409</v>
      </c>
      <c r="L23" s="672">
        <v>409</v>
      </c>
      <c r="M23" s="50">
        <f>SUM(M21:M22)</f>
        <v>170</v>
      </c>
      <c r="N23" s="50">
        <f>SUM(N21:N22)</f>
        <v>184</v>
      </c>
      <c r="O23" s="50">
        <f>SUM(O21:O22)</f>
        <v>185</v>
      </c>
      <c r="P23" s="50">
        <f>SUM(P21:P22)</f>
        <v>276</v>
      </c>
      <c r="Q23" s="672">
        <v>276</v>
      </c>
      <c r="R23" s="50">
        <f>SUM(R21:R22)</f>
        <v>725</v>
      </c>
      <c r="S23" s="50">
        <f>SUM(S21:S22)</f>
        <v>741</v>
      </c>
      <c r="T23" s="50">
        <f>SUM(T21:T22)</f>
        <v>802</v>
      </c>
      <c r="U23" s="50">
        <f>SUM(U21:U22)</f>
        <v>297</v>
      </c>
      <c r="V23" s="672">
        <v>297</v>
      </c>
      <c r="W23" s="672">
        <f>SUM(W21:W22)</f>
        <v>233</v>
      </c>
      <c r="X23" s="672">
        <f>SUM(X21:X22)</f>
        <v>219</v>
      </c>
      <c r="Y23" s="672">
        <f>SUM(Y21:Y22)</f>
        <v>204</v>
      </c>
      <c r="Z23" s="672">
        <f>SUM(Z21:Z22)</f>
        <v>300</v>
      </c>
      <c r="AA23" s="672">
        <v>300</v>
      </c>
      <c r="AB23" s="672">
        <f>SUM(AB21:AB22)</f>
        <v>255</v>
      </c>
      <c r="AC23" s="672">
        <f>SUM(AC21:AC22)</f>
        <v>293</v>
      </c>
      <c r="AD23" s="672">
        <f>SUM(AD21:AD22)</f>
        <v>291</v>
      </c>
      <c r="AE23" s="672">
        <f>SUM(AE21:AE22)</f>
        <v>293</v>
      </c>
      <c r="AF23" s="687">
        <v>293</v>
      </c>
    </row>
    <row r="24" spans="1:37">
      <c r="A24" s="12"/>
      <c r="B24" s="1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82"/>
    </row>
    <row r="25" spans="1:37">
      <c r="A25" s="12" t="s">
        <v>215</v>
      </c>
      <c r="B25" s="12"/>
      <c r="C25" s="52">
        <v>5291</v>
      </c>
      <c r="D25" s="52">
        <v>4956</v>
      </c>
      <c r="E25" s="52">
        <v>7147</v>
      </c>
      <c r="F25" s="52">
        <v>5263</v>
      </c>
      <c r="G25" s="51">
        <v>5263</v>
      </c>
      <c r="H25" s="52">
        <v>5498</v>
      </c>
      <c r="I25" s="52">
        <v>5029</v>
      </c>
      <c r="J25" s="52">
        <v>7256</v>
      </c>
      <c r="K25" s="52">
        <v>5188</v>
      </c>
      <c r="L25" s="51">
        <v>5188</v>
      </c>
      <c r="M25" s="52">
        <v>4923</v>
      </c>
      <c r="N25" s="52">
        <v>3582</v>
      </c>
      <c r="O25" s="52">
        <v>5144</v>
      </c>
      <c r="P25" s="52">
        <v>3774</v>
      </c>
      <c r="Q25" s="51">
        <v>3774</v>
      </c>
      <c r="R25" s="52">
        <v>4230</v>
      </c>
      <c r="S25" s="52">
        <v>4298</v>
      </c>
      <c r="T25" s="52">
        <v>6141</v>
      </c>
      <c r="U25" s="52">
        <v>4383</v>
      </c>
      <c r="V25" s="51">
        <v>4383</v>
      </c>
      <c r="W25" s="51">
        <v>4956</v>
      </c>
      <c r="X25" s="51">
        <v>4610</v>
      </c>
      <c r="Y25" s="51">
        <v>6403</v>
      </c>
      <c r="Z25" s="51">
        <v>4267</v>
      </c>
      <c r="AA25" s="51">
        <v>4267</v>
      </c>
      <c r="AB25" s="51">
        <v>4607</v>
      </c>
      <c r="AC25" s="51">
        <v>4129</v>
      </c>
      <c r="AD25" s="51">
        <v>6025</v>
      </c>
      <c r="AE25" s="51">
        <v>4361</v>
      </c>
      <c r="AF25" s="78">
        <v>4361</v>
      </c>
    </row>
    <row r="26" spans="1:37">
      <c r="A26" s="12" t="s">
        <v>299</v>
      </c>
      <c r="B26" s="12"/>
      <c r="C26" s="52">
        <v>434</v>
      </c>
      <c r="D26" s="52">
        <v>415</v>
      </c>
      <c r="E26" s="52">
        <v>414</v>
      </c>
      <c r="F26" s="52">
        <v>368</v>
      </c>
      <c r="G26" s="51">
        <v>368</v>
      </c>
      <c r="H26" s="52">
        <v>433</v>
      </c>
      <c r="I26" s="52">
        <v>449</v>
      </c>
      <c r="J26" s="52">
        <v>404</v>
      </c>
      <c r="K26" s="52">
        <v>310</v>
      </c>
      <c r="L26" s="51">
        <v>310</v>
      </c>
      <c r="M26" s="52">
        <v>389</v>
      </c>
      <c r="N26" s="52">
        <v>356</v>
      </c>
      <c r="O26" s="52">
        <v>361</v>
      </c>
      <c r="P26" s="52">
        <v>316</v>
      </c>
      <c r="Q26" s="51">
        <v>316</v>
      </c>
      <c r="R26" s="52">
        <v>351</v>
      </c>
      <c r="S26" s="52">
        <v>320</v>
      </c>
      <c r="T26" s="52">
        <v>190</v>
      </c>
      <c r="U26" s="52">
        <v>207</v>
      </c>
      <c r="V26" s="51">
        <v>207</v>
      </c>
      <c r="W26" s="51">
        <v>228</v>
      </c>
      <c r="X26" s="51">
        <v>275</v>
      </c>
      <c r="Y26" s="51">
        <v>273</v>
      </c>
      <c r="Z26" s="51">
        <v>237</v>
      </c>
      <c r="AA26" s="51">
        <v>237</v>
      </c>
      <c r="AB26" s="51">
        <v>263</v>
      </c>
      <c r="AC26" s="51">
        <v>317</v>
      </c>
      <c r="AD26" s="51">
        <v>276</v>
      </c>
      <c r="AE26" s="51">
        <v>276</v>
      </c>
      <c r="AF26" s="78">
        <v>276</v>
      </c>
    </row>
    <row r="27" spans="1:37">
      <c r="A27" s="12" t="s">
        <v>300</v>
      </c>
      <c r="B27" s="12"/>
      <c r="C27" s="52" t="s">
        <v>47</v>
      </c>
      <c r="D27" s="52" t="s">
        <v>47</v>
      </c>
      <c r="E27" s="52" t="s">
        <v>47</v>
      </c>
      <c r="F27" s="52">
        <v>37</v>
      </c>
      <c r="G27" s="51">
        <v>37</v>
      </c>
      <c r="H27" s="52" t="s">
        <v>47</v>
      </c>
      <c r="I27" s="52" t="s">
        <v>47</v>
      </c>
      <c r="J27" s="52" t="s">
        <v>47</v>
      </c>
      <c r="K27" s="52">
        <v>37</v>
      </c>
      <c r="L27" s="51">
        <v>37</v>
      </c>
      <c r="M27" s="52" t="s">
        <v>47</v>
      </c>
      <c r="N27" s="52" t="s">
        <v>47</v>
      </c>
      <c r="O27" s="52" t="s">
        <v>47</v>
      </c>
      <c r="P27" s="52" t="s">
        <v>47</v>
      </c>
      <c r="Q27" s="51" t="s">
        <v>47</v>
      </c>
      <c r="R27" s="52" t="s">
        <v>47</v>
      </c>
      <c r="S27" s="52" t="s">
        <v>47</v>
      </c>
      <c r="T27" s="52" t="s">
        <v>47</v>
      </c>
      <c r="U27" s="52" t="s">
        <v>47</v>
      </c>
      <c r="V27" s="51" t="s">
        <v>47</v>
      </c>
      <c r="W27" s="51" t="s">
        <v>47</v>
      </c>
      <c r="X27" s="51" t="s">
        <v>47</v>
      </c>
      <c r="Y27" s="51" t="s">
        <v>47</v>
      </c>
      <c r="Z27" s="51" t="s">
        <v>47</v>
      </c>
      <c r="AA27" s="51" t="s">
        <v>47</v>
      </c>
      <c r="AB27" s="51" t="s">
        <v>47</v>
      </c>
      <c r="AC27" s="51" t="s">
        <v>47</v>
      </c>
      <c r="AD27" s="51" t="s">
        <v>47</v>
      </c>
      <c r="AE27" s="51" t="s">
        <v>47</v>
      </c>
      <c r="AF27" s="78" t="s">
        <v>47</v>
      </c>
    </row>
    <row r="28" spans="1:37">
      <c r="A28" s="12" t="s">
        <v>301</v>
      </c>
      <c r="B28" s="12"/>
      <c r="C28" s="52">
        <v>204</v>
      </c>
      <c r="D28" s="52">
        <v>165</v>
      </c>
      <c r="E28" s="52">
        <v>180</v>
      </c>
      <c r="F28" s="52">
        <v>215</v>
      </c>
      <c r="G28" s="51">
        <v>215</v>
      </c>
      <c r="H28" s="52">
        <v>200</v>
      </c>
      <c r="I28" s="52">
        <v>154</v>
      </c>
      <c r="J28" s="52">
        <v>164</v>
      </c>
      <c r="K28" s="52">
        <v>181</v>
      </c>
      <c r="L28" s="51">
        <v>181</v>
      </c>
      <c r="M28" s="52">
        <v>130</v>
      </c>
      <c r="N28" s="52">
        <v>114</v>
      </c>
      <c r="O28" s="52">
        <v>116</v>
      </c>
      <c r="P28" s="52">
        <v>139</v>
      </c>
      <c r="Q28" s="51">
        <v>139</v>
      </c>
      <c r="R28" s="52">
        <v>136</v>
      </c>
      <c r="S28" s="52">
        <v>115</v>
      </c>
      <c r="T28" s="52">
        <v>142</v>
      </c>
      <c r="U28" s="52">
        <v>159</v>
      </c>
      <c r="V28" s="51">
        <v>159</v>
      </c>
      <c r="W28" s="51">
        <v>144</v>
      </c>
      <c r="X28" s="51">
        <v>112</v>
      </c>
      <c r="Y28" s="51">
        <v>142</v>
      </c>
      <c r="Z28" s="51">
        <v>187</v>
      </c>
      <c r="AA28" s="51">
        <v>187</v>
      </c>
      <c r="AB28" s="51">
        <v>127</v>
      </c>
      <c r="AC28" s="51">
        <v>94</v>
      </c>
      <c r="AD28" s="51">
        <v>114</v>
      </c>
      <c r="AE28" s="51">
        <v>125</v>
      </c>
      <c r="AF28" s="78">
        <v>125</v>
      </c>
    </row>
    <row r="29" spans="1:37" s="85" customFormat="1">
      <c r="A29" s="688" t="s">
        <v>302</v>
      </c>
      <c r="B29" s="689"/>
      <c r="C29" s="646">
        <f>SUM(C25:C28)+C23+C19</f>
        <v>7710</v>
      </c>
      <c r="D29" s="646">
        <f>SUM(D25:D28)+D23+D19</f>
        <v>6865</v>
      </c>
      <c r="E29" s="646">
        <f>SUM(E25:E28)+E23+E19</f>
        <v>8667</v>
      </c>
      <c r="F29" s="646">
        <f>SUM(F25:F28)+F23+F19</f>
        <v>7445</v>
      </c>
      <c r="G29" s="644">
        <v>7445</v>
      </c>
      <c r="H29" s="646">
        <f>SUM(H25:H28)+H23+H19</f>
        <v>7105</v>
      </c>
      <c r="I29" s="646">
        <f>SUM(I25:I28)+I23+I19</f>
        <v>6546</v>
      </c>
      <c r="J29" s="646">
        <f>SUM(J25:J28)+J23+J19</f>
        <v>8301</v>
      </c>
      <c r="K29" s="646">
        <f>SUM(K25:K28)+K23+K19</f>
        <v>6810</v>
      </c>
      <c r="L29" s="646">
        <v>6810</v>
      </c>
      <c r="M29" s="646">
        <f t="shared" ref="M29:AF29" si="0">SUM(M25:M28)+M23+M19</f>
        <v>7135</v>
      </c>
      <c r="N29" s="646">
        <f t="shared" si="0"/>
        <v>5631</v>
      </c>
      <c r="O29" s="646">
        <f t="shared" si="0"/>
        <v>7357</v>
      </c>
      <c r="P29" s="646">
        <f t="shared" si="0"/>
        <v>6184</v>
      </c>
      <c r="Q29" s="644">
        <f t="shared" si="0"/>
        <v>6184</v>
      </c>
      <c r="R29" s="646">
        <f t="shared" si="0"/>
        <v>7240</v>
      </c>
      <c r="S29" s="646">
        <f t="shared" si="0"/>
        <v>7611</v>
      </c>
      <c r="T29" s="646">
        <f t="shared" si="0"/>
        <v>7591</v>
      </c>
      <c r="U29" s="646">
        <f t="shared" si="0"/>
        <v>6758</v>
      </c>
      <c r="V29" s="644">
        <f t="shared" si="0"/>
        <v>6758</v>
      </c>
      <c r="W29" s="646">
        <f t="shared" si="0"/>
        <v>6233</v>
      </c>
      <c r="X29" s="646">
        <f t="shared" si="0"/>
        <v>5516</v>
      </c>
      <c r="Y29" s="646">
        <f t="shared" si="0"/>
        <v>7348</v>
      </c>
      <c r="Z29" s="646">
        <f t="shared" si="0"/>
        <v>5853</v>
      </c>
      <c r="AA29" s="644">
        <f t="shared" si="0"/>
        <v>5853</v>
      </c>
      <c r="AB29" s="646">
        <f t="shared" si="0"/>
        <v>5855</v>
      </c>
      <c r="AC29" s="646">
        <f t="shared" si="0"/>
        <v>5271</v>
      </c>
      <c r="AD29" s="646">
        <f t="shared" si="0"/>
        <v>7070</v>
      </c>
      <c r="AE29" s="646">
        <f t="shared" si="0"/>
        <v>6089</v>
      </c>
      <c r="AF29" s="690">
        <f t="shared" si="0"/>
        <v>6089</v>
      </c>
      <c r="AG29" s="691"/>
      <c r="AH29" s="691"/>
      <c r="AI29" s="691"/>
      <c r="AJ29" s="691"/>
      <c r="AK29" s="691"/>
    </row>
    <row r="30" spans="1:37">
      <c r="A30" s="12"/>
      <c r="B30" s="15"/>
      <c r="C30" s="50"/>
      <c r="D30" s="50"/>
      <c r="E30" s="50"/>
      <c r="F30" s="50"/>
      <c r="G30" s="52"/>
      <c r="H30" s="50"/>
      <c r="I30" s="50"/>
      <c r="J30" s="50"/>
      <c r="K30" s="50"/>
      <c r="L30" s="52"/>
      <c r="M30" s="50"/>
      <c r="N30" s="50"/>
      <c r="O30" s="50"/>
      <c r="P30" s="50"/>
      <c r="Q30" s="52"/>
      <c r="R30" s="50"/>
      <c r="S30" s="50"/>
      <c r="T30" s="50"/>
      <c r="U30" s="50"/>
      <c r="V30" s="52"/>
      <c r="W30" s="53"/>
      <c r="X30" s="53"/>
      <c r="Y30" s="53"/>
      <c r="Z30" s="53"/>
      <c r="AA30" s="52"/>
      <c r="AB30" s="53"/>
      <c r="AC30" s="53"/>
      <c r="AD30" s="53"/>
      <c r="AE30" s="53"/>
      <c r="AF30" s="82"/>
    </row>
    <row r="31" spans="1:37">
      <c r="A31" s="12" t="s">
        <v>303</v>
      </c>
      <c r="B31" s="12"/>
      <c r="C31" s="52">
        <v>11340</v>
      </c>
      <c r="D31" s="52">
        <v>11461</v>
      </c>
      <c r="E31" s="52">
        <v>11656</v>
      </c>
      <c r="F31" s="52">
        <v>11132</v>
      </c>
      <c r="G31" s="51">
        <v>11132</v>
      </c>
      <c r="H31" s="52">
        <v>13763</v>
      </c>
      <c r="I31" s="52">
        <v>13879</v>
      </c>
      <c r="J31" s="52">
        <v>14092</v>
      </c>
      <c r="K31" s="52">
        <v>13705</v>
      </c>
      <c r="L31" s="51">
        <v>13705</v>
      </c>
      <c r="M31" s="52">
        <v>13657</v>
      </c>
      <c r="N31" s="52">
        <v>13956</v>
      </c>
      <c r="O31" s="52">
        <v>13966</v>
      </c>
      <c r="P31" s="52">
        <v>13231</v>
      </c>
      <c r="Q31" s="51">
        <v>13231</v>
      </c>
      <c r="R31" s="52">
        <v>13201</v>
      </c>
      <c r="S31" s="52">
        <v>13221</v>
      </c>
      <c r="T31" s="52">
        <v>13234</v>
      </c>
      <c r="U31" s="52">
        <v>13034</v>
      </c>
      <c r="V31" s="51">
        <v>13034</v>
      </c>
      <c r="W31" s="52">
        <v>13008</v>
      </c>
      <c r="X31" s="52">
        <v>13191</v>
      </c>
      <c r="Y31" s="52">
        <v>13487</v>
      </c>
      <c r="Z31" s="52">
        <v>13242</v>
      </c>
      <c r="AA31" s="51">
        <v>13242</v>
      </c>
      <c r="AB31" s="52">
        <v>13342</v>
      </c>
      <c r="AC31" s="52">
        <v>13473</v>
      </c>
      <c r="AD31" s="52">
        <v>13663</v>
      </c>
      <c r="AE31" s="52">
        <v>11902</v>
      </c>
      <c r="AF31" s="78">
        <v>11902</v>
      </c>
    </row>
    <row r="32" spans="1:37" s="185" customFormat="1">
      <c r="A32" s="281" t="s">
        <v>304</v>
      </c>
      <c r="B32" s="285"/>
      <c r="C32" s="282">
        <v>-4765</v>
      </c>
      <c r="D32" s="282">
        <v>-4914</v>
      </c>
      <c r="E32" s="282">
        <v>-5084</v>
      </c>
      <c r="F32" s="282">
        <v>-4495</v>
      </c>
      <c r="G32" s="283">
        <v>-4495</v>
      </c>
      <c r="H32" s="286">
        <v>-4633</v>
      </c>
      <c r="I32" s="286">
        <v>-4760</v>
      </c>
      <c r="J32" s="286">
        <v>-4938</v>
      </c>
      <c r="K32" s="286">
        <v>-4404</v>
      </c>
      <c r="L32" s="283">
        <v>-4404</v>
      </c>
      <c r="M32" s="286">
        <v>-4560</v>
      </c>
      <c r="N32" s="286">
        <v>-4642</v>
      </c>
      <c r="O32" s="286">
        <v>-4816</v>
      </c>
      <c r="P32" s="286">
        <v>-4413</v>
      </c>
      <c r="Q32" s="283">
        <v>-4413</v>
      </c>
      <c r="R32" s="286">
        <v>-4550</v>
      </c>
      <c r="S32" s="286">
        <v>-4689</v>
      </c>
      <c r="T32" s="286">
        <v>-4826</v>
      </c>
      <c r="U32" s="286">
        <v>-4561</v>
      </c>
      <c r="V32" s="283">
        <v>-4561</v>
      </c>
      <c r="W32" s="286">
        <v>-4671</v>
      </c>
      <c r="X32" s="286">
        <v>-4820</v>
      </c>
      <c r="Y32" s="286">
        <v>-4957</v>
      </c>
      <c r="Z32" s="286">
        <v>-4646</v>
      </c>
      <c r="AA32" s="283">
        <v>-4646</v>
      </c>
      <c r="AB32" s="286">
        <v>-4763</v>
      </c>
      <c r="AC32" s="286">
        <v>-4905</v>
      </c>
      <c r="AD32" s="286">
        <v>-5066</v>
      </c>
      <c r="AE32" s="286">
        <v>-4289</v>
      </c>
      <c r="AF32" s="290">
        <v>-4289</v>
      </c>
      <c r="AG32" s="288"/>
      <c r="AH32" s="288"/>
      <c r="AI32" s="288"/>
      <c r="AJ32" s="288"/>
      <c r="AK32" s="288"/>
    </row>
    <row r="33" spans="1:37" s="185" customFormat="1">
      <c r="A33" s="285" t="s">
        <v>305</v>
      </c>
      <c r="B33" s="281"/>
      <c r="C33" s="286">
        <f>SUM(C31:C32)</f>
        <v>6575</v>
      </c>
      <c r="D33" s="286">
        <f>SUM(D31:D32)</f>
        <v>6547</v>
      </c>
      <c r="E33" s="286">
        <f>SUM(E31:E32)</f>
        <v>6572</v>
      </c>
      <c r="F33" s="286">
        <f>SUM(F31:F32)</f>
        <v>6637</v>
      </c>
      <c r="G33" s="692">
        <v>6637</v>
      </c>
      <c r="H33" s="286">
        <f t="shared" ref="H33:AF33" si="1">SUM(H31:H32)</f>
        <v>9130</v>
      </c>
      <c r="I33" s="286">
        <f t="shared" si="1"/>
        <v>9119</v>
      </c>
      <c r="J33" s="286">
        <f t="shared" si="1"/>
        <v>9154</v>
      </c>
      <c r="K33" s="286">
        <f t="shared" si="1"/>
        <v>9301</v>
      </c>
      <c r="L33" s="286">
        <f t="shared" si="1"/>
        <v>9301</v>
      </c>
      <c r="M33" s="286">
        <f t="shared" si="1"/>
        <v>9097</v>
      </c>
      <c r="N33" s="286">
        <f t="shared" si="1"/>
        <v>9314</v>
      </c>
      <c r="O33" s="286">
        <f t="shared" si="1"/>
        <v>9150</v>
      </c>
      <c r="P33" s="286">
        <f t="shared" si="1"/>
        <v>8818</v>
      </c>
      <c r="Q33" s="286">
        <f t="shared" si="1"/>
        <v>8818</v>
      </c>
      <c r="R33" s="286">
        <f t="shared" si="1"/>
        <v>8651</v>
      </c>
      <c r="S33" s="286">
        <f t="shared" si="1"/>
        <v>8532</v>
      </c>
      <c r="T33" s="286">
        <f t="shared" si="1"/>
        <v>8408</v>
      </c>
      <c r="U33" s="286">
        <f t="shared" si="1"/>
        <v>8473</v>
      </c>
      <c r="V33" s="286">
        <f t="shared" si="1"/>
        <v>8473</v>
      </c>
      <c r="W33" s="286">
        <f t="shared" si="1"/>
        <v>8337</v>
      </c>
      <c r="X33" s="286">
        <f t="shared" si="1"/>
        <v>8371</v>
      </c>
      <c r="Y33" s="286">
        <f t="shared" si="1"/>
        <v>8530</v>
      </c>
      <c r="Z33" s="286">
        <f t="shared" si="1"/>
        <v>8596</v>
      </c>
      <c r="AA33" s="286">
        <f t="shared" si="1"/>
        <v>8596</v>
      </c>
      <c r="AB33" s="286">
        <f t="shared" si="1"/>
        <v>8579</v>
      </c>
      <c r="AC33" s="286">
        <f t="shared" si="1"/>
        <v>8568</v>
      </c>
      <c r="AD33" s="286">
        <f t="shared" si="1"/>
        <v>8597</v>
      </c>
      <c r="AE33" s="286">
        <f t="shared" si="1"/>
        <v>7613</v>
      </c>
      <c r="AF33" s="287">
        <f t="shared" si="1"/>
        <v>7613</v>
      </c>
      <c r="AG33" s="288"/>
      <c r="AH33" s="288"/>
      <c r="AI33" s="288"/>
      <c r="AJ33" s="288"/>
      <c r="AK33" s="288"/>
    </row>
    <row r="34" spans="1:37">
      <c r="A34" s="12"/>
      <c r="B34" s="12"/>
      <c r="C34" s="52"/>
      <c r="D34" s="52"/>
      <c r="E34" s="52"/>
      <c r="F34" s="52"/>
      <c r="G34" s="52"/>
      <c r="H34" s="52"/>
      <c r="I34" s="52"/>
      <c r="J34" s="52"/>
      <c r="K34" s="52"/>
      <c r="L34" s="52"/>
      <c r="M34" s="52"/>
      <c r="N34" s="52"/>
      <c r="O34" s="52"/>
      <c r="P34" s="52"/>
      <c r="Q34" s="52"/>
      <c r="R34" s="52"/>
      <c r="S34" s="52"/>
      <c r="T34" s="52"/>
      <c r="U34" s="52"/>
      <c r="V34" s="52"/>
      <c r="W34" s="51"/>
      <c r="X34" s="51"/>
      <c r="Y34" s="51"/>
      <c r="Z34" s="51"/>
      <c r="AA34" s="52"/>
      <c r="AB34" s="51"/>
      <c r="AC34" s="51"/>
      <c r="AD34" s="51"/>
      <c r="AE34" s="51"/>
      <c r="AF34" s="82"/>
    </row>
    <row r="35" spans="1:37" s="84" customFormat="1">
      <c r="A35" s="12" t="s">
        <v>306</v>
      </c>
      <c r="B35" s="12"/>
      <c r="C35" s="52">
        <v>3908</v>
      </c>
      <c r="D35" s="52">
        <v>3908</v>
      </c>
      <c r="E35" s="52">
        <v>3908</v>
      </c>
      <c r="F35" s="52">
        <v>3908</v>
      </c>
      <c r="G35" s="51">
        <v>3908</v>
      </c>
      <c r="H35" s="52">
        <v>3908</v>
      </c>
      <c r="I35" s="52">
        <v>3908</v>
      </c>
      <c r="J35" s="52">
        <v>3908</v>
      </c>
      <c r="K35" s="52">
        <v>3908</v>
      </c>
      <c r="L35" s="51">
        <v>3908</v>
      </c>
      <c r="M35" s="52">
        <v>838</v>
      </c>
      <c r="N35" s="52">
        <v>828</v>
      </c>
      <c r="O35" s="52">
        <v>828</v>
      </c>
      <c r="P35" s="52">
        <v>828</v>
      </c>
      <c r="Q35" s="51">
        <v>828</v>
      </c>
      <c r="R35" s="52">
        <v>828</v>
      </c>
      <c r="S35" s="52">
        <v>828</v>
      </c>
      <c r="T35" s="52">
        <v>828</v>
      </c>
      <c r="U35" s="52">
        <v>828</v>
      </c>
      <c r="V35" s="51">
        <v>828</v>
      </c>
      <c r="W35" s="51">
        <v>828</v>
      </c>
      <c r="X35" s="51">
        <v>828</v>
      </c>
      <c r="Y35" s="51">
        <v>828</v>
      </c>
      <c r="Z35" s="51">
        <v>828</v>
      </c>
      <c r="AA35" s="51">
        <v>828</v>
      </c>
      <c r="AB35" s="51">
        <v>828</v>
      </c>
      <c r="AC35" s="51">
        <v>828</v>
      </c>
      <c r="AD35" s="51">
        <v>828</v>
      </c>
      <c r="AE35" s="51">
        <v>828</v>
      </c>
      <c r="AF35" s="78">
        <v>828</v>
      </c>
      <c r="AG35" s="60"/>
      <c r="AH35" s="60"/>
      <c r="AI35" s="60"/>
      <c r="AJ35" s="60"/>
      <c r="AK35" s="60"/>
    </row>
    <row r="36" spans="1:37" s="84" customFormat="1">
      <c r="A36" s="12" t="s">
        <v>307</v>
      </c>
      <c r="B36" s="12"/>
      <c r="C36" s="52">
        <v>486</v>
      </c>
      <c r="D36" s="52">
        <v>483</v>
      </c>
      <c r="E36" s="52">
        <v>481</v>
      </c>
      <c r="F36" s="52">
        <v>1148</v>
      </c>
      <c r="G36" s="51">
        <v>1148</v>
      </c>
      <c r="H36" s="51">
        <v>441</v>
      </c>
      <c r="I36" s="51">
        <v>440</v>
      </c>
      <c r="J36" s="51">
        <v>440</v>
      </c>
      <c r="K36" s="51">
        <v>1081</v>
      </c>
      <c r="L36" s="51">
        <v>1081</v>
      </c>
      <c r="M36" s="52">
        <v>439</v>
      </c>
      <c r="N36" s="52">
        <v>438</v>
      </c>
      <c r="O36" s="52">
        <v>437</v>
      </c>
      <c r="P36" s="52">
        <v>928</v>
      </c>
      <c r="Q36" s="51">
        <v>928</v>
      </c>
      <c r="R36" s="52">
        <v>436</v>
      </c>
      <c r="S36" s="52">
        <v>436</v>
      </c>
      <c r="T36" s="52">
        <v>435</v>
      </c>
      <c r="U36" s="52">
        <v>946</v>
      </c>
      <c r="V36" s="51">
        <v>946</v>
      </c>
      <c r="W36" s="51">
        <v>434</v>
      </c>
      <c r="X36" s="51">
        <v>433</v>
      </c>
      <c r="Y36" s="51">
        <v>433</v>
      </c>
      <c r="Z36" s="51">
        <v>1098</v>
      </c>
      <c r="AA36" s="51">
        <v>1098</v>
      </c>
      <c r="AB36" s="51">
        <v>432</v>
      </c>
      <c r="AC36" s="51">
        <v>431</v>
      </c>
      <c r="AD36" s="51">
        <v>431</v>
      </c>
      <c r="AE36" s="51">
        <v>1187</v>
      </c>
      <c r="AF36" s="78">
        <v>1187</v>
      </c>
      <c r="AG36" s="60"/>
      <c r="AH36" s="60"/>
      <c r="AI36" s="60"/>
      <c r="AJ36" s="60"/>
      <c r="AK36" s="60"/>
    </row>
    <row r="37" spans="1:37">
      <c r="A37" s="12" t="s">
        <v>308</v>
      </c>
      <c r="B37" s="12"/>
      <c r="C37" s="52">
        <v>889</v>
      </c>
      <c r="D37" s="52">
        <v>865</v>
      </c>
      <c r="E37" s="52">
        <v>733</v>
      </c>
      <c r="F37" s="52">
        <v>56</v>
      </c>
      <c r="G37" s="51">
        <v>56</v>
      </c>
      <c r="H37" s="52">
        <v>712</v>
      </c>
      <c r="I37" s="52">
        <v>728</v>
      </c>
      <c r="J37" s="52">
        <v>744</v>
      </c>
      <c r="K37" s="52">
        <v>72</v>
      </c>
      <c r="L37" s="51">
        <v>72</v>
      </c>
      <c r="M37" s="52">
        <v>1072</v>
      </c>
      <c r="N37" s="52">
        <v>1403</v>
      </c>
      <c r="O37" s="52">
        <v>1442</v>
      </c>
      <c r="P37" s="52">
        <v>948</v>
      </c>
      <c r="Q37" s="51">
        <v>948</v>
      </c>
      <c r="R37" s="52">
        <v>927</v>
      </c>
      <c r="S37" s="52">
        <v>1010</v>
      </c>
      <c r="T37" s="52">
        <v>1017</v>
      </c>
      <c r="U37" s="52">
        <v>585</v>
      </c>
      <c r="V37" s="51">
        <v>585</v>
      </c>
      <c r="W37" s="52">
        <v>1140</v>
      </c>
      <c r="X37" s="52">
        <v>1194</v>
      </c>
      <c r="Y37" s="52">
        <v>1091</v>
      </c>
      <c r="Z37" s="52">
        <v>491</v>
      </c>
      <c r="AA37" s="51">
        <v>491</v>
      </c>
      <c r="AB37" s="52">
        <v>1174</v>
      </c>
      <c r="AC37" s="52">
        <v>1206</v>
      </c>
      <c r="AD37" s="52">
        <v>1185</v>
      </c>
      <c r="AE37" s="52">
        <v>529</v>
      </c>
      <c r="AF37" s="78">
        <v>529</v>
      </c>
    </row>
    <row r="38" spans="1:37" s="30" customFormat="1">
      <c r="A38" s="15" t="s">
        <v>309</v>
      </c>
      <c r="B38" s="15"/>
      <c r="C38" s="50">
        <f t="shared" ref="C38:AF38" si="2">C33+SUM(C35:C37)</f>
        <v>11858</v>
      </c>
      <c r="D38" s="50">
        <f t="shared" si="2"/>
        <v>11803</v>
      </c>
      <c r="E38" s="50">
        <f t="shared" si="2"/>
        <v>11694</v>
      </c>
      <c r="F38" s="50">
        <f t="shared" si="2"/>
        <v>11749</v>
      </c>
      <c r="G38" s="50">
        <f t="shared" si="2"/>
        <v>11749</v>
      </c>
      <c r="H38" s="50">
        <f t="shared" si="2"/>
        <v>14191</v>
      </c>
      <c r="I38" s="50">
        <f t="shared" si="2"/>
        <v>14195</v>
      </c>
      <c r="J38" s="50">
        <f t="shared" si="2"/>
        <v>14246</v>
      </c>
      <c r="K38" s="50">
        <f t="shared" si="2"/>
        <v>14362</v>
      </c>
      <c r="L38" s="50">
        <f t="shared" si="2"/>
        <v>14362</v>
      </c>
      <c r="M38" s="50">
        <f t="shared" si="2"/>
        <v>11446</v>
      </c>
      <c r="N38" s="50">
        <f t="shared" si="2"/>
        <v>11983</v>
      </c>
      <c r="O38" s="50">
        <f t="shared" si="2"/>
        <v>11857</v>
      </c>
      <c r="P38" s="50">
        <f t="shared" si="2"/>
        <v>11522</v>
      </c>
      <c r="Q38" s="50">
        <f t="shared" si="2"/>
        <v>11522</v>
      </c>
      <c r="R38" s="50">
        <f t="shared" si="2"/>
        <v>10842</v>
      </c>
      <c r="S38" s="50">
        <f t="shared" si="2"/>
        <v>10806</v>
      </c>
      <c r="T38" s="50">
        <f t="shared" si="2"/>
        <v>10688</v>
      </c>
      <c r="U38" s="50">
        <f t="shared" si="2"/>
        <v>10832</v>
      </c>
      <c r="V38" s="50">
        <f t="shared" si="2"/>
        <v>10832</v>
      </c>
      <c r="W38" s="50">
        <f t="shared" si="2"/>
        <v>10739</v>
      </c>
      <c r="X38" s="50">
        <f t="shared" si="2"/>
        <v>10826</v>
      </c>
      <c r="Y38" s="50">
        <f t="shared" si="2"/>
        <v>10882</v>
      </c>
      <c r="Z38" s="50">
        <f t="shared" si="2"/>
        <v>11013</v>
      </c>
      <c r="AA38" s="50">
        <f t="shared" si="2"/>
        <v>11013</v>
      </c>
      <c r="AB38" s="50">
        <f t="shared" si="2"/>
        <v>11013</v>
      </c>
      <c r="AC38" s="50">
        <f t="shared" si="2"/>
        <v>11033</v>
      </c>
      <c r="AD38" s="50">
        <f t="shared" si="2"/>
        <v>11041</v>
      </c>
      <c r="AE38" s="50">
        <f t="shared" si="2"/>
        <v>10157</v>
      </c>
      <c r="AF38" s="83">
        <f t="shared" si="2"/>
        <v>10157</v>
      </c>
      <c r="AG38" s="62"/>
      <c r="AH38" s="62"/>
      <c r="AI38" s="62"/>
      <c r="AJ38" s="62"/>
      <c r="AK38" s="62"/>
    </row>
    <row r="39" spans="1:37" s="127" customFormat="1" ht="14.25" thickBot="1">
      <c r="A39" s="693" t="s">
        <v>212</v>
      </c>
      <c r="B39" s="694"/>
      <c r="C39" s="650">
        <f t="shared" ref="C39:AF39" si="3">C29+C38</f>
        <v>19568</v>
      </c>
      <c r="D39" s="650">
        <f t="shared" si="3"/>
        <v>18668</v>
      </c>
      <c r="E39" s="650">
        <f t="shared" si="3"/>
        <v>20361</v>
      </c>
      <c r="F39" s="650">
        <f t="shared" si="3"/>
        <v>19194</v>
      </c>
      <c r="G39" s="650">
        <f t="shared" si="3"/>
        <v>19194</v>
      </c>
      <c r="H39" s="650">
        <f t="shared" si="3"/>
        <v>21296</v>
      </c>
      <c r="I39" s="650">
        <f t="shared" si="3"/>
        <v>20741</v>
      </c>
      <c r="J39" s="650">
        <f t="shared" si="3"/>
        <v>22547</v>
      </c>
      <c r="K39" s="650">
        <f t="shared" si="3"/>
        <v>21172</v>
      </c>
      <c r="L39" s="650">
        <f t="shared" si="3"/>
        <v>21172</v>
      </c>
      <c r="M39" s="650">
        <f t="shared" si="3"/>
        <v>18581</v>
      </c>
      <c r="N39" s="650">
        <f t="shared" si="3"/>
        <v>17614</v>
      </c>
      <c r="O39" s="650">
        <f t="shared" si="3"/>
        <v>19214</v>
      </c>
      <c r="P39" s="650">
        <f t="shared" si="3"/>
        <v>17706</v>
      </c>
      <c r="Q39" s="650">
        <f t="shared" si="3"/>
        <v>17706</v>
      </c>
      <c r="R39" s="650">
        <f t="shared" si="3"/>
        <v>18082</v>
      </c>
      <c r="S39" s="650">
        <f t="shared" si="3"/>
        <v>18417</v>
      </c>
      <c r="T39" s="650">
        <f t="shared" si="3"/>
        <v>18279</v>
      </c>
      <c r="U39" s="650">
        <f t="shared" si="3"/>
        <v>17590</v>
      </c>
      <c r="V39" s="650">
        <f t="shared" si="3"/>
        <v>17590</v>
      </c>
      <c r="W39" s="650">
        <f t="shared" si="3"/>
        <v>16972</v>
      </c>
      <c r="X39" s="650">
        <f t="shared" si="3"/>
        <v>16342</v>
      </c>
      <c r="Y39" s="650">
        <f t="shared" si="3"/>
        <v>18230</v>
      </c>
      <c r="Z39" s="650">
        <f t="shared" si="3"/>
        <v>16866</v>
      </c>
      <c r="AA39" s="650">
        <f t="shared" si="3"/>
        <v>16866</v>
      </c>
      <c r="AB39" s="650">
        <f t="shared" si="3"/>
        <v>16868</v>
      </c>
      <c r="AC39" s="650">
        <f t="shared" si="3"/>
        <v>16304</v>
      </c>
      <c r="AD39" s="650">
        <f t="shared" si="3"/>
        <v>18111</v>
      </c>
      <c r="AE39" s="650">
        <f t="shared" si="3"/>
        <v>16246</v>
      </c>
      <c r="AF39" s="651">
        <f t="shared" si="3"/>
        <v>16246</v>
      </c>
      <c r="AG39" s="695"/>
      <c r="AH39" s="695"/>
      <c r="AI39" s="695"/>
      <c r="AJ39" s="695"/>
      <c r="AK39" s="695"/>
    </row>
    <row r="40" spans="1:37" ht="10.5" thickTop="1">
      <c r="A40" s="12"/>
      <c r="B40" s="15"/>
      <c r="C40" s="50"/>
      <c r="D40" s="50"/>
      <c r="E40" s="50"/>
      <c r="F40" s="50"/>
      <c r="G40" s="52"/>
      <c r="H40" s="50"/>
      <c r="I40" s="50"/>
      <c r="J40" s="50"/>
      <c r="K40" s="50"/>
      <c r="L40" s="52"/>
      <c r="M40" s="50"/>
      <c r="N40" s="50"/>
      <c r="O40" s="50"/>
      <c r="P40" s="50"/>
      <c r="Q40" s="52"/>
      <c r="R40" s="50"/>
      <c r="S40" s="50"/>
      <c r="T40" s="50"/>
      <c r="U40" s="50"/>
      <c r="V40" s="52"/>
      <c r="W40" s="53"/>
      <c r="X40" s="53"/>
      <c r="Y40" s="53"/>
      <c r="Z40" s="53"/>
      <c r="AA40" s="52"/>
      <c r="AB40" s="53"/>
      <c r="AC40" s="53"/>
      <c r="AD40" s="53"/>
      <c r="AE40" s="53"/>
      <c r="AF40" s="82"/>
    </row>
    <row r="41" spans="1:37">
      <c r="A41" s="15" t="s">
        <v>310</v>
      </c>
      <c r="B41" s="12"/>
      <c r="C41" s="52"/>
      <c r="D41" s="52"/>
      <c r="E41" s="52"/>
      <c r="F41" s="52"/>
      <c r="G41" s="51"/>
      <c r="H41" s="52"/>
      <c r="I41" s="52"/>
      <c r="J41" s="52"/>
      <c r="K41" s="52"/>
      <c r="L41" s="70"/>
      <c r="M41" s="52"/>
      <c r="N41" s="52"/>
      <c r="O41" s="52"/>
      <c r="P41" s="52"/>
      <c r="Q41" s="51"/>
      <c r="R41" s="52"/>
      <c r="S41" s="52"/>
      <c r="T41" s="52"/>
      <c r="U41" s="52"/>
      <c r="V41" s="51"/>
      <c r="W41" s="52"/>
      <c r="X41" s="52"/>
      <c r="Y41" s="52"/>
      <c r="Z41" s="52"/>
      <c r="AA41" s="51"/>
      <c r="AB41" s="52"/>
      <c r="AC41" s="52"/>
      <c r="AD41" s="52"/>
      <c r="AE41" s="52"/>
      <c r="AF41" s="78"/>
    </row>
    <row r="42" spans="1:37">
      <c r="A42" s="12" t="s">
        <v>219</v>
      </c>
      <c r="B42" s="12"/>
      <c r="C42" s="52">
        <v>3715</v>
      </c>
      <c r="D42" s="52">
        <v>3498</v>
      </c>
      <c r="E42" s="52">
        <v>5403</v>
      </c>
      <c r="F42" s="52">
        <v>2638</v>
      </c>
      <c r="G42" s="51">
        <f t="shared" ref="G42:G50" si="4">F42</f>
        <v>2638</v>
      </c>
      <c r="H42" s="52">
        <v>3443</v>
      </c>
      <c r="I42" s="52">
        <v>3181</v>
      </c>
      <c r="J42" s="52">
        <v>5209</v>
      </c>
      <c r="K42" s="52">
        <v>2659</v>
      </c>
      <c r="L42" s="51">
        <f t="shared" ref="L42:L50" si="5">K42</f>
        <v>2659</v>
      </c>
      <c r="M42" s="52">
        <v>3969</v>
      </c>
      <c r="N42" s="52">
        <v>3484</v>
      </c>
      <c r="O42" s="52">
        <v>5289</v>
      </c>
      <c r="P42" s="52">
        <v>2856</v>
      </c>
      <c r="Q42" s="51">
        <f t="shared" ref="Q42:Q50" si="6">P42</f>
        <v>2856</v>
      </c>
      <c r="R42" s="52">
        <v>4353</v>
      </c>
      <c r="S42" s="52">
        <v>4391</v>
      </c>
      <c r="T42" s="52">
        <v>5787</v>
      </c>
      <c r="U42" s="52">
        <v>3280</v>
      </c>
      <c r="V42" s="51">
        <f t="shared" ref="V42:V50" si="7">U42</f>
        <v>3280</v>
      </c>
      <c r="W42" s="51">
        <v>4648</v>
      </c>
      <c r="X42" s="51">
        <v>4113</v>
      </c>
      <c r="Y42" s="51">
        <v>5951</v>
      </c>
      <c r="Z42" s="51">
        <v>2874</v>
      </c>
      <c r="AA42" s="51">
        <f t="shared" ref="AA42:AA50" si="8">Z42</f>
        <v>2874</v>
      </c>
      <c r="AB42" s="51">
        <v>4074</v>
      </c>
      <c r="AC42" s="51">
        <v>3696</v>
      </c>
      <c r="AD42" s="51">
        <v>5328</v>
      </c>
      <c r="AE42" s="51">
        <v>2660</v>
      </c>
      <c r="AF42" s="78">
        <f t="shared" ref="AF42:AF50" si="9">AE42</f>
        <v>2660</v>
      </c>
    </row>
    <row r="43" spans="1:37">
      <c r="A43" s="12" t="s">
        <v>311</v>
      </c>
      <c r="B43" s="12"/>
      <c r="C43" s="52" t="s">
        <v>47</v>
      </c>
      <c r="D43" s="52" t="s">
        <v>47</v>
      </c>
      <c r="E43" s="52" t="s">
        <v>47</v>
      </c>
      <c r="F43" s="52">
        <v>939</v>
      </c>
      <c r="G43" s="51">
        <f t="shared" si="4"/>
        <v>939</v>
      </c>
      <c r="H43" s="52" t="s">
        <v>47</v>
      </c>
      <c r="I43" s="52" t="s">
        <v>47</v>
      </c>
      <c r="J43" s="52" t="s">
        <v>47</v>
      </c>
      <c r="K43" s="52">
        <v>731</v>
      </c>
      <c r="L43" s="51">
        <f t="shared" si="5"/>
        <v>731</v>
      </c>
      <c r="M43" s="52" t="s">
        <v>47</v>
      </c>
      <c r="N43" s="52" t="s">
        <v>47</v>
      </c>
      <c r="O43" s="52" t="s">
        <v>47</v>
      </c>
      <c r="P43" s="52">
        <v>844</v>
      </c>
      <c r="Q43" s="51">
        <f t="shared" si="6"/>
        <v>844</v>
      </c>
      <c r="R43" s="52" t="s">
        <v>47</v>
      </c>
      <c r="S43" s="52" t="s">
        <v>47</v>
      </c>
      <c r="T43" s="52" t="s">
        <v>47</v>
      </c>
      <c r="U43" s="52">
        <v>818</v>
      </c>
      <c r="V43" s="51">
        <f t="shared" si="7"/>
        <v>818</v>
      </c>
      <c r="W43" s="51" t="s">
        <v>47</v>
      </c>
      <c r="X43" s="51" t="s">
        <v>47</v>
      </c>
      <c r="Y43" s="51" t="s">
        <v>47</v>
      </c>
      <c r="Z43" s="51">
        <v>719</v>
      </c>
      <c r="AA43" s="51">
        <f t="shared" si="8"/>
        <v>719</v>
      </c>
      <c r="AB43" s="51" t="s">
        <v>47</v>
      </c>
      <c r="AC43" s="51" t="s">
        <v>47</v>
      </c>
      <c r="AD43" s="51" t="s">
        <v>47</v>
      </c>
      <c r="AE43" s="51">
        <v>680</v>
      </c>
      <c r="AF43" s="78">
        <f t="shared" si="9"/>
        <v>680</v>
      </c>
    </row>
    <row r="44" spans="1:37">
      <c r="A44" s="12" t="s">
        <v>312</v>
      </c>
      <c r="B44" s="12"/>
      <c r="C44" s="52" t="s">
        <v>47</v>
      </c>
      <c r="D44" s="52" t="s">
        <v>47</v>
      </c>
      <c r="E44" s="52" t="s">
        <v>47</v>
      </c>
      <c r="F44" s="52" t="s">
        <v>47</v>
      </c>
      <c r="G44" s="51" t="str">
        <f t="shared" si="4"/>
        <v>-</v>
      </c>
      <c r="H44" s="52" t="s">
        <v>47</v>
      </c>
      <c r="I44" s="52" t="s">
        <v>47</v>
      </c>
      <c r="J44" s="52" t="s">
        <v>47</v>
      </c>
      <c r="K44" s="52" t="s">
        <v>47</v>
      </c>
      <c r="L44" s="51" t="str">
        <f t="shared" si="5"/>
        <v>-</v>
      </c>
      <c r="M44" s="52" t="s">
        <v>47</v>
      </c>
      <c r="N44" s="52" t="s">
        <v>47</v>
      </c>
      <c r="O44" s="52" t="s">
        <v>47</v>
      </c>
      <c r="P44" s="52" t="s">
        <v>47</v>
      </c>
      <c r="Q44" s="51" t="str">
        <f t="shared" si="6"/>
        <v>-</v>
      </c>
      <c r="R44" s="52" t="s">
        <v>47</v>
      </c>
      <c r="S44" s="52" t="s">
        <v>47</v>
      </c>
      <c r="T44" s="52" t="s">
        <v>47</v>
      </c>
      <c r="U44" s="52" t="s">
        <v>47</v>
      </c>
      <c r="V44" s="51" t="str">
        <f t="shared" si="7"/>
        <v>-</v>
      </c>
      <c r="W44" s="51" t="s">
        <v>47</v>
      </c>
      <c r="X44" s="51" t="s">
        <v>47</v>
      </c>
      <c r="Y44" s="51" t="s">
        <v>47</v>
      </c>
      <c r="Z44" s="51" t="s">
        <v>47</v>
      </c>
      <c r="AA44" s="51" t="str">
        <f t="shared" si="8"/>
        <v>-</v>
      </c>
      <c r="AB44" s="51" t="s">
        <v>47</v>
      </c>
      <c r="AC44" s="51" t="s">
        <v>47</v>
      </c>
      <c r="AD44" s="51" t="s">
        <v>47</v>
      </c>
      <c r="AE44" s="51" t="s">
        <v>47</v>
      </c>
      <c r="AF44" s="78" t="str">
        <f t="shared" si="9"/>
        <v>-</v>
      </c>
    </row>
    <row r="45" spans="1:37">
      <c r="A45" s="12" t="s">
        <v>313</v>
      </c>
      <c r="B45" s="12"/>
      <c r="C45" s="52">
        <v>25</v>
      </c>
      <c r="D45" s="52">
        <v>63</v>
      </c>
      <c r="E45" s="52">
        <v>65</v>
      </c>
      <c r="F45" s="52">
        <v>36</v>
      </c>
      <c r="G45" s="51">
        <f t="shared" si="4"/>
        <v>36</v>
      </c>
      <c r="H45" s="52">
        <v>41</v>
      </c>
      <c r="I45" s="52">
        <v>6</v>
      </c>
      <c r="J45" s="52">
        <v>6</v>
      </c>
      <c r="K45" s="52">
        <v>539</v>
      </c>
      <c r="L45" s="51">
        <f t="shared" si="5"/>
        <v>539</v>
      </c>
      <c r="M45" s="52">
        <v>739</v>
      </c>
      <c r="N45" s="52">
        <v>539</v>
      </c>
      <c r="O45" s="52">
        <v>536</v>
      </c>
      <c r="P45" s="52">
        <v>452</v>
      </c>
      <c r="Q45" s="51">
        <f t="shared" si="6"/>
        <v>452</v>
      </c>
      <c r="R45" s="52">
        <v>294</v>
      </c>
      <c r="S45" s="52">
        <v>1546</v>
      </c>
      <c r="T45" s="52">
        <v>140</v>
      </c>
      <c r="U45" s="52" t="s">
        <v>47</v>
      </c>
      <c r="V45" s="51" t="str">
        <f t="shared" si="7"/>
        <v>-</v>
      </c>
      <c r="W45" s="51" t="s">
        <v>47</v>
      </c>
      <c r="X45" s="51" t="s">
        <v>47</v>
      </c>
      <c r="Y45" s="51">
        <v>183</v>
      </c>
      <c r="Z45" s="51" t="s">
        <v>47</v>
      </c>
      <c r="AA45" s="51" t="str">
        <f t="shared" si="8"/>
        <v>-</v>
      </c>
      <c r="AB45" s="51" t="s">
        <v>47</v>
      </c>
      <c r="AC45" s="51" t="s">
        <v>47</v>
      </c>
      <c r="AD45" s="51">
        <v>160</v>
      </c>
      <c r="AE45" s="51" t="s">
        <v>47</v>
      </c>
      <c r="AF45" s="78" t="str">
        <f t="shared" si="9"/>
        <v>-</v>
      </c>
    </row>
    <row r="46" spans="1:37">
      <c r="A46" s="12" t="s">
        <v>314</v>
      </c>
      <c r="B46" s="12"/>
      <c r="C46" s="52" t="s">
        <v>47</v>
      </c>
      <c r="D46" s="52" t="s">
        <v>47</v>
      </c>
      <c r="E46" s="52" t="s">
        <v>47</v>
      </c>
      <c r="F46" s="52">
        <v>7</v>
      </c>
      <c r="G46" s="51">
        <f t="shared" si="4"/>
        <v>7</v>
      </c>
      <c r="H46" s="52">
        <v>363</v>
      </c>
      <c r="I46" s="52">
        <v>351</v>
      </c>
      <c r="J46" s="52">
        <v>314</v>
      </c>
      <c r="K46" s="52">
        <v>333</v>
      </c>
      <c r="L46" s="51">
        <f t="shared" si="5"/>
        <v>333</v>
      </c>
      <c r="M46" s="52" t="s">
        <v>47</v>
      </c>
      <c r="N46" s="52" t="s">
        <v>47</v>
      </c>
      <c r="O46" s="52" t="s">
        <v>47</v>
      </c>
      <c r="P46" s="52">
        <v>200</v>
      </c>
      <c r="Q46" s="51">
        <f t="shared" si="6"/>
        <v>200</v>
      </c>
      <c r="R46" s="52" t="s">
        <v>47</v>
      </c>
      <c r="S46" s="52" t="s">
        <v>47</v>
      </c>
      <c r="T46" s="52" t="s">
        <v>47</v>
      </c>
      <c r="U46" s="52">
        <v>330</v>
      </c>
      <c r="V46" s="51">
        <f t="shared" si="7"/>
        <v>330</v>
      </c>
      <c r="W46" s="51" t="s">
        <v>47</v>
      </c>
      <c r="X46" s="51" t="s">
        <v>47</v>
      </c>
      <c r="Y46" s="51" t="s">
        <v>47</v>
      </c>
      <c r="Z46" s="51">
        <v>335</v>
      </c>
      <c r="AA46" s="51">
        <f t="shared" si="8"/>
        <v>335</v>
      </c>
      <c r="AB46" s="51" t="s">
        <v>47</v>
      </c>
      <c r="AC46" s="51" t="s">
        <v>47</v>
      </c>
      <c r="AD46" s="51" t="s">
        <v>47</v>
      </c>
      <c r="AE46" s="51">
        <v>358</v>
      </c>
      <c r="AF46" s="78">
        <f t="shared" si="9"/>
        <v>358</v>
      </c>
    </row>
    <row r="47" spans="1:37">
      <c r="A47" s="12" t="s">
        <v>315</v>
      </c>
      <c r="B47" s="12"/>
      <c r="C47" s="52">
        <v>312</v>
      </c>
      <c r="D47" s="52">
        <v>15</v>
      </c>
      <c r="E47" s="52" t="s">
        <v>47</v>
      </c>
      <c r="F47" s="52">
        <v>168</v>
      </c>
      <c r="G47" s="51">
        <f t="shared" si="4"/>
        <v>168</v>
      </c>
      <c r="H47" s="52">
        <v>182</v>
      </c>
      <c r="I47" s="52">
        <v>20</v>
      </c>
      <c r="J47" s="52" t="s">
        <v>47</v>
      </c>
      <c r="K47" s="52">
        <v>81</v>
      </c>
      <c r="L47" s="51">
        <f t="shared" si="5"/>
        <v>81</v>
      </c>
      <c r="M47" s="52">
        <v>80</v>
      </c>
      <c r="N47" s="52" t="s">
        <v>47</v>
      </c>
      <c r="O47" s="52" t="s">
        <v>47</v>
      </c>
      <c r="P47" s="52" t="s">
        <v>47</v>
      </c>
      <c r="Q47" s="51" t="str">
        <f t="shared" si="6"/>
        <v>-</v>
      </c>
      <c r="R47" s="52">
        <v>63</v>
      </c>
      <c r="S47" s="52">
        <v>18</v>
      </c>
      <c r="T47" s="52" t="s">
        <v>47</v>
      </c>
      <c r="U47" s="52">
        <v>108</v>
      </c>
      <c r="V47" s="51">
        <f t="shared" si="7"/>
        <v>108</v>
      </c>
      <c r="W47" s="51">
        <v>222</v>
      </c>
      <c r="X47" s="51">
        <v>23</v>
      </c>
      <c r="Y47" s="51">
        <v>21</v>
      </c>
      <c r="Z47" s="51">
        <v>58</v>
      </c>
      <c r="AA47" s="51">
        <f t="shared" si="8"/>
        <v>58</v>
      </c>
      <c r="AB47" s="51">
        <v>134</v>
      </c>
      <c r="AC47" s="51" t="s">
        <v>47</v>
      </c>
      <c r="AD47" s="51" t="s">
        <v>47</v>
      </c>
      <c r="AE47" s="51">
        <v>48</v>
      </c>
      <c r="AF47" s="78">
        <f t="shared" si="9"/>
        <v>48</v>
      </c>
    </row>
    <row r="48" spans="1:37">
      <c r="A48" s="12" t="s">
        <v>316</v>
      </c>
      <c r="B48" s="12"/>
      <c r="C48" s="52">
        <v>727</v>
      </c>
      <c r="D48" s="52">
        <v>662</v>
      </c>
      <c r="E48" s="52">
        <v>711</v>
      </c>
      <c r="F48" s="52">
        <v>879</v>
      </c>
      <c r="G48" s="51">
        <f t="shared" si="4"/>
        <v>879</v>
      </c>
      <c r="H48" s="52">
        <v>696</v>
      </c>
      <c r="I48" s="52">
        <v>654</v>
      </c>
      <c r="J48" s="52">
        <v>705</v>
      </c>
      <c r="K48" s="52">
        <v>839</v>
      </c>
      <c r="L48" s="51">
        <f t="shared" si="5"/>
        <v>839</v>
      </c>
      <c r="M48" s="52">
        <v>732</v>
      </c>
      <c r="N48" s="52">
        <v>675</v>
      </c>
      <c r="O48" s="52">
        <v>639</v>
      </c>
      <c r="P48" s="52">
        <v>616</v>
      </c>
      <c r="Q48" s="51">
        <f t="shared" si="6"/>
        <v>616</v>
      </c>
      <c r="R48" s="52">
        <v>580</v>
      </c>
      <c r="S48" s="52">
        <v>547</v>
      </c>
      <c r="T48" s="52">
        <v>500</v>
      </c>
      <c r="U48" s="52">
        <v>481</v>
      </c>
      <c r="V48" s="51">
        <f t="shared" si="7"/>
        <v>481</v>
      </c>
      <c r="W48" s="52">
        <v>428</v>
      </c>
      <c r="X48" s="52">
        <v>386</v>
      </c>
      <c r="Y48" s="52">
        <v>355</v>
      </c>
      <c r="Z48" s="52">
        <v>399</v>
      </c>
      <c r="AA48" s="51">
        <f t="shared" si="8"/>
        <v>399</v>
      </c>
      <c r="AB48" s="52">
        <v>360</v>
      </c>
      <c r="AC48" s="52">
        <v>340</v>
      </c>
      <c r="AD48" s="52">
        <v>336</v>
      </c>
      <c r="AE48" s="52">
        <v>384</v>
      </c>
      <c r="AF48" s="78">
        <f t="shared" si="9"/>
        <v>384</v>
      </c>
    </row>
    <row r="49" spans="1:37" ht="10.5" thickBot="1">
      <c r="A49" s="12" t="s">
        <v>317</v>
      </c>
      <c r="B49" s="12"/>
      <c r="C49" s="52">
        <v>298</v>
      </c>
      <c r="D49" s="52">
        <v>243</v>
      </c>
      <c r="E49" s="52">
        <v>265</v>
      </c>
      <c r="F49" s="52">
        <v>565</v>
      </c>
      <c r="G49" s="51">
        <f t="shared" si="4"/>
        <v>565</v>
      </c>
      <c r="H49" s="52">
        <v>294</v>
      </c>
      <c r="I49" s="52">
        <v>227</v>
      </c>
      <c r="J49" s="52">
        <v>245</v>
      </c>
      <c r="K49" s="52">
        <v>568</v>
      </c>
      <c r="L49" s="51">
        <f t="shared" si="5"/>
        <v>568</v>
      </c>
      <c r="M49" s="52">
        <v>252</v>
      </c>
      <c r="N49" s="52">
        <v>156</v>
      </c>
      <c r="O49" s="52">
        <v>187</v>
      </c>
      <c r="P49" s="52">
        <v>389</v>
      </c>
      <c r="Q49" s="51">
        <f t="shared" si="6"/>
        <v>389</v>
      </c>
      <c r="R49" s="52">
        <v>228</v>
      </c>
      <c r="S49" s="52">
        <v>198</v>
      </c>
      <c r="T49" s="52">
        <v>244</v>
      </c>
      <c r="U49" s="52">
        <v>399</v>
      </c>
      <c r="V49" s="51">
        <f t="shared" si="7"/>
        <v>399</v>
      </c>
      <c r="W49" s="51">
        <v>245</v>
      </c>
      <c r="X49" s="51">
        <v>186</v>
      </c>
      <c r="Y49" s="51">
        <v>233</v>
      </c>
      <c r="Z49" s="51">
        <v>476</v>
      </c>
      <c r="AA49" s="51">
        <f t="shared" si="8"/>
        <v>476</v>
      </c>
      <c r="AB49" s="51">
        <v>214</v>
      </c>
      <c r="AC49" s="51">
        <v>148</v>
      </c>
      <c r="AD49" s="51">
        <v>190</v>
      </c>
      <c r="AE49" s="51">
        <v>402</v>
      </c>
      <c r="AF49" s="78">
        <f t="shared" si="9"/>
        <v>402</v>
      </c>
    </row>
    <row r="50" spans="1:37" s="30" customFormat="1">
      <c r="A50" s="15" t="s">
        <v>318</v>
      </c>
      <c r="B50" s="15"/>
      <c r="C50" s="50">
        <f>SUM(C42:C49)</f>
        <v>5077</v>
      </c>
      <c r="D50" s="50">
        <f>SUM(D42:D49)</f>
        <v>4481</v>
      </c>
      <c r="E50" s="50">
        <f>SUM(E42:E49)</f>
        <v>6444</v>
      </c>
      <c r="F50" s="50">
        <f>SUM(F42:F49)</f>
        <v>5232</v>
      </c>
      <c r="G50" s="646">
        <f t="shared" si="4"/>
        <v>5232</v>
      </c>
      <c r="H50" s="50">
        <f>SUM(H42:H49)</f>
        <v>5019</v>
      </c>
      <c r="I50" s="50">
        <f>SUM(I42:I49)</f>
        <v>4439</v>
      </c>
      <c r="J50" s="50">
        <f>SUM(J42:J49)</f>
        <v>6479</v>
      </c>
      <c r="K50" s="50">
        <f>SUM(K42:K49)</f>
        <v>5750</v>
      </c>
      <c r="L50" s="672">
        <f t="shared" si="5"/>
        <v>5750</v>
      </c>
      <c r="M50" s="50">
        <f>SUM(M42:M49)</f>
        <v>5772</v>
      </c>
      <c r="N50" s="50">
        <f>SUM(N42:N49)</f>
        <v>4854</v>
      </c>
      <c r="O50" s="50">
        <f>SUM(O42:O49)</f>
        <v>6651</v>
      </c>
      <c r="P50" s="50">
        <f>SUM(P42:P49)</f>
        <v>5357</v>
      </c>
      <c r="Q50" s="81">
        <f t="shared" si="6"/>
        <v>5357</v>
      </c>
      <c r="R50" s="50">
        <f>SUM(R42:R49)</f>
        <v>5518</v>
      </c>
      <c r="S50" s="50">
        <f>SUM(S42:S49)</f>
        <v>6700</v>
      </c>
      <c r="T50" s="50">
        <f>SUM(T42:T49)</f>
        <v>6671</v>
      </c>
      <c r="U50" s="50">
        <f>SUM(U42:U49)</f>
        <v>5416</v>
      </c>
      <c r="V50" s="646">
        <f t="shared" si="7"/>
        <v>5416</v>
      </c>
      <c r="W50" s="50">
        <f>SUM(W42:W49)</f>
        <v>5543</v>
      </c>
      <c r="X50" s="50">
        <f>SUM(X42:X49)</f>
        <v>4708</v>
      </c>
      <c r="Y50" s="50">
        <f>SUM(Y42:Y49)</f>
        <v>6743</v>
      </c>
      <c r="Z50" s="50">
        <f>SUM(Z42:Z49)</f>
        <v>4861</v>
      </c>
      <c r="AA50" s="646">
        <f t="shared" si="8"/>
        <v>4861</v>
      </c>
      <c r="AB50" s="50">
        <f>SUM(AB42:AB49)</f>
        <v>4782</v>
      </c>
      <c r="AC50" s="50">
        <f>SUM(AC42:AC49)</f>
        <v>4184</v>
      </c>
      <c r="AD50" s="50">
        <f>SUM(AD42:AD49)</f>
        <v>6014</v>
      </c>
      <c r="AE50" s="50">
        <f>SUM(AE42:AE49)</f>
        <v>4532</v>
      </c>
      <c r="AF50" s="645">
        <f t="shared" si="9"/>
        <v>4532</v>
      </c>
      <c r="AG50" s="62"/>
      <c r="AH50" s="62"/>
      <c r="AI50" s="62"/>
      <c r="AJ50" s="62"/>
      <c r="AK50" s="62"/>
    </row>
    <row r="51" spans="1:37">
      <c r="A51" s="12"/>
      <c r="B51" s="12"/>
      <c r="C51" s="52"/>
      <c r="D51" s="52"/>
      <c r="E51" s="52"/>
      <c r="F51" s="52"/>
      <c r="G51" s="70"/>
      <c r="H51" s="52"/>
      <c r="I51" s="52"/>
      <c r="J51" s="52"/>
      <c r="K51" s="52"/>
      <c r="L51" s="51"/>
      <c r="M51" s="52"/>
      <c r="N51" s="52"/>
      <c r="O51" s="52"/>
      <c r="P51" s="52"/>
      <c r="Q51" s="51"/>
      <c r="R51" s="52"/>
      <c r="S51" s="52"/>
      <c r="T51" s="52"/>
      <c r="U51" s="52"/>
      <c r="V51" s="51"/>
      <c r="W51" s="52"/>
      <c r="X51" s="52"/>
      <c r="Y51" s="52"/>
      <c r="Z51" s="52"/>
      <c r="AA51" s="51"/>
      <c r="AB51" s="52"/>
      <c r="AC51" s="52"/>
      <c r="AD51" s="52"/>
      <c r="AE51" s="52"/>
      <c r="AF51" s="78"/>
    </row>
    <row r="52" spans="1:37" s="67" customFormat="1">
      <c r="A52" s="12" t="s">
        <v>319</v>
      </c>
      <c r="B52" s="12"/>
      <c r="C52" s="52">
        <v>5857</v>
      </c>
      <c r="D52" s="52">
        <v>5473</v>
      </c>
      <c r="E52" s="52">
        <v>5469</v>
      </c>
      <c r="F52" s="52">
        <v>4683</v>
      </c>
      <c r="G52" s="51">
        <f t="shared" ref="G52:G57" si="10">F52</f>
        <v>4683</v>
      </c>
      <c r="H52" s="52">
        <v>4680</v>
      </c>
      <c r="I52" s="52">
        <v>4680</v>
      </c>
      <c r="J52" s="52">
        <v>4677</v>
      </c>
      <c r="K52" s="52">
        <v>3621</v>
      </c>
      <c r="L52" s="51">
        <f t="shared" ref="L52:L57" si="11">K52</f>
        <v>3621</v>
      </c>
      <c r="M52" s="52">
        <v>4918</v>
      </c>
      <c r="N52" s="52">
        <v>4851</v>
      </c>
      <c r="O52" s="52">
        <v>4852</v>
      </c>
      <c r="P52" s="52">
        <v>4407</v>
      </c>
      <c r="Q52" s="51">
        <f t="shared" ref="Q52:Q57" si="12">P52</f>
        <v>4407</v>
      </c>
      <c r="R52" s="52">
        <v>4558</v>
      </c>
      <c r="S52" s="52">
        <v>3295</v>
      </c>
      <c r="T52" s="52">
        <v>3295</v>
      </c>
      <c r="U52" s="52">
        <v>3295</v>
      </c>
      <c r="V52" s="51">
        <f t="shared" ref="V52:V57" si="13">U52</f>
        <v>3295</v>
      </c>
      <c r="W52" s="51">
        <v>2994</v>
      </c>
      <c r="X52" s="51">
        <v>2995</v>
      </c>
      <c r="Y52" s="51">
        <v>2996</v>
      </c>
      <c r="Z52" s="51">
        <v>2996</v>
      </c>
      <c r="AA52" s="51">
        <f t="shared" ref="AA52:AA57" si="14">Z52</f>
        <v>2996</v>
      </c>
      <c r="AB52" s="51">
        <v>2996</v>
      </c>
      <c r="AC52" s="51">
        <v>2997</v>
      </c>
      <c r="AD52" s="51">
        <v>2997</v>
      </c>
      <c r="AE52" s="51">
        <v>2998</v>
      </c>
      <c r="AF52" s="78">
        <f t="shared" ref="AF52:AF57" si="15">AE52</f>
        <v>2998</v>
      </c>
      <c r="AG52" s="68"/>
      <c r="AH52" s="68"/>
      <c r="AI52" s="68"/>
      <c r="AJ52" s="68"/>
      <c r="AK52" s="68"/>
    </row>
    <row r="53" spans="1:37" s="67" customFormat="1">
      <c r="A53" s="12" t="s">
        <v>320</v>
      </c>
      <c r="B53" s="12"/>
      <c r="C53" s="52" t="s">
        <v>47</v>
      </c>
      <c r="D53" s="52" t="s">
        <v>47</v>
      </c>
      <c r="E53" s="52" t="s">
        <v>47</v>
      </c>
      <c r="F53" s="52">
        <v>25</v>
      </c>
      <c r="G53" s="51">
        <f t="shared" si="10"/>
        <v>25</v>
      </c>
      <c r="H53" s="52">
        <v>2823</v>
      </c>
      <c r="I53" s="52">
        <v>2836</v>
      </c>
      <c r="J53" s="52">
        <v>2819</v>
      </c>
      <c r="K53" s="52">
        <v>2918</v>
      </c>
      <c r="L53" s="51">
        <f t="shared" si="11"/>
        <v>2918</v>
      </c>
      <c r="M53" s="52">
        <v>2923</v>
      </c>
      <c r="N53" s="52">
        <v>3269</v>
      </c>
      <c r="O53" s="52">
        <v>3266</v>
      </c>
      <c r="P53" s="52">
        <v>3185</v>
      </c>
      <c r="Q53" s="51">
        <f t="shared" si="12"/>
        <v>3185</v>
      </c>
      <c r="R53" s="52">
        <v>3166</v>
      </c>
      <c r="S53" s="52">
        <v>3096</v>
      </c>
      <c r="T53" s="52">
        <v>3090</v>
      </c>
      <c r="U53" s="52">
        <v>3098</v>
      </c>
      <c r="V53" s="51">
        <f t="shared" si="13"/>
        <v>3098</v>
      </c>
      <c r="W53" s="52">
        <v>3030</v>
      </c>
      <c r="X53" s="52">
        <v>3008</v>
      </c>
      <c r="Y53" s="52">
        <v>2988</v>
      </c>
      <c r="Z53" s="52">
        <v>2963</v>
      </c>
      <c r="AA53" s="51">
        <f t="shared" si="14"/>
        <v>2963</v>
      </c>
      <c r="AB53" s="52">
        <v>2996</v>
      </c>
      <c r="AC53" s="52">
        <v>2975</v>
      </c>
      <c r="AD53" s="52">
        <v>3034</v>
      </c>
      <c r="AE53" s="52">
        <v>2986</v>
      </c>
      <c r="AF53" s="78">
        <f t="shared" si="15"/>
        <v>2986</v>
      </c>
      <c r="AG53" s="68"/>
      <c r="AH53" s="68"/>
      <c r="AI53" s="68"/>
      <c r="AJ53" s="68"/>
      <c r="AK53" s="68"/>
    </row>
    <row r="54" spans="1:37" s="67" customFormat="1">
      <c r="A54" s="12" t="s">
        <v>538</v>
      </c>
      <c r="B54" s="12"/>
      <c r="C54" s="52" t="s">
        <v>47</v>
      </c>
      <c r="D54" s="52" t="s">
        <v>47</v>
      </c>
      <c r="E54" s="52" t="s">
        <v>47</v>
      </c>
      <c r="F54" s="52">
        <v>698</v>
      </c>
      <c r="G54" s="51">
        <f t="shared" si="10"/>
        <v>698</v>
      </c>
      <c r="H54" s="52" t="s">
        <v>47</v>
      </c>
      <c r="I54" s="52" t="s">
        <v>47</v>
      </c>
      <c r="J54" s="52" t="s">
        <v>47</v>
      </c>
      <c r="K54" s="52">
        <v>745</v>
      </c>
      <c r="L54" s="51">
        <f t="shared" si="11"/>
        <v>745</v>
      </c>
      <c r="M54" s="52" t="s">
        <v>47</v>
      </c>
      <c r="N54" s="52" t="s">
        <v>47</v>
      </c>
      <c r="O54" s="52" t="s">
        <v>47</v>
      </c>
      <c r="P54" s="52">
        <v>660</v>
      </c>
      <c r="Q54" s="51">
        <f t="shared" si="12"/>
        <v>660</v>
      </c>
      <c r="R54" s="52" t="s">
        <v>47</v>
      </c>
      <c r="S54" s="52" t="s">
        <v>47</v>
      </c>
      <c r="T54" s="52" t="s">
        <v>47</v>
      </c>
      <c r="U54" s="52">
        <v>598</v>
      </c>
      <c r="V54" s="51">
        <f t="shared" si="13"/>
        <v>598</v>
      </c>
      <c r="W54" s="52" t="s">
        <v>47</v>
      </c>
      <c r="X54" s="52" t="s">
        <v>47</v>
      </c>
      <c r="Y54" s="52" t="s">
        <v>47</v>
      </c>
      <c r="Z54" s="52">
        <v>495</v>
      </c>
      <c r="AA54" s="51">
        <f t="shared" si="14"/>
        <v>495</v>
      </c>
      <c r="AB54" s="52" t="s">
        <v>47</v>
      </c>
      <c r="AC54" s="52" t="s">
        <v>47</v>
      </c>
      <c r="AD54" s="52" t="s">
        <v>47</v>
      </c>
      <c r="AE54" s="52">
        <v>456</v>
      </c>
      <c r="AF54" s="78">
        <f t="shared" si="15"/>
        <v>456</v>
      </c>
      <c r="AG54" s="68"/>
      <c r="AH54" s="68"/>
      <c r="AI54" s="68"/>
      <c r="AJ54" s="68"/>
      <c r="AK54" s="68"/>
    </row>
    <row r="55" spans="1:37" s="67" customFormat="1">
      <c r="A55" s="12" t="s">
        <v>322</v>
      </c>
      <c r="B55" s="43"/>
      <c r="C55" s="51">
        <v>1169</v>
      </c>
      <c r="D55" s="51">
        <v>1194</v>
      </c>
      <c r="E55" s="51">
        <v>1185</v>
      </c>
      <c r="F55" s="51">
        <v>1238</v>
      </c>
      <c r="G55" s="51">
        <f t="shared" si="10"/>
        <v>1238</v>
      </c>
      <c r="H55" s="51">
        <v>1193</v>
      </c>
      <c r="I55" s="51">
        <v>1206</v>
      </c>
      <c r="J55" s="51">
        <v>1200</v>
      </c>
      <c r="K55" s="51">
        <v>1169</v>
      </c>
      <c r="L55" s="51">
        <f t="shared" si="11"/>
        <v>1169</v>
      </c>
      <c r="M55" s="51">
        <v>944</v>
      </c>
      <c r="N55" s="51">
        <v>921</v>
      </c>
      <c r="O55" s="51">
        <v>917</v>
      </c>
      <c r="P55" s="51">
        <v>908</v>
      </c>
      <c r="Q55" s="51">
        <f t="shared" si="12"/>
        <v>908</v>
      </c>
      <c r="R55" s="51">
        <v>868</v>
      </c>
      <c r="S55" s="51">
        <v>913</v>
      </c>
      <c r="T55" s="51">
        <v>970</v>
      </c>
      <c r="U55" s="51">
        <v>983</v>
      </c>
      <c r="V55" s="51">
        <f t="shared" si="13"/>
        <v>983</v>
      </c>
      <c r="W55" s="51">
        <v>968</v>
      </c>
      <c r="X55" s="51">
        <v>948</v>
      </c>
      <c r="Y55" s="51">
        <v>884</v>
      </c>
      <c r="Z55" s="51">
        <v>947</v>
      </c>
      <c r="AA55" s="51">
        <f t="shared" si="14"/>
        <v>947</v>
      </c>
      <c r="AB55" s="51">
        <v>916</v>
      </c>
      <c r="AC55" s="51">
        <v>933</v>
      </c>
      <c r="AD55" s="51">
        <v>925</v>
      </c>
      <c r="AE55" s="51">
        <v>745</v>
      </c>
      <c r="AF55" s="78">
        <f t="shared" si="15"/>
        <v>745</v>
      </c>
      <c r="AG55" s="68"/>
      <c r="AH55" s="68"/>
      <c r="AI55" s="68"/>
      <c r="AJ55" s="68"/>
      <c r="AK55" s="68"/>
    </row>
    <row r="56" spans="1:37" s="67" customFormat="1">
      <c r="A56" s="12" t="s">
        <v>323</v>
      </c>
      <c r="B56" s="39"/>
      <c r="C56" s="51">
        <v>1664</v>
      </c>
      <c r="D56" s="51">
        <v>1626</v>
      </c>
      <c r="E56" s="51">
        <v>1618</v>
      </c>
      <c r="F56" s="51">
        <v>882</v>
      </c>
      <c r="G56" s="51">
        <f t="shared" si="10"/>
        <v>882</v>
      </c>
      <c r="H56" s="51">
        <v>1258</v>
      </c>
      <c r="I56" s="51">
        <v>1265</v>
      </c>
      <c r="J56" s="51">
        <v>1315</v>
      </c>
      <c r="K56" s="51">
        <v>592</v>
      </c>
      <c r="L56" s="51">
        <f t="shared" si="11"/>
        <v>592</v>
      </c>
      <c r="M56" s="51">
        <v>1327</v>
      </c>
      <c r="N56" s="51">
        <v>1395</v>
      </c>
      <c r="O56" s="51">
        <v>1285</v>
      </c>
      <c r="P56" s="51">
        <v>636</v>
      </c>
      <c r="Q56" s="51">
        <f t="shared" si="12"/>
        <v>636</v>
      </c>
      <c r="R56" s="51">
        <v>1297</v>
      </c>
      <c r="S56" s="51">
        <v>1267</v>
      </c>
      <c r="T56" s="51">
        <v>1245</v>
      </c>
      <c r="U56" s="51">
        <v>579</v>
      </c>
      <c r="V56" s="51">
        <f t="shared" si="13"/>
        <v>579</v>
      </c>
      <c r="W56" s="51">
        <v>1159</v>
      </c>
      <c r="X56" s="51">
        <v>1152</v>
      </c>
      <c r="Y56" s="51">
        <v>1144</v>
      </c>
      <c r="Z56" s="51">
        <v>522</v>
      </c>
      <c r="AA56" s="51">
        <f t="shared" si="14"/>
        <v>522</v>
      </c>
      <c r="AB56" s="51">
        <v>1008</v>
      </c>
      <c r="AC56" s="51">
        <v>1005</v>
      </c>
      <c r="AD56" s="51">
        <v>997</v>
      </c>
      <c r="AE56" s="51">
        <v>494</v>
      </c>
      <c r="AF56" s="78">
        <f t="shared" si="15"/>
        <v>494</v>
      </c>
      <c r="AG56" s="68"/>
      <c r="AH56" s="68"/>
      <c r="AI56" s="68"/>
      <c r="AJ56" s="68"/>
      <c r="AK56" s="68"/>
    </row>
    <row r="57" spans="1:37" s="75" customFormat="1">
      <c r="A57" s="15" t="s">
        <v>324</v>
      </c>
      <c r="B57" s="40"/>
      <c r="C57" s="50">
        <f>SUM(C52:C56)</f>
        <v>8690</v>
      </c>
      <c r="D57" s="50">
        <f>SUM(D52:D56)</f>
        <v>8293</v>
      </c>
      <c r="E57" s="50">
        <f>SUM(E52:E56)</f>
        <v>8272</v>
      </c>
      <c r="F57" s="50">
        <f>SUM(F52:F56)</f>
        <v>7526</v>
      </c>
      <c r="G57" s="646">
        <f t="shared" si="10"/>
        <v>7526</v>
      </c>
      <c r="H57" s="50">
        <f>SUM(H52:H56)</f>
        <v>9954</v>
      </c>
      <c r="I57" s="50">
        <f>SUM(I52:I56)</f>
        <v>9987</v>
      </c>
      <c r="J57" s="50">
        <f>SUM(J52:J56)</f>
        <v>10011</v>
      </c>
      <c r="K57" s="50">
        <f>SUM(K52:K56)</f>
        <v>9045</v>
      </c>
      <c r="L57" s="646">
        <f t="shared" si="11"/>
        <v>9045</v>
      </c>
      <c r="M57" s="50">
        <f>SUM(M52:M56)</f>
        <v>10112</v>
      </c>
      <c r="N57" s="50">
        <f>SUM(N52:N56)</f>
        <v>10436</v>
      </c>
      <c r="O57" s="50">
        <f>SUM(O52:O56)</f>
        <v>10320</v>
      </c>
      <c r="P57" s="50">
        <f>SUM(P52:P56)</f>
        <v>9796</v>
      </c>
      <c r="Q57" s="646">
        <f t="shared" si="12"/>
        <v>9796</v>
      </c>
      <c r="R57" s="50">
        <f>SUM(R52:R56)</f>
        <v>9889</v>
      </c>
      <c r="S57" s="50">
        <f>SUM(S52:S56)</f>
        <v>8571</v>
      </c>
      <c r="T57" s="50">
        <f>SUM(T52:T56)</f>
        <v>8600</v>
      </c>
      <c r="U57" s="50">
        <f>SUM(U52:U56)</f>
        <v>8553</v>
      </c>
      <c r="V57" s="646">
        <f t="shared" si="13"/>
        <v>8553</v>
      </c>
      <c r="W57" s="50">
        <f>SUM(W52:W56)</f>
        <v>8151</v>
      </c>
      <c r="X57" s="50">
        <f>SUM(X52:X56)</f>
        <v>8103</v>
      </c>
      <c r="Y57" s="50">
        <f>SUM(Y52:Y56)</f>
        <v>8012</v>
      </c>
      <c r="Z57" s="50">
        <f>SUM(Z52:Z56)</f>
        <v>7923</v>
      </c>
      <c r="AA57" s="644">
        <f t="shared" si="14"/>
        <v>7923</v>
      </c>
      <c r="AB57" s="50">
        <f>SUM(AB52:AB56)</f>
        <v>7916</v>
      </c>
      <c r="AC57" s="50">
        <f>SUM(AC52:AC56)</f>
        <v>7910</v>
      </c>
      <c r="AD57" s="50">
        <f>SUM(AD52:AD56)</f>
        <v>7953</v>
      </c>
      <c r="AE57" s="50">
        <f>SUM(AE52:AE56)</f>
        <v>7679</v>
      </c>
      <c r="AF57" s="645">
        <f t="shared" si="15"/>
        <v>7679</v>
      </c>
      <c r="AG57" s="76"/>
      <c r="AH57" s="76"/>
      <c r="AI57" s="76"/>
      <c r="AJ57" s="76"/>
      <c r="AK57" s="76"/>
    </row>
    <row r="58" spans="1:37" s="75" customFormat="1">
      <c r="A58" s="15"/>
      <c r="B58" s="40"/>
      <c r="C58" s="50"/>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74"/>
      <c r="AG58" s="76"/>
      <c r="AH58" s="76"/>
      <c r="AI58" s="76"/>
      <c r="AJ58" s="76"/>
      <c r="AK58" s="76"/>
    </row>
    <row r="59" spans="1:37" s="124" customFormat="1" ht="13.15">
      <c r="A59" s="121" t="s">
        <v>325</v>
      </c>
      <c r="B59" s="121"/>
      <c r="C59" s="122">
        <f t="shared" ref="C59:AF59" si="16">C50+C57</f>
        <v>13767</v>
      </c>
      <c r="D59" s="122">
        <f t="shared" si="16"/>
        <v>12774</v>
      </c>
      <c r="E59" s="122">
        <f t="shared" si="16"/>
        <v>14716</v>
      </c>
      <c r="F59" s="122">
        <f t="shared" si="16"/>
        <v>12758</v>
      </c>
      <c r="G59" s="122">
        <f t="shared" si="16"/>
        <v>12758</v>
      </c>
      <c r="H59" s="122">
        <f t="shared" si="16"/>
        <v>14973</v>
      </c>
      <c r="I59" s="122">
        <f t="shared" si="16"/>
        <v>14426</v>
      </c>
      <c r="J59" s="122">
        <f t="shared" si="16"/>
        <v>16490</v>
      </c>
      <c r="K59" s="122">
        <f t="shared" si="16"/>
        <v>14795</v>
      </c>
      <c r="L59" s="122">
        <f t="shared" si="16"/>
        <v>14795</v>
      </c>
      <c r="M59" s="122">
        <f t="shared" si="16"/>
        <v>15884</v>
      </c>
      <c r="N59" s="122">
        <f t="shared" si="16"/>
        <v>15290</v>
      </c>
      <c r="O59" s="122">
        <f t="shared" si="16"/>
        <v>16971</v>
      </c>
      <c r="P59" s="122">
        <f t="shared" si="16"/>
        <v>15153</v>
      </c>
      <c r="Q59" s="122">
        <f t="shared" si="16"/>
        <v>15153</v>
      </c>
      <c r="R59" s="122">
        <f t="shared" si="16"/>
        <v>15407</v>
      </c>
      <c r="S59" s="122">
        <f t="shared" si="16"/>
        <v>15271</v>
      </c>
      <c r="T59" s="122">
        <f t="shared" si="16"/>
        <v>15271</v>
      </c>
      <c r="U59" s="122">
        <f t="shared" si="16"/>
        <v>13969</v>
      </c>
      <c r="V59" s="122">
        <f t="shared" si="16"/>
        <v>13969</v>
      </c>
      <c r="W59" s="122">
        <f t="shared" si="16"/>
        <v>13694</v>
      </c>
      <c r="X59" s="122">
        <f t="shared" si="16"/>
        <v>12811</v>
      </c>
      <c r="Y59" s="122">
        <f t="shared" si="16"/>
        <v>14755</v>
      </c>
      <c r="Z59" s="122">
        <f t="shared" si="16"/>
        <v>12784</v>
      </c>
      <c r="AA59" s="122">
        <f t="shared" si="16"/>
        <v>12784</v>
      </c>
      <c r="AB59" s="122">
        <f t="shared" si="16"/>
        <v>12698</v>
      </c>
      <c r="AC59" s="122">
        <f t="shared" si="16"/>
        <v>12094</v>
      </c>
      <c r="AD59" s="122">
        <f t="shared" si="16"/>
        <v>13967</v>
      </c>
      <c r="AE59" s="122">
        <f t="shared" si="16"/>
        <v>12211</v>
      </c>
      <c r="AF59" s="122">
        <f t="shared" si="16"/>
        <v>12211</v>
      </c>
      <c r="AG59" s="123"/>
      <c r="AH59" s="123"/>
      <c r="AI59" s="123"/>
      <c r="AJ59" s="123"/>
      <c r="AK59" s="123"/>
    </row>
    <row r="60" spans="1:37" s="67" customFormat="1">
      <c r="A60" s="12"/>
      <c r="B60" s="43"/>
      <c r="C60" s="51"/>
      <c r="D60" s="51"/>
      <c r="E60" s="51"/>
      <c r="F60" s="51"/>
      <c r="G60" s="80"/>
      <c r="H60" s="51"/>
      <c r="I60" s="51"/>
      <c r="J60" s="51"/>
      <c r="K60" s="51"/>
      <c r="L60" s="51"/>
      <c r="M60" s="51"/>
      <c r="N60" s="51"/>
      <c r="O60" s="51"/>
      <c r="P60" s="51"/>
      <c r="Q60" s="51"/>
      <c r="R60" s="51"/>
      <c r="S60" s="51"/>
      <c r="T60" s="51"/>
      <c r="U60" s="51"/>
      <c r="V60" s="51"/>
      <c r="W60" s="51"/>
      <c r="X60" s="51"/>
      <c r="Y60" s="51"/>
      <c r="Z60" s="51"/>
      <c r="AA60" s="51"/>
      <c r="AB60" s="51"/>
      <c r="AC60" s="51"/>
      <c r="AD60" s="51"/>
      <c r="AE60" s="51"/>
      <c r="AF60" s="78"/>
      <c r="AG60" s="68"/>
      <c r="AH60" s="68"/>
      <c r="AI60" s="68"/>
      <c r="AJ60" s="68"/>
      <c r="AK60" s="68"/>
    </row>
    <row r="61" spans="1:37" s="67" customFormat="1">
      <c r="A61" s="12" t="s">
        <v>326</v>
      </c>
      <c r="B61" s="39"/>
      <c r="C61" s="51">
        <v>5821</v>
      </c>
      <c r="D61" s="51">
        <v>5916</v>
      </c>
      <c r="E61" s="51">
        <v>5667</v>
      </c>
      <c r="F61" s="51">
        <v>3</v>
      </c>
      <c r="G61" s="51">
        <f t="shared" ref="G61:G66" si="17">F61</f>
        <v>3</v>
      </c>
      <c r="H61" s="51">
        <v>3</v>
      </c>
      <c r="I61" s="51">
        <v>3</v>
      </c>
      <c r="J61" s="51">
        <v>3</v>
      </c>
      <c r="K61" s="51">
        <v>3</v>
      </c>
      <c r="L61" s="51">
        <f t="shared" ref="L61:L66" si="18">K61</f>
        <v>3</v>
      </c>
      <c r="M61" s="51">
        <v>3</v>
      </c>
      <c r="N61" s="51">
        <v>3</v>
      </c>
      <c r="O61" s="51">
        <v>3</v>
      </c>
      <c r="P61" s="51">
        <v>3</v>
      </c>
      <c r="Q61" s="51">
        <f t="shared" ref="Q61:Q66" si="19">P61</f>
        <v>3</v>
      </c>
      <c r="R61" s="51">
        <v>3</v>
      </c>
      <c r="S61" s="51">
        <v>3</v>
      </c>
      <c r="T61" s="51">
        <v>3</v>
      </c>
      <c r="U61" s="51">
        <v>3</v>
      </c>
      <c r="V61" s="51">
        <f t="shared" ref="V61:V66" si="20">U61</f>
        <v>3</v>
      </c>
      <c r="W61" s="51">
        <v>3</v>
      </c>
      <c r="X61" s="51">
        <v>3</v>
      </c>
      <c r="Y61" s="51">
        <v>3</v>
      </c>
      <c r="Z61" s="51">
        <v>3</v>
      </c>
      <c r="AA61" s="51">
        <f t="shared" ref="AA61:AA66" si="21">Z61</f>
        <v>3</v>
      </c>
      <c r="AB61" s="51">
        <v>3</v>
      </c>
      <c r="AC61" s="51">
        <v>3</v>
      </c>
      <c r="AD61" s="51">
        <v>3</v>
      </c>
      <c r="AE61" s="51">
        <v>3</v>
      </c>
      <c r="AF61" s="78">
        <f t="shared" ref="AF61:AF66" si="22">AE61</f>
        <v>3</v>
      </c>
      <c r="AG61" s="68"/>
      <c r="AH61" s="68"/>
      <c r="AI61" s="68"/>
      <c r="AJ61" s="68"/>
      <c r="AK61" s="68"/>
    </row>
    <row r="62" spans="1:37" s="67" customFormat="1">
      <c r="A62" s="12" t="s">
        <v>327</v>
      </c>
      <c r="B62" s="12"/>
      <c r="C62" s="52" t="s">
        <v>47</v>
      </c>
      <c r="D62" s="52" t="s">
        <v>47</v>
      </c>
      <c r="E62" s="52" t="s">
        <v>47</v>
      </c>
      <c r="F62" s="52">
        <v>652</v>
      </c>
      <c r="G62" s="51">
        <f t="shared" si="17"/>
        <v>652</v>
      </c>
      <c r="H62" s="52">
        <v>606</v>
      </c>
      <c r="I62" s="52">
        <v>617</v>
      </c>
      <c r="J62" s="52">
        <v>626</v>
      </c>
      <c r="K62" s="52">
        <v>621</v>
      </c>
      <c r="L62" s="51">
        <f t="shared" si="18"/>
        <v>621</v>
      </c>
      <c r="M62" s="52">
        <v>565</v>
      </c>
      <c r="N62" s="52">
        <v>568</v>
      </c>
      <c r="O62" s="52">
        <v>575</v>
      </c>
      <c r="P62" s="52">
        <v>571</v>
      </c>
      <c r="Q62" s="51">
        <f t="shared" si="19"/>
        <v>571</v>
      </c>
      <c r="R62" s="52">
        <v>558</v>
      </c>
      <c r="S62" s="52">
        <v>498</v>
      </c>
      <c r="T62" s="52">
        <v>507</v>
      </c>
      <c r="U62" s="52">
        <v>517</v>
      </c>
      <c r="V62" s="51">
        <f t="shared" si="20"/>
        <v>517</v>
      </c>
      <c r="W62" s="52">
        <v>476</v>
      </c>
      <c r="X62" s="52">
        <v>450</v>
      </c>
      <c r="Y62" s="52">
        <v>463</v>
      </c>
      <c r="Z62" s="52">
        <v>467</v>
      </c>
      <c r="AA62" s="51">
        <f t="shared" si="21"/>
        <v>467</v>
      </c>
      <c r="AB62" s="52">
        <v>373</v>
      </c>
      <c r="AC62" s="52">
        <v>352</v>
      </c>
      <c r="AD62" s="52">
        <v>367</v>
      </c>
      <c r="AE62" s="52">
        <v>352</v>
      </c>
      <c r="AF62" s="78">
        <f t="shared" si="22"/>
        <v>352</v>
      </c>
      <c r="AG62" s="68"/>
      <c r="AH62" s="68"/>
      <c r="AI62" s="68"/>
      <c r="AJ62" s="68"/>
      <c r="AK62" s="68"/>
    </row>
    <row r="63" spans="1:37" s="67" customFormat="1">
      <c r="A63" s="12" t="s">
        <v>328</v>
      </c>
      <c r="B63" s="12"/>
      <c r="C63" s="52" t="s">
        <v>47</v>
      </c>
      <c r="D63" s="52" t="s">
        <v>47</v>
      </c>
      <c r="E63" s="52" t="s">
        <v>47</v>
      </c>
      <c r="F63" s="52">
        <v>8050</v>
      </c>
      <c r="G63" s="51">
        <f t="shared" si="17"/>
        <v>8050</v>
      </c>
      <c r="H63" s="52">
        <v>7911</v>
      </c>
      <c r="I63" s="52">
        <v>7883</v>
      </c>
      <c r="J63" s="52">
        <v>7649</v>
      </c>
      <c r="K63" s="52">
        <v>7989</v>
      </c>
      <c r="L63" s="51">
        <f t="shared" si="18"/>
        <v>7989</v>
      </c>
      <c r="M63" s="52">
        <v>4291</v>
      </c>
      <c r="N63" s="52">
        <v>3860</v>
      </c>
      <c r="O63" s="52">
        <v>3769</v>
      </c>
      <c r="P63" s="52">
        <v>3928</v>
      </c>
      <c r="Q63" s="51">
        <f t="shared" si="19"/>
        <v>3928</v>
      </c>
      <c r="R63" s="52">
        <v>4031</v>
      </c>
      <c r="S63" s="52">
        <v>4376</v>
      </c>
      <c r="T63" s="52">
        <v>4523</v>
      </c>
      <c r="U63" s="52">
        <v>5268</v>
      </c>
      <c r="V63" s="51">
        <f t="shared" si="20"/>
        <v>5268</v>
      </c>
      <c r="W63" s="52">
        <v>5509</v>
      </c>
      <c r="X63" s="52">
        <v>5742</v>
      </c>
      <c r="Y63" s="52">
        <v>5764</v>
      </c>
      <c r="Z63" s="52">
        <v>6268</v>
      </c>
      <c r="AA63" s="51">
        <f t="shared" si="21"/>
        <v>6268</v>
      </c>
      <c r="AB63" s="52">
        <v>6378</v>
      </c>
      <c r="AC63" s="52">
        <v>6310</v>
      </c>
      <c r="AD63" s="52">
        <v>6261</v>
      </c>
      <c r="AE63" s="52">
        <v>6088</v>
      </c>
      <c r="AF63" s="78">
        <f t="shared" si="22"/>
        <v>6088</v>
      </c>
      <c r="AG63" s="68"/>
      <c r="AH63" s="68"/>
      <c r="AI63" s="68"/>
      <c r="AJ63" s="68"/>
      <c r="AK63" s="68"/>
    </row>
    <row r="64" spans="1:37" s="67" customFormat="1">
      <c r="A64" s="12" t="s">
        <v>329</v>
      </c>
      <c r="B64" s="12"/>
      <c r="C64" s="52" t="s">
        <v>47</v>
      </c>
      <c r="D64" s="52" t="s">
        <v>47</v>
      </c>
      <c r="E64" s="52" t="s">
        <v>47</v>
      </c>
      <c r="F64" s="52">
        <v>-1318</v>
      </c>
      <c r="G64" s="51">
        <f t="shared" si="17"/>
        <v>-1318</v>
      </c>
      <c r="H64" s="52">
        <v>-1252</v>
      </c>
      <c r="I64" s="52">
        <v>-1248</v>
      </c>
      <c r="J64" s="52">
        <v>-1244</v>
      </c>
      <c r="K64" s="52">
        <v>-1241</v>
      </c>
      <c r="L64" s="51">
        <f t="shared" si="18"/>
        <v>-1241</v>
      </c>
      <c r="M64" s="52">
        <v>-1180</v>
      </c>
      <c r="N64" s="52">
        <v>-1176</v>
      </c>
      <c r="O64" s="52">
        <v>-1175</v>
      </c>
      <c r="P64" s="52">
        <v>-1161</v>
      </c>
      <c r="Q64" s="51">
        <f t="shared" si="19"/>
        <v>-1161</v>
      </c>
      <c r="R64" s="52">
        <v>-1137</v>
      </c>
      <c r="S64" s="52">
        <v>-1066</v>
      </c>
      <c r="T64" s="52">
        <v>-1364</v>
      </c>
      <c r="U64" s="52">
        <v>-1545</v>
      </c>
      <c r="V64" s="51">
        <f t="shared" si="20"/>
        <v>-1545</v>
      </c>
      <c r="W64" s="52">
        <v>-2092</v>
      </c>
      <c r="X64" s="52">
        <v>-2049</v>
      </c>
      <c r="Y64" s="52">
        <v>-2048</v>
      </c>
      <c r="Z64" s="52">
        <v>-2038</v>
      </c>
      <c r="AA64" s="51">
        <f t="shared" si="21"/>
        <v>-2038</v>
      </c>
      <c r="AB64" s="52">
        <v>-1967</v>
      </c>
      <c r="AC64" s="52">
        <v>-1929</v>
      </c>
      <c r="AD64" s="52">
        <v>-1928</v>
      </c>
      <c r="AE64" s="52">
        <v>-1912</v>
      </c>
      <c r="AF64" s="78">
        <f t="shared" si="22"/>
        <v>-1912</v>
      </c>
      <c r="AG64" s="68"/>
      <c r="AH64" s="68"/>
      <c r="AI64" s="68"/>
      <c r="AJ64" s="68"/>
      <c r="AK64" s="68"/>
    </row>
    <row r="65" spans="1:37" s="67" customFormat="1">
      <c r="A65" s="12" t="s">
        <v>330</v>
      </c>
      <c r="B65" s="10"/>
      <c r="C65" s="79" t="s">
        <v>47</v>
      </c>
      <c r="D65" s="79" t="s">
        <v>47</v>
      </c>
      <c r="E65" s="79" t="s">
        <v>47</v>
      </c>
      <c r="F65" s="79">
        <v>-951</v>
      </c>
      <c r="G65" s="51">
        <f t="shared" si="17"/>
        <v>-951</v>
      </c>
      <c r="H65" s="79" t="s">
        <v>47</v>
      </c>
      <c r="I65" s="79" t="s">
        <v>47</v>
      </c>
      <c r="J65" s="79" t="s">
        <v>47</v>
      </c>
      <c r="K65" s="79">
        <v>-995</v>
      </c>
      <c r="L65" s="51">
        <f t="shared" si="18"/>
        <v>-995</v>
      </c>
      <c r="M65" s="79" t="s">
        <v>47</v>
      </c>
      <c r="N65" s="79" t="s">
        <v>47</v>
      </c>
      <c r="O65" s="79" t="s">
        <v>47</v>
      </c>
      <c r="P65" s="79">
        <v>-788</v>
      </c>
      <c r="Q65" s="51">
        <f t="shared" si="19"/>
        <v>-788</v>
      </c>
      <c r="R65" s="79" t="s">
        <v>47</v>
      </c>
      <c r="S65" s="79" t="s">
        <v>47</v>
      </c>
      <c r="T65" s="79" t="s">
        <v>47</v>
      </c>
      <c r="U65" s="79">
        <v>-622</v>
      </c>
      <c r="V65" s="51">
        <f t="shared" si="20"/>
        <v>-622</v>
      </c>
      <c r="W65" s="70" t="s">
        <v>47</v>
      </c>
      <c r="X65" s="70" t="s">
        <v>47</v>
      </c>
      <c r="Y65" s="70" t="s">
        <v>47</v>
      </c>
      <c r="Z65" s="70">
        <v>-618</v>
      </c>
      <c r="AA65" s="51">
        <f t="shared" si="21"/>
        <v>-618</v>
      </c>
      <c r="AB65" s="70" t="s">
        <v>47</v>
      </c>
      <c r="AC65" s="70" t="s">
        <v>47</v>
      </c>
      <c r="AD65" s="70" t="s">
        <v>47</v>
      </c>
      <c r="AE65" s="70">
        <v>-496</v>
      </c>
      <c r="AF65" s="78">
        <f t="shared" si="22"/>
        <v>-496</v>
      </c>
      <c r="AG65" s="68"/>
      <c r="AH65" s="68"/>
      <c r="AI65" s="68"/>
      <c r="AJ65" s="68"/>
      <c r="AK65" s="68"/>
    </row>
    <row r="66" spans="1:37" s="75" customFormat="1">
      <c r="A66" s="15" t="s">
        <v>331</v>
      </c>
      <c r="B66" s="30"/>
      <c r="C66" s="77">
        <f>SUM(C61:C65)</f>
        <v>5821</v>
      </c>
      <c r="D66" s="77">
        <f>SUM(D61:D65)</f>
        <v>5916</v>
      </c>
      <c r="E66" s="77">
        <f>SUM(E61:E65)</f>
        <v>5667</v>
      </c>
      <c r="F66" s="77">
        <f>SUM(F61:F65)</f>
        <v>6436</v>
      </c>
      <c r="G66" s="644">
        <f t="shared" si="17"/>
        <v>6436</v>
      </c>
      <c r="H66" s="77">
        <f>SUM(H61:H65)</f>
        <v>7268</v>
      </c>
      <c r="I66" s="77">
        <f>SUM(I61:I65)</f>
        <v>7255</v>
      </c>
      <c r="J66" s="77">
        <f>SUM(J61:J65)</f>
        <v>7034</v>
      </c>
      <c r="K66" s="77">
        <f>SUM(K61:K65)</f>
        <v>6377</v>
      </c>
      <c r="L66" s="644">
        <f t="shared" si="18"/>
        <v>6377</v>
      </c>
      <c r="M66" s="77">
        <f>SUM(M61:M65)</f>
        <v>3679</v>
      </c>
      <c r="N66" s="77">
        <f>SUM(N61:N65)</f>
        <v>3255</v>
      </c>
      <c r="O66" s="77">
        <f>SUM(O61:O65)</f>
        <v>3172</v>
      </c>
      <c r="P66" s="77">
        <f>SUM(P61:P65)</f>
        <v>2553</v>
      </c>
      <c r="Q66" s="644">
        <f t="shared" si="19"/>
        <v>2553</v>
      </c>
      <c r="R66" s="77">
        <f>SUM(R61:R65)</f>
        <v>3455</v>
      </c>
      <c r="S66" s="77">
        <f>SUM(S61:S65)</f>
        <v>3811</v>
      </c>
      <c r="T66" s="77">
        <f>SUM(T61:T65)</f>
        <v>3669</v>
      </c>
      <c r="U66" s="77">
        <f>SUM(U61:U65)</f>
        <v>3621</v>
      </c>
      <c r="V66" s="654">
        <f t="shared" si="20"/>
        <v>3621</v>
      </c>
      <c r="W66" s="77">
        <f>SUM(W61:W65)</f>
        <v>3896</v>
      </c>
      <c r="X66" s="77">
        <f>SUM(X61:X65)</f>
        <v>4146</v>
      </c>
      <c r="Y66" s="77">
        <f>SUM(Y61:Y65)</f>
        <v>4182</v>
      </c>
      <c r="Z66" s="77">
        <f>SUM(Z61:Z65)</f>
        <v>4082</v>
      </c>
      <c r="AA66" s="644">
        <f t="shared" si="21"/>
        <v>4082</v>
      </c>
      <c r="AB66" s="77">
        <f>SUM(AB61:AB65)</f>
        <v>4787</v>
      </c>
      <c r="AC66" s="77">
        <f>SUM(AC61:AC65)</f>
        <v>4736</v>
      </c>
      <c r="AD66" s="77">
        <f>SUM(AD61:AD65)</f>
        <v>4703</v>
      </c>
      <c r="AE66" s="77">
        <f>SUM(AE61:AE65)</f>
        <v>4035</v>
      </c>
      <c r="AF66" s="645">
        <f t="shared" si="22"/>
        <v>4035</v>
      </c>
      <c r="AG66" s="76"/>
      <c r="AH66" s="76"/>
      <c r="AI66" s="76"/>
      <c r="AJ66" s="76"/>
      <c r="AK66" s="76"/>
    </row>
    <row r="67" spans="1:37" s="67" customFormat="1">
      <c r="A67" s="15"/>
      <c r="B67" s="9"/>
      <c r="C67" s="70"/>
      <c r="D67" s="70"/>
      <c r="E67" s="70"/>
      <c r="F67" s="70"/>
      <c r="G67" s="53"/>
      <c r="H67" s="70"/>
      <c r="I67" s="70"/>
      <c r="J67" s="70"/>
      <c r="K67" s="70"/>
      <c r="L67" s="53"/>
      <c r="M67" s="70"/>
      <c r="N67" s="70"/>
      <c r="O67" s="70"/>
      <c r="P67" s="70"/>
      <c r="Q67" s="53"/>
      <c r="R67" s="70"/>
      <c r="S67" s="70"/>
      <c r="T67" s="70"/>
      <c r="U67" s="70"/>
      <c r="V67" s="53"/>
      <c r="W67" s="70"/>
      <c r="X67" s="70"/>
      <c r="Y67" s="70"/>
      <c r="Z67" s="70"/>
      <c r="AA67" s="53"/>
      <c r="AB67" s="70"/>
      <c r="AC67" s="70"/>
      <c r="AD67" s="70"/>
      <c r="AE67" s="70"/>
      <c r="AF67" s="74"/>
      <c r="AG67" s="68"/>
      <c r="AH67" s="68"/>
      <c r="AI67" s="68"/>
      <c r="AJ67" s="68"/>
      <c r="AK67" s="68"/>
    </row>
    <row r="68" spans="1:37" s="67" customFormat="1">
      <c r="A68" s="12" t="s">
        <v>332</v>
      </c>
      <c r="B68" s="9"/>
      <c r="C68" s="70">
        <v>-20</v>
      </c>
      <c r="D68" s="70">
        <v>-22</v>
      </c>
      <c r="E68" s="70">
        <v>-22</v>
      </c>
      <c r="F68" s="70">
        <v>0</v>
      </c>
      <c r="G68" s="51">
        <f>F68</f>
        <v>0</v>
      </c>
      <c r="H68" s="70">
        <v>0</v>
      </c>
      <c r="I68" s="70">
        <v>0</v>
      </c>
      <c r="J68" s="70">
        <v>0</v>
      </c>
      <c r="K68" s="70">
        <v>0</v>
      </c>
      <c r="L68" s="70">
        <v>0</v>
      </c>
      <c r="M68" s="70">
        <v>0</v>
      </c>
      <c r="N68" s="70">
        <v>0</v>
      </c>
      <c r="O68" s="70">
        <v>0</v>
      </c>
      <c r="P68" s="70">
        <v>0</v>
      </c>
      <c r="Q68" s="70">
        <v>0</v>
      </c>
      <c r="R68" s="70">
        <v>0</v>
      </c>
      <c r="S68" s="70">
        <v>0</v>
      </c>
      <c r="T68" s="70">
        <v>0</v>
      </c>
      <c r="U68" s="70">
        <v>0</v>
      </c>
      <c r="V68" s="70">
        <v>0</v>
      </c>
      <c r="W68" s="70">
        <v>0</v>
      </c>
      <c r="X68" s="70">
        <v>0</v>
      </c>
      <c r="Y68" s="70">
        <v>0</v>
      </c>
      <c r="Z68" s="70">
        <v>0</v>
      </c>
      <c r="AA68" s="70">
        <v>0</v>
      </c>
      <c r="AB68" s="70">
        <v>0</v>
      </c>
      <c r="AC68" s="70">
        <v>0</v>
      </c>
      <c r="AD68" s="70">
        <v>0</v>
      </c>
      <c r="AE68" s="70">
        <v>0</v>
      </c>
      <c r="AF68" s="70">
        <v>0</v>
      </c>
      <c r="AG68" s="68"/>
      <c r="AH68" s="68"/>
      <c r="AI68" s="68"/>
      <c r="AJ68" s="68"/>
      <c r="AK68" s="68"/>
    </row>
    <row r="69" spans="1:37" s="67" customFormat="1">
      <c r="A69" s="15"/>
      <c r="B69" s="9"/>
      <c r="C69" s="70"/>
      <c r="D69" s="70"/>
      <c r="E69" s="70"/>
      <c r="F69" s="70"/>
      <c r="G69" s="73"/>
      <c r="H69" s="70"/>
      <c r="I69" s="70"/>
      <c r="J69" s="70"/>
      <c r="K69" s="70"/>
      <c r="L69" s="73"/>
      <c r="M69" s="70"/>
      <c r="N69" s="70"/>
      <c r="O69" s="70"/>
      <c r="P69" s="70"/>
      <c r="Q69" s="73"/>
      <c r="R69" s="70"/>
      <c r="S69" s="70"/>
      <c r="T69" s="70"/>
      <c r="U69" s="70"/>
      <c r="V69" s="73"/>
      <c r="W69" s="70"/>
      <c r="X69" s="70"/>
      <c r="Y69" s="70"/>
      <c r="Z69" s="70"/>
      <c r="AA69" s="73"/>
      <c r="AB69" s="70"/>
      <c r="AC69" s="70"/>
      <c r="AD69" s="70"/>
      <c r="AE69" s="70"/>
      <c r="AF69" s="72"/>
      <c r="AG69" s="68"/>
      <c r="AH69" s="68"/>
      <c r="AI69" s="68"/>
      <c r="AJ69" s="68"/>
      <c r="AK69" s="68"/>
    </row>
    <row r="70" spans="1:37" s="124" customFormat="1" ht="13.15">
      <c r="A70" s="121" t="s">
        <v>333</v>
      </c>
      <c r="B70" s="125"/>
      <c r="C70" s="126">
        <f t="shared" ref="C70:AF70" si="23">C66+C68</f>
        <v>5801</v>
      </c>
      <c r="D70" s="126">
        <f t="shared" si="23"/>
        <v>5894</v>
      </c>
      <c r="E70" s="126">
        <f t="shared" si="23"/>
        <v>5645</v>
      </c>
      <c r="F70" s="126">
        <f t="shared" si="23"/>
        <v>6436</v>
      </c>
      <c r="G70" s="126">
        <f t="shared" si="23"/>
        <v>6436</v>
      </c>
      <c r="H70" s="126">
        <f t="shared" si="23"/>
        <v>7268</v>
      </c>
      <c r="I70" s="126">
        <f t="shared" si="23"/>
        <v>7255</v>
      </c>
      <c r="J70" s="126">
        <f t="shared" si="23"/>
        <v>7034</v>
      </c>
      <c r="K70" s="126">
        <f t="shared" si="23"/>
        <v>6377</v>
      </c>
      <c r="L70" s="126">
        <f t="shared" si="23"/>
        <v>6377</v>
      </c>
      <c r="M70" s="126">
        <f t="shared" si="23"/>
        <v>3679</v>
      </c>
      <c r="N70" s="126">
        <f t="shared" si="23"/>
        <v>3255</v>
      </c>
      <c r="O70" s="126">
        <f t="shared" si="23"/>
        <v>3172</v>
      </c>
      <c r="P70" s="126">
        <f t="shared" si="23"/>
        <v>2553</v>
      </c>
      <c r="Q70" s="126">
        <f t="shared" si="23"/>
        <v>2553</v>
      </c>
      <c r="R70" s="126">
        <f t="shared" si="23"/>
        <v>3455</v>
      </c>
      <c r="S70" s="126">
        <f t="shared" si="23"/>
        <v>3811</v>
      </c>
      <c r="T70" s="126">
        <f t="shared" si="23"/>
        <v>3669</v>
      </c>
      <c r="U70" s="126">
        <f t="shared" si="23"/>
        <v>3621</v>
      </c>
      <c r="V70" s="126">
        <f t="shared" si="23"/>
        <v>3621</v>
      </c>
      <c r="W70" s="126">
        <f t="shared" si="23"/>
        <v>3896</v>
      </c>
      <c r="X70" s="126">
        <f t="shared" si="23"/>
        <v>4146</v>
      </c>
      <c r="Y70" s="126">
        <f t="shared" si="23"/>
        <v>4182</v>
      </c>
      <c r="Z70" s="126">
        <f t="shared" si="23"/>
        <v>4082</v>
      </c>
      <c r="AA70" s="126">
        <f t="shared" si="23"/>
        <v>4082</v>
      </c>
      <c r="AB70" s="126">
        <f t="shared" si="23"/>
        <v>4787</v>
      </c>
      <c r="AC70" s="126">
        <f t="shared" si="23"/>
        <v>4736</v>
      </c>
      <c r="AD70" s="126">
        <f t="shared" si="23"/>
        <v>4703</v>
      </c>
      <c r="AE70" s="126">
        <f t="shared" si="23"/>
        <v>4035</v>
      </c>
      <c r="AF70" s="126">
        <f t="shared" si="23"/>
        <v>4035</v>
      </c>
      <c r="AG70" s="123"/>
      <c r="AH70" s="123"/>
      <c r="AI70" s="123"/>
      <c r="AJ70" s="123"/>
      <c r="AK70" s="123"/>
    </row>
    <row r="71" spans="1:37" s="67" customFormat="1">
      <c r="A71" s="12"/>
      <c r="B71" s="9"/>
      <c r="C71" s="70"/>
      <c r="D71" s="70"/>
      <c r="E71" s="70"/>
      <c r="F71" s="70"/>
      <c r="G71" s="71"/>
      <c r="H71" s="70"/>
      <c r="I71" s="70"/>
      <c r="J71" s="70"/>
      <c r="K71" s="70"/>
      <c r="L71" s="71"/>
      <c r="M71" s="70"/>
      <c r="N71" s="70"/>
      <c r="O71" s="70"/>
      <c r="P71" s="70"/>
      <c r="Q71" s="71"/>
      <c r="R71" s="70"/>
      <c r="S71" s="70"/>
      <c r="T71" s="70"/>
      <c r="U71" s="70"/>
      <c r="V71" s="71"/>
      <c r="W71" s="70"/>
      <c r="X71" s="70"/>
      <c r="Y71" s="70"/>
      <c r="Z71" s="70"/>
      <c r="AA71" s="71"/>
      <c r="AB71" s="70"/>
      <c r="AC71" s="70"/>
      <c r="AD71" s="70"/>
      <c r="AE71" s="70"/>
      <c r="AF71" s="69"/>
      <c r="AG71" s="68"/>
      <c r="AH71" s="68"/>
      <c r="AI71" s="68"/>
      <c r="AJ71" s="68"/>
      <c r="AK71" s="68"/>
    </row>
    <row r="72" spans="1:37" s="124" customFormat="1" ht="13.15">
      <c r="A72" s="121" t="s">
        <v>334</v>
      </c>
      <c r="B72" s="125"/>
      <c r="C72" s="126">
        <f t="shared" ref="C72:AF72" si="24">C59+C70</f>
        <v>19568</v>
      </c>
      <c r="D72" s="126">
        <f t="shared" si="24"/>
        <v>18668</v>
      </c>
      <c r="E72" s="126">
        <f t="shared" si="24"/>
        <v>20361</v>
      </c>
      <c r="F72" s="126">
        <f t="shared" si="24"/>
        <v>19194</v>
      </c>
      <c r="G72" s="126">
        <f t="shared" si="24"/>
        <v>19194</v>
      </c>
      <c r="H72" s="126">
        <f t="shared" si="24"/>
        <v>22241</v>
      </c>
      <c r="I72" s="126">
        <f t="shared" si="24"/>
        <v>21681</v>
      </c>
      <c r="J72" s="126">
        <f t="shared" si="24"/>
        <v>23524</v>
      </c>
      <c r="K72" s="126">
        <f t="shared" si="24"/>
        <v>21172</v>
      </c>
      <c r="L72" s="126">
        <f t="shared" si="24"/>
        <v>21172</v>
      </c>
      <c r="M72" s="126">
        <f t="shared" si="24"/>
        <v>19563</v>
      </c>
      <c r="N72" s="126">
        <f t="shared" si="24"/>
        <v>18545</v>
      </c>
      <c r="O72" s="126">
        <f t="shared" si="24"/>
        <v>20143</v>
      </c>
      <c r="P72" s="126">
        <f t="shared" si="24"/>
        <v>17706</v>
      </c>
      <c r="Q72" s="126">
        <f t="shared" si="24"/>
        <v>17706</v>
      </c>
      <c r="R72" s="126">
        <f t="shared" si="24"/>
        <v>18862</v>
      </c>
      <c r="S72" s="126">
        <f t="shared" si="24"/>
        <v>19082</v>
      </c>
      <c r="T72" s="126">
        <f t="shared" si="24"/>
        <v>18940</v>
      </c>
      <c r="U72" s="126">
        <f t="shared" si="24"/>
        <v>17590</v>
      </c>
      <c r="V72" s="126">
        <f t="shared" si="24"/>
        <v>17590</v>
      </c>
      <c r="W72" s="126">
        <f t="shared" si="24"/>
        <v>17590</v>
      </c>
      <c r="X72" s="126">
        <f t="shared" si="24"/>
        <v>16957</v>
      </c>
      <c r="Y72" s="126">
        <f t="shared" si="24"/>
        <v>18937</v>
      </c>
      <c r="Z72" s="126">
        <f t="shared" si="24"/>
        <v>16866</v>
      </c>
      <c r="AA72" s="126">
        <f t="shared" si="24"/>
        <v>16866</v>
      </c>
      <c r="AB72" s="126">
        <f t="shared" si="24"/>
        <v>17485</v>
      </c>
      <c r="AC72" s="126">
        <f t="shared" si="24"/>
        <v>16830</v>
      </c>
      <c r="AD72" s="126">
        <f t="shared" si="24"/>
        <v>18670</v>
      </c>
      <c r="AE72" s="126">
        <f t="shared" si="24"/>
        <v>16246</v>
      </c>
      <c r="AF72" s="126">
        <f t="shared" si="24"/>
        <v>16246</v>
      </c>
      <c r="AG72" s="123"/>
      <c r="AH72" s="123"/>
      <c r="AI72" s="123"/>
      <c r="AJ72" s="123"/>
      <c r="AK72" s="123"/>
    </row>
    <row r="75" spans="1:37">
      <c r="A75" s="9" t="s">
        <v>335</v>
      </c>
      <c r="C75" s="34" t="str">
        <f t="shared" ref="C75:AF75" si="25">IF(C39=C72, "True", C39-C72)</f>
        <v>True</v>
      </c>
      <c r="D75" s="34" t="str">
        <f t="shared" si="25"/>
        <v>True</v>
      </c>
      <c r="E75" s="34" t="str">
        <f t="shared" si="25"/>
        <v>True</v>
      </c>
      <c r="F75" s="34" t="str">
        <f t="shared" si="25"/>
        <v>True</v>
      </c>
      <c r="G75" s="34" t="str">
        <f t="shared" si="25"/>
        <v>True</v>
      </c>
      <c r="H75" s="34">
        <f t="shared" si="25"/>
        <v>-945</v>
      </c>
      <c r="I75" s="34">
        <f t="shared" si="25"/>
        <v>-940</v>
      </c>
      <c r="J75" s="34">
        <f t="shared" si="25"/>
        <v>-977</v>
      </c>
      <c r="K75" s="34" t="str">
        <f t="shared" si="25"/>
        <v>True</v>
      </c>
      <c r="L75" s="34" t="str">
        <f t="shared" si="25"/>
        <v>True</v>
      </c>
      <c r="M75" s="34">
        <f t="shared" si="25"/>
        <v>-982</v>
      </c>
      <c r="N75" s="34">
        <f t="shared" si="25"/>
        <v>-931</v>
      </c>
      <c r="O75" s="34">
        <f t="shared" si="25"/>
        <v>-929</v>
      </c>
      <c r="P75" s="34" t="str">
        <f t="shared" si="25"/>
        <v>True</v>
      </c>
      <c r="Q75" s="34" t="str">
        <f t="shared" si="25"/>
        <v>True</v>
      </c>
      <c r="R75" s="34">
        <f t="shared" si="25"/>
        <v>-780</v>
      </c>
      <c r="S75" s="34">
        <f t="shared" si="25"/>
        <v>-665</v>
      </c>
      <c r="T75" s="34">
        <f t="shared" si="25"/>
        <v>-661</v>
      </c>
      <c r="U75" s="34" t="str">
        <f t="shared" si="25"/>
        <v>True</v>
      </c>
      <c r="V75" s="34" t="str">
        <f t="shared" si="25"/>
        <v>True</v>
      </c>
      <c r="W75" s="34">
        <f t="shared" si="25"/>
        <v>-618</v>
      </c>
      <c r="X75" s="34">
        <f t="shared" si="25"/>
        <v>-615</v>
      </c>
      <c r="Y75" s="34">
        <f t="shared" si="25"/>
        <v>-707</v>
      </c>
      <c r="Z75" s="34" t="str">
        <f t="shared" si="25"/>
        <v>True</v>
      </c>
      <c r="AA75" s="34" t="str">
        <f t="shared" si="25"/>
        <v>True</v>
      </c>
      <c r="AB75" s="34">
        <f t="shared" si="25"/>
        <v>-617</v>
      </c>
      <c r="AC75" s="34">
        <f t="shared" si="25"/>
        <v>-526</v>
      </c>
      <c r="AD75" s="34">
        <f t="shared" si="25"/>
        <v>-559</v>
      </c>
      <c r="AE75" s="34" t="str">
        <f t="shared" si="25"/>
        <v>True</v>
      </c>
      <c r="AF75" s="66" t="str">
        <f t="shared" si="25"/>
        <v>True</v>
      </c>
    </row>
  </sheetData>
  <pageMargins left="0.2" right="0.2" top="0.5" bottom="0.5" header="0.5" footer="0.5"/>
  <pageSetup fitToWidth="0" fitToHeight="0"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4E5ED-1ACD-453A-8E93-0759BD442064}">
  <sheetPr codeName="Sheet12">
    <tabColor rgb="FFFF0000"/>
  </sheetPr>
  <dimension ref="A1:AF126"/>
  <sheetViews>
    <sheetView topLeftCell="A12" zoomScale="90" workbookViewId="0">
      <selection activeCell="C28" sqref="C28"/>
    </sheetView>
  </sheetViews>
  <sheetFormatPr defaultColWidth="11" defaultRowHeight="15.75"/>
  <cols>
    <col min="1" max="1" width="18.6875" customWidth="1"/>
    <col min="2" max="2" width="22.6875" customWidth="1"/>
    <col min="6" max="6" width="15.5" bestFit="1" customWidth="1"/>
    <col min="11" max="11" width="36" bestFit="1" customWidth="1"/>
    <col min="13" max="13" width="19.1875" customWidth="1"/>
  </cols>
  <sheetData>
    <row r="1" spans="1:26">
      <c r="A1" s="363" t="s">
        <v>558</v>
      </c>
      <c r="B1" s="364"/>
      <c r="S1" s="387"/>
      <c r="T1" s="387"/>
      <c r="U1" s="387"/>
      <c r="V1" s="387"/>
      <c r="W1" s="387"/>
      <c r="X1" s="387"/>
      <c r="Y1" s="387"/>
      <c r="Z1" s="387"/>
    </row>
    <row r="2" spans="1:26">
      <c r="A2" s="365"/>
      <c r="B2" s="365"/>
      <c r="L2" s="387" t="s">
        <v>559</v>
      </c>
      <c r="M2" s="387"/>
      <c r="N2" s="387"/>
      <c r="O2" s="387"/>
      <c r="P2" s="387"/>
      <c r="Q2" s="387"/>
      <c r="R2" s="387"/>
      <c r="S2" s="387"/>
      <c r="T2" s="387"/>
      <c r="U2" s="387"/>
      <c r="V2" s="387"/>
      <c r="W2" s="387"/>
      <c r="X2" s="387"/>
      <c r="Y2" s="387"/>
      <c r="Z2" s="387"/>
    </row>
    <row r="3" spans="1:26">
      <c r="A3" s="366" t="s">
        <v>560</v>
      </c>
      <c r="B3" s="496">
        <v>27771</v>
      </c>
      <c r="L3" s="387" t="s">
        <v>561</v>
      </c>
      <c r="M3" s="387"/>
      <c r="N3" s="387"/>
      <c r="O3" s="387" t="s">
        <v>562</v>
      </c>
      <c r="P3" s="387"/>
      <c r="Q3" s="387"/>
      <c r="R3" s="387"/>
      <c r="S3" s="387"/>
      <c r="T3" s="387"/>
      <c r="U3" s="387"/>
      <c r="V3" s="387"/>
      <c r="W3" s="387"/>
      <c r="X3" s="387"/>
      <c r="Y3" s="387"/>
      <c r="Z3" s="387"/>
    </row>
    <row r="4" spans="1:26">
      <c r="A4" s="366" t="s">
        <v>563</v>
      </c>
      <c r="B4" s="367">
        <v>0.2437</v>
      </c>
      <c r="L4" s="387"/>
      <c r="M4" s="387"/>
      <c r="N4" s="387"/>
      <c r="O4" s="387"/>
      <c r="P4" s="387"/>
      <c r="Q4" s="387"/>
      <c r="R4" s="387"/>
      <c r="S4" s="387"/>
      <c r="T4" s="387"/>
      <c r="U4" s="387"/>
      <c r="V4" s="387"/>
      <c r="W4" s="387"/>
      <c r="X4" s="387"/>
      <c r="Y4" s="387"/>
      <c r="Z4" s="387"/>
    </row>
    <row r="5" spans="1:26">
      <c r="A5" s="366" t="s">
        <v>564</v>
      </c>
      <c r="B5" s="368">
        <v>2779</v>
      </c>
      <c r="L5" s="387"/>
      <c r="M5" s="387"/>
      <c r="N5" s="387"/>
      <c r="O5" s="387"/>
      <c r="P5" s="387"/>
      <c r="Q5" s="387"/>
      <c r="R5" s="387"/>
      <c r="S5" s="387"/>
      <c r="T5" s="387"/>
      <c r="U5" s="387"/>
      <c r="V5" s="387"/>
      <c r="W5" s="387"/>
      <c r="X5" s="387"/>
      <c r="Y5" s="387"/>
      <c r="Z5" s="387"/>
    </row>
    <row r="6" spans="1:26">
      <c r="A6" s="366" t="s">
        <v>565</v>
      </c>
      <c r="B6" s="369">
        <v>3168.8</v>
      </c>
      <c r="L6" s="387"/>
      <c r="M6" s="387"/>
      <c r="N6" s="387"/>
      <c r="O6" s="387"/>
      <c r="P6" s="387"/>
      <c r="Q6" s="387"/>
      <c r="R6" s="387"/>
      <c r="S6" s="387"/>
      <c r="T6" s="387"/>
      <c r="U6" s="387"/>
      <c r="V6" s="387"/>
      <c r="W6" s="387"/>
      <c r="X6" s="387"/>
      <c r="Y6" s="387"/>
      <c r="Z6" s="387"/>
    </row>
    <row r="7" spans="1:26">
      <c r="A7" s="366" t="s">
        <v>566</v>
      </c>
      <c r="B7" s="367">
        <v>6.0999999999999999E-2</v>
      </c>
      <c r="L7" s="387"/>
      <c r="M7" s="387"/>
      <c r="N7" s="387"/>
      <c r="O7" s="387"/>
      <c r="P7" s="387"/>
      <c r="Q7" s="387"/>
      <c r="R7" s="387"/>
      <c r="S7" s="387"/>
      <c r="T7" s="387"/>
      <c r="U7" s="387"/>
      <c r="V7" s="387"/>
      <c r="W7" s="387"/>
      <c r="X7" s="387"/>
      <c r="Y7" s="387"/>
      <c r="Z7" s="387"/>
    </row>
    <row r="8" spans="1:26">
      <c r="A8" s="366" t="s">
        <v>567</v>
      </c>
      <c r="B8" s="370">
        <v>1.29</v>
      </c>
      <c r="L8" s="387"/>
      <c r="M8" s="387"/>
      <c r="N8" s="387"/>
      <c r="O8" s="387"/>
      <c r="P8" s="387"/>
      <c r="Q8" s="387"/>
      <c r="R8" s="387"/>
      <c r="S8" s="387"/>
      <c r="T8" s="387"/>
      <c r="U8" s="387"/>
      <c r="V8" s="387"/>
      <c r="W8" s="387"/>
      <c r="X8" s="387"/>
      <c r="Y8" s="387"/>
      <c r="Z8" s="387"/>
    </row>
    <row r="9" spans="1:26">
      <c r="A9" s="366"/>
      <c r="B9" s="366"/>
      <c r="L9" s="387"/>
      <c r="M9" s="387"/>
      <c r="N9" s="387"/>
      <c r="O9" s="387"/>
      <c r="P9" s="387"/>
      <c r="Q9" s="387"/>
      <c r="R9" s="387"/>
      <c r="S9" s="387"/>
      <c r="T9" s="387"/>
      <c r="U9" s="387"/>
      <c r="V9" s="387"/>
      <c r="W9" s="387"/>
      <c r="X9" s="387"/>
      <c r="Y9" s="387"/>
      <c r="Z9" s="387"/>
    </row>
    <row r="10" spans="1:26">
      <c r="A10" s="366" t="s">
        <v>568</v>
      </c>
      <c r="B10" s="371">
        <v>4.1200000000000001E-2</v>
      </c>
      <c r="L10" s="387"/>
      <c r="M10" s="387"/>
      <c r="N10" s="387"/>
      <c r="O10" s="387"/>
      <c r="P10" s="387"/>
      <c r="Q10" s="387"/>
      <c r="R10" s="387"/>
      <c r="S10" s="387"/>
      <c r="T10" s="387"/>
      <c r="U10" s="387"/>
      <c r="V10" s="387"/>
      <c r="W10" s="387"/>
      <c r="X10" s="387"/>
      <c r="Y10" s="387"/>
      <c r="Z10" s="387"/>
    </row>
    <row r="11" spans="1:26">
      <c r="A11" s="366" t="s">
        <v>569</v>
      </c>
      <c r="B11" s="371">
        <v>3.9600000000000003E-2</v>
      </c>
      <c r="L11" s="387"/>
      <c r="M11" s="387"/>
      <c r="N11" s="387"/>
      <c r="O11" s="387"/>
      <c r="P11" s="387"/>
      <c r="Q11" s="387"/>
      <c r="R11" s="387"/>
      <c r="S11" s="387"/>
      <c r="T11" s="387"/>
      <c r="U11" s="387"/>
      <c r="V11" s="387"/>
      <c r="W11" s="387"/>
      <c r="X11" s="387"/>
      <c r="Y11" s="387"/>
      <c r="Z11" s="387"/>
    </row>
    <row r="12" spans="1:26">
      <c r="A12" s="372" t="s">
        <v>570</v>
      </c>
      <c r="B12" s="373">
        <f>B11+B8*B10</f>
        <v>9.2747999999999997E-2</v>
      </c>
      <c r="L12" s="387"/>
      <c r="M12" s="387"/>
      <c r="N12" s="387"/>
      <c r="O12" s="387"/>
      <c r="P12" s="387"/>
      <c r="Q12" s="387"/>
      <c r="R12" s="387"/>
      <c r="S12" s="387"/>
      <c r="T12" s="387"/>
      <c r="U12" s="387"/>
      <c r="V12" s="387"/>
      <c r="W12" s="387"/>
      <c r="X12" s="387"/>
      <c r="Y12" s="387"/>
      <c r="Z12" s="387"/>
    </row>
    <row r="13" spans="1:26">
      <c r="A13" s="366"/>
      <c r="B13" s="366"/>
      <c r="D13" t="s">
        <v>571</v>
      </c>
      <c r="L13" s="387"/>
      <c r="M13" s="387"/>
      <c r="N13" s="387"/>
      <c r="O13" s="387"/>
      <c r="P13" s="387"/>
      <c r="Q13" s="387"/>
      <c r="R13" s="387"/>
      <c r="S13" s="387"/>
      <c r="T13" s="387"/>
      <c r="U13" s="387"/>
      <c r="V13" s="387"/>
      <c r="W13" s="387"/>
      <c r="X13" s="387"/>
      <c r="Y13" s="387"/>
      <c r="Z13" s="387"/>
    </row>
    <row r="14" spans="1:26">
      <c r="A14" s="366" t="s">
        <v>572</v>
      </c>
      <c r="B14" s="371">
        <v>6.4299999999999996E-2</v>
      </c>
      <c r="D14" t="s">
        <v>573</v>
      </c>
      <c r="L14" s="387"/>
      <c r="M14" s="387"/>
      <c r="N14" s="387"/>
      <c r="O14" s="387"/>
      <c r="P14" s="387"/>
      <c r="Q14" s="387"/>
      <c r="R14" s="387"/>
      <c r="S14" s="387"/>
      <c r="T14" s="387"/>
      <c r="U14" s="387"/>
      <c r="V14" s="387"/>
      <c r="W14" s="387"/>
      <c r="X14" s="387"/>
      <c r="Y14" s="387"/>
      <c r="Z14" s="387"/>
    </row>
    <row r="15" spans="1:26">
      <c r="A15" s="372" t="s">
        <v>574</v>
      </c>
      <c r="B15" s="371">
        <f>B14*(1-B4)</f>
        <v>4.8630089999999994E-2</v>
      </c>
      <c r="L15" s="387"/>
      <c r="M15" s="387"/>
      <c r="N15" s="387"/>
      <c r="O15" s="387"/>
      <c r="P15" s="387"/>
      <c r="Q15" s="387"/>
      <c r="R15" s="387"/>
      <c r="S15" s="387"/>
      <c r="T15" s="387"/>
      <c r="U15" s="387"/>
      <c r="V15" s="387"/>
      <c r="W15" s="387"/>
      <c r="X15" s="387"/>
      <c r="Y15" s="387"/>
      <c r="Z15" s="387"/>
    </row>
    <row r="16" spans="1:26">
      <c r="A16" s="366"/>
      <c r="B16" s="366"/>
      <c r="L16" s="387"/>
      <c r="M16" s="387"/>
      <c r="N16" s="387"/>
      <c r="O16" s="387"/>
      <c r="P16" s="387"/>
      <c r="Q16" s="387"/>
      <c r="R16" s="387"/>
      <c r="S16" s="387"/>
      <c r="T16" s="387"/>
      <c r="U16" s="387"/>
      <c r="V16" s="387"/>
      <c r="W16" s="387"/>
      <c r="X16" s="387"/>
      <c r="Y16" s="387"/>
      <c r="Z16" s="387"/>
    </row>
    <row r="17" spans="1:32">
      <c r="A17" s="374" t="s">
        <v>575</v>
      </c>
      <c r="B17" s="375">
        <f>B12*(0.53)+B14*(0.47)</f>
        <v>7.9377439999999994E-2</v>
      </c>
    </row>
    <row r="18" spans="1:32">
      <c r="AF18" t="e">
        <v>#NAME?</v>
      </c>
    </row>
    <row r="20" spans="1:32">
      <c r="A20" s="363" t="s">
        <v>576</v>
      </c>
      <c r="B20" s="364"/>
      <c r="C20" s="364"/>
      <c r="D20" s="364"/>
      <c r="E20" s="376"/>
      <c r="F20" s="376"/>
      <c r="G20" s="376"/>
      <c r="H20" s="376"/>
      <c r="I20" s="376"/>
      <c r="J20" s="376"/>
    </row>
    <row r="21" spans="1:32">
      <c r="B21" s="347"/>
      <c r="C21" s="8">
        <v>2025</v>
      </c>
      <c r="D21" s="8">
        <v>2026</v>
      </c>
      <c r="E21" s="8">
        <v>2027</v>
      </c>
      <c r="F21" s="8">
        <v>2028</v>
      </c>
      <c r="G21" s="8" t="s">
        <v>577</v>
      </c>
      <c r="H21" s="8"/>
      <c r="I21" s="347"/>
    </row>
    <row r="22" spans="1:32">
      <c r="A22" s="377" t="s">
        <v>578</v>
      </c>
      <c r="B22" s="347"/>
      <c r="C22" s="431">
        <f>DATE(2025,12,31)</f>
        <v>46022</v>
      </c>
      <c r="D22" s="431">
        <f>DATE(2026,12,31)</f>
        <v>46387</v>
      </c>
      <c r="E22" s="431">
        <f>DATE(2027,12,31)</f>
        <v>46752</v>
      </c>
      <c r="F22" s="431">
        <f>DATE(2028,12,31)</f>
        <v>47118</v>
      </c>
      <c r="G22" s="431">
        <f>DATE(2029,12,31)</f>
        <v>47483</v>
      </c>
      <c r="H22" s="431"/>
      <c r="I22" s="347"/>
    </row>
    <row r="23" spans="1:32">
      <c r="A23" s="378" t="s">
        <v>579</v>
      </c>
      <c r="B23" s="398">
        <v>45661</v>
      </c>
      <c r="C23" s="347"/>
      <c r="D23" s="347"/>
      <c r="E23" s="347"/>
      <c r="F23" s="347"/>
      <c r="G23" s="347"/>
      <c r="H23" s="347"/>
      <c r="I23" s="347"/>
    </row>
    <row r="24" spans="1:32">
      <c r="A24" s="379" t="s">
        <v>580</v>
      </c>
      <c r="B24" s="348">
        <f>5.08%</f>
        <v>5.0799999999999998E-2</v>
      </c>
      <c r="C24" s="347"/>
      <c r="D24" s="347"/>
      <c r="E24" s="347"/>
      <c r="F24" s="347"/>
      <c r="G24" s="347"/>
      <c r="H24" s="347"/>
      <c r="I24" s="347"/>
    </row>
    <row r="25" spans="1:32">
      <c r="A25" s="380" t="s">
        <v>575</v>
      </c>
      <c r="B25" s="348">
        <f>B17</f>
        <v>7.9377439999999994E-2</v>
      </c>
      <c r="C25" s="347"/>
      <c r="D25" s="347"/>
      <c r="E25" s="347"/>
      <c r="F25" s="347"/>
      <c r="G25" s="347"/>
      <c r="H25" s="347"/>
      <c r="I25" s="347"/>
    </row>
    <row r="26" spans="1:32">
      <c r="B26" s="347"/>
      <c r="C26" s="347"/>
      <c r="D26" s="347"/>
      <c r="E26" s="347"/>
      <c r="F26" s="347"/>
      <c r="G26" s="347"/>
      <c r="H26" s="347"/>
      <c r="I26" s="347"/>
    </row>
    <row r="27" spans="1:32">
      <c r="A27" s="377" t="s">
        <v>581</v>
      </c>
      <c r="B27" s="347"/>
      <c r="C27" s="347"/>
      <c r="D27" s="347"/>
      <c r="E27" s="347"/>
      <c r="F27" s="347"/>
      <c r="G27" s="347"/>
      <c r="H27" s="347"/>
      <c r="I27" s="347"/>
    </row>
    <row r="28" spans="1:32">
      <c r="A28" s="381" t="s">
        <v>51</v>
      </c>
      <c r="B28" s="347"/>
      <c r="C28" s="399">
        <v>557.32185740606076</v>
      </c>
      <c r="D28" s="399">
        <v>591.62366551659215</v>
      </c>
      <c r="E28" s="399">
        <v>591.62467961991047</v>
      </c>
      <c r="F28" s="399">
        <v>591.62681461991042</v>
      </c>
      <c r="G28" s="399"/>
      <c r="H28" s="347"/>
      <c r="I28" s="347"/>
    </row>
    <row r="29" spans="1:32">
      <c r="A29" s="382" t="s">
        <v>582</v>
      </c>
      <c r="B29" s="347"/>
      <c r="C29" s="347">
        <f>C28*C30</f>
        <v>132.08528020523639</v>
      </c>
      <c r="D29" s="347">
        <f t="shared" ref="D29:F29" si="0">D28*D30</f>
        <v>140.21480872743234</v>
      </c>
      <c r="E29" s="347">
        <f t="shared" si="0"/>
        <v>140.21504906991876</v>
      </c>
      <c r="F29" s="347">
        <f t="shared" si="0"/>
        <v>140.21555506491876</v>
      </c>
      <c r="G29" s="347"/>
      <c r="H29" s="347"/>
      <c r="I29" s="347"/>
    </row>
    <row r="30" spans="1:32">
      <c r="A30" s="382" t="s">
        <v>583</v>
      </c>
      <c r="B30" s="347"/>
      <c r="C30" s="348">
        <v>0.23699999999999999</v>
      </c>
      <c r="D30" s="348">
        <v>0.23699999999999999</v>
      </c>
      <c r="E30" s="348">
        <v>0.23699999999999999</v>
      </c>
      <c r="F30" s="348">
        <v>0.23699999999999999</v>
      </c>
      <c r="G30" s="348"/>
      <c r="H30" s="347"/>
      <c r="I30" s="347"/>
    </row>
    <row r="31" spans="1:32">
      <c r="A31" s="383" t="s">
        <v>584</v>
      </c>
      <c r="B31" s="347"/>
      <c r="C31" s="399">
        <f>C28-C29</f>
        <v>425.2365772008244</v>
      </c>
      <c r="D31" s="399">
        <f t="shared" ref="D31:F31" si="1">D28-D29</f>
        <v>451.40885678915981</v>
      </c>
      <c r="E31" s="399">
        <f t="shared" si="1"/>
        <v>451.40963054999168</v>
      </c>
      <c r="F31" s="399">
        <f t="shared" si="1"/>
        <v>451.41125955499166</v>
      </c>
      <c r="G31" s="399"/>
      <c r="H31" s="347"/>
      <c r="I31" s="347"/>
    </row>
    <row r="32" spans="1:32">
      <c r="A32" s="381" t="s">
        <v>585</v>
      </c>
      <c r="B32" s="347"/>
      <c r="C32" s="423">
        <v>7758.8</v>
      </c>
      <c r="D32" s="423">
        <v>7941.5466666666662</v>
      </c>
      <c r="E32" s="423">
        <v>8058.7768888888877</v>
      </c>
      <c r="F32" s="423">
        <v>8114.8584296296285</v>
      </c>
      <c r="G32" s="423"/>
      <c r="H32" s="347"/>
      <c r="I32" s="347"/>
    </row>
    <row r="33" spans="1:16">
      <c r="A33" s="381" t="s">
        <v>416</v>
      </c>
      <c r="B33" s="347"/>
      <c r="C33" s="347">
        <v>631</v>
      </c>
      <c r="D33" s="347">
        <v>700</v>
      </c>
      <c r="E33" s="347">
        <v>800</v>
      </c>
      <c r="F33" s="347">
        <v>800</v>
      </c>
      <c r="G33" s="400"/>
      <c r="H33" s="347"/>
      <c r="I33" s="347"/>
    </row>
    <row r="34" spans="1:16">
      <c r="A34" s="381" t="s">
        <v>586</v>
      </c>
      <c r="B34" s="347"/>
      <c r="C34" s="423">
        <v>585.88729189120795</v>
      </c>
      <c r="D34" s="423">
        <v>456.34483378232062</v>
      </c>
      <c r="E34" s="423">
        <v>379.90749211654156</v>
      </c>
      <c r="F34" s="423">
        <v>447.84250867562218</v>
      </c>
      <c r="G34" s="347"/>
      <c r="H34" s="347"/>
      <c r="I34" s="347"/>
      <c r="L34" s="497" t="s">
        <v>587</v>
      </c>
      <c r="M34" s="498"/>
      <c r="N34" s="498"/>
      <c r="O34" s="498"/>
      <c r="P34" s="499"/>
    </row>
    <row r="35" spans="1:16">
      <c r="A35" s="700" t="s">
        <v>588</v>
      </c>
      <c r="B35" s="347"/>
      <c r="C35" s="403">
        <f>SUM(C31:C34)</f>
        <v>9400.923869092032</v>
      </c>
      <c r="D35" s="403">
        <f t="shared" ref="D35:F35" si="2">SUM(D31:D34)</f>
        <v>9549.3003572381476</v>
      </c>
      <c r="E35" s="403">
        <f t="shared" si="2"/>
        <v>9690.0940115554204</v>
      </c>
      <c r="F35" s="403">
        <f t="shared" si="2"/>
        <v>9814.1121978602423</v>
      </c>
      <c r="G35" s="403">
        <f>F35*(1+B24)</f>
        <v>10312.669097511542</v>
      </c>
      <c r="H35" s="403"/>
      <c r="I35" s="347"/>
      <c r="K35" s="701" t="s">
        <v>589</v>
      </c>
      <c r="L35" s="702"/>
      <c r="M35" s="702"/>
      <c r="N35" s="703" t="s">
        <v>590</v>
      </c>
    </row>
    <row r="36" spans="1:16">
      <c r="B36" s="347"/>
      <c r="C36" s="347"/>
      <c r="D36" s="347"/>
      <c r="E36" s="347"/>
      <c r="F36" s="347"/>
      <c r="G36" s="347"/>
      <c r="H36" s="347"/>
      <c r="I36" s="347"/>
      <c r="K36" s="500" t="s">
        <v>591</v>
      </c>
      <c r="L36" s="498"/>
      <c r="M36" s="498"/>
      <c r="N36" s="501">
        <f>SUM(C38:F38)</f>
        <v>38454.430435745846</v>
      </c>
    </row>
    <row r="37" spans="1:16">
      <c r="A37" s="377" t="s">
        <v>592</v>
      </c>
      <c r="B37" s="401"/>
      <c r="C37" s="401"/>
      <c r="D37" s="401"/>
      <c r="E37" s="401"/>
      <c r="F37" s="401"/>
      <c r="G37" s="401"/>
      <c r="H37" s="401"/>
      <c r="I37" s="347"/>
      <c r="K37" s="500" t="s">
        <v>593</v>
      </c>
      <c r="L37" s="498"/>
      <c r="M37" s="498"/>
      <c r="N37" s="501">
        <f>F46</f>
        <v>95776.050114701226</v>
      </c>
    </row>
    <row r="38" spans="1:16">
      <c r="A38" s="392" t="s">
        <v>594</v>
      </c>
      <c r="B38" s="401"/>
      <c r="C38" s="402">
        <f>C35</f>
        <v>9400.923869092032</v>
      </c>
      <c r="D38" s="402">
        <f t="shared" ref="D38:F38" si="3">D35</f>
        <v>9549.3003572381476</v>
      </c>
      <c r="E38" s="402">
        <f t="shared" si="3"/>
        <v>9690.0940115554204</v>
      </c>
      <c r="F38" s="402">
        <f t="shared" si="3"/>
        <v>9814.1121978602423</v>
      </c>
      <c r="G38" s="402"/>
      <c r="H38" s="402"/>
      <c r="I38" s="347"/>
      <c r="K38" s="502" t="s">
        <v>595</v>
      </c>
      <c r="L38" s="498"/>
      <c r="M38" s="498"/>
      <c r="N38" s="503">
        <f>N36+N37</f>
        <v>134230.48055044707</v>
      </c>
    </row>
    <row r="39" spans="1:16" ht="24.4">
      <c r="A39" s="392" t="s">
        <v>596</v>
      </c>
      <c r="B39" s="401"/>
      <c r="C39" s="393"/>
      <c r="D39" s="393"/>
      <c r="E39" s="394"/>
      <c r="F39" s="504">
        <f>G35/B25-B24</f>
        <v>129919.34566216283</v>
      </c>
      <c r="G39" s="396"/>
      <c r="H39" s="388"/>
      <c r="I39" s="347"/>
      <c r="K39" s="770" t="s">
        <v>597</v>
      </c>
      <c r="L39" s="498"/>
      <c r="M39" s="498"/>
      <c r="N39" s="501">
        <v>4950</v>
      </c>
    </row>
    <row r="40" spans="1:16">
      <c r="A40" s="704" t="s">
        <v>598</v>
      </c>
      <c r="B40" s="704"/>
      <c r="C40" s="705">
        <f>SUM(C38:C39)</f>
        <v>9400.923869092032</v>
      </c>
      <c r="D40" s="705">
        <f t="shared" ref="D40:F40" si="4">SUM(D38:D39)</f>
        <v>9549.3003572381476</v>
      </c>
      <c r="E40" s="705">
        <f t="shared" si="4"/>
        <v>9690.0940115554204</v>
      </c>
      <c r="F40" s="705">
        <f t="shared" si="4"/>
        <v>139733.45786002307</v>
      </c>
      <c r="G40" s="705"/>
      <c r="H40" s="706"/>
      <c r="I40" s="347"/>
      <c r="K40" s="502" t="s">
        <v>599</v>
      </c>
      <c r="L40" s="497"/>
      <c r="M40" s="497"/>
      <c r="N40" s="503">
        <f>N38-N39</f>
        <v>129280.48055044707</v>
      </c>
    </row>
    <row r="41" spans="1:16">
      <c r="B41" s="347"/>
      <c r="C41" s="347"/>
      <c r="D41" s="347"/>
      <c r="E41" s="347"/>
      <c r="F41" s="347"/>
      <c r="G41" s="347"/>
      <c r="H41" s="347"/>
      <c r="I41" s="347"/>
      <c r="K41" s="500" t="s">
        <v>600</v>
      </c>
      <c r="L41" s="498"/>
      <c r="M41" s="498"/>
      <c r="N41" s="501">
        <f>B3</f>
        <v>27771</v>
      </c>
    </row>
    <row r="42" spans="1:16">
      <c r="B42" s="347"/>
      <c r="C42" s="347"/>
      <c r="D42" s="347"/>
      <c r="E42" s="347"/>
      <c r="F42" s="347"/>
      <c r="G42" s="347"/>
      <c r="H42" s="347"/>
      <c r="I42" s="347"/>
      <c r="K42" s="505" t="s">
        <v>601</v>
      </c>
      <c r="L42" s="506"/>
      <c r="M42" s="506"/>
      <c r="N42" s="507">
        <f>N40/N41</f>
        <v>4.6552331767112118</v>
      </c>
    </row>
    <row r="43" spans="1:16">
      <c r="A43" s="377" t="s">
        <v>602</v>
      </c>
      <c r="B43" s="366"/>
      <c r="C43" s="366"/>
      <c r="D43" s="366"/>
      <c r="E43" s="366"/>
      <c r="F43" s="366"/>
      <c r="G43" s="366"/>
      <c r="H43" s="366"/>
      <c r="I43" s="347"/>
    </row>
    <row r="44" spans="1:16">
      <c r="A44" s="382" t="s">
        <v>603</v>
      </c>
      <c r="B44" s="366"/>
      <c r="C44" s="395">
        <f>YEARFRAC(B23,C22)</f>
        <v>0.9916666666666667</v>
      </c>
      <c r="D44" s="395">
        <f>YEARFRAC(E22,D22)+C44</f>
        <v>1.9916666666666667</v>
      </c>
      <c r="E44" s="395">
        <f t="shared" ref="E44:F44" si="5">YEARFRAC(F22,E22)+D44</f>
        <v>2.9916666666666667</v>
      </c>
      <c r="F44" s="395">
        <f t="shared" si="5"/>
        <v>3.9916666666666667</v>
      </c>
      <c r="G44" s="395"/>
      <c r="H44" s="347"/>
      <c r="I44" s="347"/>
    </row>
    <row r="45" spans="1:16">
      <c r="A45" s="382" t="s">
        <v>594</v>
      </c>
      <c r="B45" s="366"/>
      <c r="C45" s="366">
        <f>C38/(1+$B$25)^C44</f>
        <v>8715.12546080006</v>
      </c>
      <c r="D45" s="366">
        <f t="shared" ref="D45:F45" si="6">D38/(1+$B$25)^D44</f>
        <v>8201.6517485882232</v>
      </c>
      <c r="E45" s="366">
        <f t="shared" si="6"/>
        <v>7710.5334399289659</v>
      </c>
      <c r="F45" s="366">
        <f t="shared" si="6"/>
        <v>7234.9263837719</v>
      </c>
      <c r="G45" s="366"/>
      <c r="H45" s="388"/>
      <c r="I45" s="347"/>
    </row>
    <row r="46" spans="1:16">
      <c r="A46" s="382" t="s">
        <v>596</v>
      </c>
      <c r="B46" s="366"/>
      <c r="C46" s="390"/>
      <c r="D46" s="390"/>
      <c r="E46" s="391"/>
      <c r="F46" s="508">
        <f>F39/(1+$B$25)^F44</f>
        <v>95776.050114701226</v>
      </c>
      <c r="G46" s="397"/>
      <c r="H46" s="388"/>
      <c r="I46" s="347"/>
    </row>
    <row r="47" spans="1:16">
      <c r="A47" s="700" t="s">
        <v>602</v>
      </c>
      <c r="B47" s="700"/>
      <c r="C47" s="707">
        <f>SUM(C45:C46)</f>
        <v>8715.12546080006</v>
      </c>
      <c r="D47" s="708">
        <f>SUM(D45:D46)</f>
        <v>8201.6517485882232</v>
      </c>
      <c r="E47" s="708">
        <f t="shared" ref="E47:F47" si="7">SUM(E45:E46)</f>
        <v>7710.5334399289659</v>
      </c>
      <c r="F47" s="708">
        <f t="shared" si="7"/>
        <v>103010.97649847313</v>
      </c>
      <c r="G47" s="708">
        <f>SUM(G45:G46)</f>
        <v>0</v>
      </c>
      <c r="H47" s="708"/>
      <c r="I47" s="347"/>
    </row>
    <row r="48" spans="1:16">
      <c r="A48" s="382" t="s">
        <v>604</v>
      </c>
      <c r="C48" s="509">
        <f>SUM(C47:F47)</f>
        <v>127638.28714779037</v>
      </c>
    </row>
    <row r="51" spans="1:10" ht="15.75" customHeight="1">
      <c r="A51" s="787" t="s">
        <v>605</v>
      </c>
      <c r="B51" s="787"/>
      <c r="C51" s="787"/>
      <c r="D51" s="787"/>
      <c r="E51" s="787"/>
      <c r="F51" s="787"/>
      <c r="G51" s="787"/>
      <c r="H51" s="787"/>
      <c r="I51" s="787"/>
      <c r="J51" s="787"/>
    </row>
    <row r="52" spans="1:10">
      <c r="A52" s="787"/>
      <c r="B52" s="787"/>
      <c r="C52" s="787"/>
      <c r="D52" s="787"/>
      <c r="E52" s="787"/>
      <c r="F52" s="787"/>
      <c r="G52" s="787"/>
      <c r="H52" s="787"/>
      <c r="I52" s="787"/>
      <c r="J52" s="787"/>
    </row>
    <row r="55" spans="1:10">
      <c r="A55" s="363" t="s">
        <v>576</v>
      </c>
      <c r="B55" s="364"/>
      <c r="C55" s="364"/>
      <c r="D55" s="364"/>
      <c r="E55" s="376"/>
      <c r="F55" s="376"/>
      <c r="G55" s="376"/>
      <c r="H55" s="376"/>
      <c r="I55" s="376"/>
      <c r="J55" s="376"/>
    </row>
    <row r="56" spans="1:10">
      <c r="B56" s="347"/>
      <c r="C56" s="8">
        <v>2025</v>
      </c>
      <c r="D56" s="8">
        <v>2026</v>
      </c>
      <c r="E56" s="8">
        <v>2027</v>
      </c>
      <c r="F56" s="8">
        <v>2028</v>
      </c>
      <c r="G56" s="8" t="s">
        <v>577</v>
      </c>
    </row>
    <row r="57" spans="1:10">
      <c r="A57" s="377" t="s">
        <v>578</v>
      </c>
      <c r="B57" s="347"/>
      <c r="C57" s="431">
        <f>DATE(2025,12,31)</f>
        <v>46022</v>
      </c>
      <c r="D57" s="431">
        <f>DATE(2026,12,31)</f>
        <v>46387</v>
      </c>
      <c r="E57" s="431">
        <f>DATE(2027,12,31)</f>
        <v>46752</v>
      </c>
      <c r="F57" s="431">
        <f>DATE(2028,12,31)</f>
        <v>47118</v>
      </c>
      <c r="G57" s="431">
        <f>DATE(2029,12,31)</f>
        <v>47483</v>
      </c>
    </row>
    <row r="58" spans="1:10">
      <c r="A58" s="378" t="s">
        <v>579</v>
      </c>
      <c r="B58" s="398">
        <v>45661</v>
      </c>
      <c r="C58" s="347"/>
      <c r="D58" s="347"/>
      <c r="E58" s="347"/>
      <c r="F58" s="347"/>
      <c r="G58" s="347"/>
      <c r="H58" s="347"/>
    </row>
    <row r="59" spans="1:10">
      <c r="A59" s="347" t="s">
        <v>606</v>
      </c>
      <c r="B59" s="348">
        <v>0.06</v>
      </c>
      <c r="C59" s="347"/>
      <c r="D59" s="347"/>
      <c r="E59" s="347"/>
      <c r="F59" s="347"/>
      <c r="G59" s="347"/>
      <c r="H59" s="347"/>
    </row>
    <row r="60" spans="1:10">
      <c r="A60" s="347" t="s">
        <v>607</v>
      </c>
      <c r="B60" s="348">
        <v>0.03</v>
      </c>
      <c r="C60" s="347"/>
      <c r="D60" s="347"/>
      <c r="E60" s="347"/>
      <c r="F60" s="347"/>
      <c r="G60" s="347"/>
      <c r="H60" s="347"/>
    </row>
    <row r="61" spans="1:10">
      <c r="A61" s="347" t="s">
        <v>608</v>
      </c>
      <c r="B61" s="347">
        <v>2</v>
      </c>
      <c r="C61" s="347"/>
      <c r="D61" s="347"/>
      <c r="E61" s="347"/>
      <c r="F61" s="347"/>
      <c r="G61" s="347"/>
      <c r="H61" s="347"/>
    </row>
    <row r="62" spans="1:10">
      <c r="A62" s="347" t="s">
        <v>575</v>
      </c>
      <c r="B62" s="348">
        <f>B17</f>
        <v>7.9377439999999994E-2</v>
      </c>
      <c r="C62" s="347"/>
      <c r="D62" s="347"/>
      <c r="E62" s="347"/>
      <c r="F62" s="347"/>
      <c r="G62" s="347"/>
      <c r="H62" s="347"/>
    </row>
    <row r="63" spans="1:10">
      <c r="A63" s="347"/>
      <c r="B63" s="347"/>
      <c r="C63" s="347"/>
      <c r="D63" s="347"/>
      <c r="E63" s="347"/>
      <c r="F63" s="347"/>
      <c r="G63" s="347"/>
      <c r="H63" s="347"/>
    </row>
    <row r="64" spans="1:10">
      <c r="A64" s="377" t="s">
        <v>581</v>
      </c>
      <c r="B64" s="347"/>
      <c r="C64" s="347"/>
      <c r="D64" s="347"/>
      <c r="E64" s="347"/>
      <c r="F64" s="347"/>
      <c r="G64" s="347"/>
    </row>
    <row r="65" spans="1:12">
      <c r="A65" s="381" t="s">
        <v>51</v>
      </c>
      <c r="B65" s="347"/>
      <c r="C65" s="399">
        <f t="shared" ref="C65:F71" si="8">C28</f>
        <v>557.32185740606076</v>
      </c>
      <c r="D65" s="399">
        <f t="shared" si="8"/>
        <v>591.62366551659215</v>
      </c>
      <c r="E65" s="399">
        <f t="shared" si="8"/>
        <v>591.62467961991047</v>
      </c>
      <c r="F65" s="399">
        <f t="shared" si="8"/>
        <v>591.62681461991042</v>
      </c>
      <c r="G65" s="399"/>
      <c r="H65" s="347"/>
    </row>
    <row r="66" spans="1:12">
      <c r="A66" s="382" t="s">
        <v>582</v>
      </c>
      <c r="B66" s="347"/>
      <c r="C66" s="423">
        <f t="shared" si="8"/>
        <v>132.08528020523639</v>
      </c>
      <c r="D66" s="423">
        <f t="shared" si="8"/>
        <v>140.21480872743234</v>
      </c>
      <c r="E66" s="423">
        <f t="shared" si="8"/>
        <v>140.21504906991876</v>
      </c>
      <c r="F66" s="423">
        <f t="shared" si="8"/>
        <v>140.21555506491876</v>
      </c>
      <c r="G66" s="347"/>
      <c r="H66" s="347"/>
    </row>
    <row r="67" spans="1:12">
      <c r="A67" s="382" t="s">
        <v>583</v>
      </c>
      <c r="B67" s="347"/>
      <c r="C67" s="348">
        <f t="shared" si="8"/>
        <v>0.23699999999999999</v>
      </c>
      <c r="D67" s="348">
        <f t="shared" si="8"/>
        <v>0.23699999999999999</v>
      </c>
      <c r="E67" s="348">
        <f t="shared" si="8"/>
        <v>0.23699999999999999</v>
      </c>
      <c r="F67" s="348">
        <f t="shared" si="8"/>
        <v>0.23699999999999999</v>
      </c>
      <c r="G67" s="348"/>
      <c r="H67" s="347"/>
    </row>
    <row r="68" spans="1:12">
      <c r="A68" s="383" t="s">
        <v>584</v>
      </c>
      <c r="B68" s="347"/>
      <c r="C68" s="399">
        <f t="shared" si="8"/>
        <v>425.2365772008244</v>
      </c>
      <c r="D68" s="399">
        <f t="shared" si="8"/>
        <v>451.40885678915981</v>
      </c>
      <c r="E68" s="399">
        <f t="shared" si="8"/>
        <v>451.40963054999168</v>
      </c>
      <c r="F68" s="399">
        <f t="shared" si="8"/>
        <v>451.41125955499166</v>
      </c>
      <c r="G68" s="399"/>
      <c r="H68" s="347"/>
    </row>
    <row r="69" spans="1:12">
      <c r="A69" s="381" t="s">
        <v>585</v>
      </c>
      <c r="B69" s="347"/>
      <c r="C69" s="423">
        <f t="shared" si="8"/>
        <v>7758.8</v>
      </c>
      <c r="D69" s="423">
        <f t="shared" si="8"/>
        <v>7941.5466666666662</v>
      </c>
      <c r="E69" s="423">
        <f t="shared" si="8"/>
        <v>8058.7768888888877</v>
      </c>
      <c r="F69" s="423">
        <f t="shared" si="8"/>
        <v>8114.8584296296285</v>
      </c>
      <c r="G69" s="423"/>
      <c r="H69" s="347"/>
    </row>
    <row r="70" spans="1:12">
      <c r="A70" s="381" t="s">
        <v>416</v>
      </c>
      <c r="B70" s="347"/>
      <c r="C70" s="347">
        <f t="shared" si="8"/>
        <v>631</v>
      </c>
      <c r="D70" s="347">
        <f t="shared" si="8"/>
        <v>700</v>
      </c>
      <c r="E70" s="347">
        <f t="shared" si="8"/>
        <v>800</v>
      </c>
      <c r="F70" s="347">
        <f t="shared" si="8"/>
        <v>800</v>
      </c>
      <c r="G70" s="400"/>
      <c r="H70" s="347"/>
      <c r="I70" s="701" t="s">
        <v>589</v>
      </c>
      <c r="J70" s="702"/>
      <c r="K70" s="702"/>
      <c r="L70" s="703" t="s">
        <v>590</v>
      </c>
    </row>
    <row r="71" spans="1:12">
      <c r="A71" s="381" t="s">
        <v>586</v>
      </c>
      <c r="B71" s="347"/>
      <c r="C71" s="423">
        <f t="shared" si="8"/>
        <v>585.88729189120795</v>
      </c>
      <c r="D71" s="423">
        <f t="shared" si="8"/>
        <v>456.34483378232062</v>
      </c>
      <c r="E71" s="423">
        <f t="shared" si="8"/>
        <v>379.90749211654156</v>
      </c>
      <c r="F71" s="423">
        <f t="shared" si="8"/>
        <v>447.84250867562218</v>
      </c>
      <c r="G71" s="347"/>
      <c r="H71" s="347"/>
      <c r="I71" s="500" t="s">
        <v>591</v>
      </c>
      <c r="J71" s="498"/>
      <c r="K71" s="498"/>
      <c r="L71" s="501">
        <f>SUM(C82:F82)</f>
        <v>31862.237033089146</v>
      </c>
    </row>
    <row r="72" spans="1:12">
      <c r="A72" s="700" t="s">
        <v>588</v>
      </c>
      <c r="B72" s="347"/>
      <c r="C72" s="403">
        <f>SUM(C68:C71)</f>
        <v>9400.923869092032</v>
      </c>
      <c r="D72" s="403">
        <f t="shared" ref="D72:F72" si="9">SUM(D68:D71)</f>
        <v>9549.3003572381476</v>
      </c>
      <c r="E72" s="403">
        <f t="shared" si="9"/>
        <v>9690.0940115554204</v>
      </c>
      <c r="F72" s="403">
        <f t="shared" si="9"/>
        <v>9814.1121978602423</v>
      </c>
      <c r="G72" s="403">
        <f>F72*(1+B59)</f>
        <v>10402.958929731858</v>
      </c>
      <c r="H72" s="347"/>
      <c r="I72" s="500" t="s">
        <v>593</v>
      </c>
      <c r="J72" s="498"/>
      <c r="K72" s="498"/>
      <c r="L72" s="501">
        <f>F83</f>
        <v>169851.70601980435</v>
      </c>
    </row>
    <row r="73" spans="1:12">
      <c r="B73" s="347"/>
      <c r="C73" s="347"/>
      <c r="D73" s="347"/>
      <c r="E73" s="347"/>
      <c r="F73" s="347"/>
      <c r="G73" s="347"/>
      <c r="H73" s="347"/>
      <c r="I73" s="502" t="s">
        <v>595</v>
      </c>
      <c r="J73" s="498"/>
      <c r="K73" s="498"/>
      <c r="L73" s="503">
        <f>L71+L72</f>
        <v>201713.9430528935</v>
      </c>
    </row>
    <row r="74" spans="1:12">
      <c r="A74" s="377" t="s">
        <v>592</v>
      </c>
      <c r="B74" s="401"/>
      <c r="C74" s="401"/>
      <c r="D74" s="401"/>
      <c r="E74" s="401"/>
      <c r="F74" s="401"/>
      <c r="G74" s="401"/>
      <c r="H74" s="347"/>
      <c r="I74" s="500" t="s">
        <v>597</v>
      </c>
      <c r="J74" s="498"/>
      <c r="K74" s="498"/>
      <c r="L74" s="501">
        <f>N39</f>
        <v>4950</v>
      </c>
    </row>
    <row r="75" spans="1:12">
      <c r="A75" s="392" t="s">
        <v>594</v>
      </c>
      <c r="B75" s="401"/>
      <c r="C75" s="402">
        <f>C38</f>
        <v>9400.923869092032</v>
      </c>
      <c r="D75" s="402">
        <f t="shared" ref="D75:F75" si="10">D38</f>
        <v>9549.3003572381476</v>
      </c>
      <c r="E75" s="402">
        <f t="shared" si="10"/>
        <v>9690.0940115554204</v>
      </c>
      <c r="F75" s="402">
        <f t="shared" si="10"/>
        <v>9814.1121978602423</v>
      </c>
      <c r="G75" s="402"/>
      <c r="H75" s="347"/>
      <c r="I75" s="502" t="s">
        <v>599</v>
      </c>
      <c r="J75" s="497"/>
      <c r="K75" s="497"/>
      <c r="L75" s="503">
        <f>L73-L74</f>
        <v>196763.9430528935</v>
      </c>
    </row>
    <row r="76" spans="1:12">
      <c r="A76" s="392" t="s">
        <v>596</v>
      </c>
      <c r="B76" s="401"/>
      <c r="C76" s="393"/>
      <c r="D76" s="393"/>
      <c r="E76" s="394"/>
      <c r="F76" s="504">
        <f>((G72*(1 + B60)) / (B62 - B60)) + ((G72*(1 + B59)) * B61 * (B59 - B60)) / (B62 - B60)</f>
        <v>230402.30286452195</v>
      </c>
      <c r="G76" s="396"/>
      <c r="H76" s="347"/>
      <c r="I76" s="500" t="s">
        <v>600</v>
      </c>
      <c r="J76" s="498"/>
      <c r="K76" s="498"/>
      <c r="L76" s="501">
        <f>B3</f>
        <v>27771</v>
      </c>
    </row>
    <row r="77" spans="1:12">
      <c r="A77" s="704" t="s">
        <v>598</v>
      </c>
      <c r="B77" s="704"/>
      <c r="C77" s="705">
        <f>C75</f>
        <v>9400.923869092032</v>
      </c>
      <c r="D77" s="705">
        <f t="shared" ref="D77:E77" si="11">D75</f>
        <v>9549.3003572381476</v>
      </c>
      <c r="E77" s="705">
        <f t="shared" si="11"/>
        <v>9690.0940115554204</v>
      </c>
      <c r="F77" s="705">
        <f>SUM(F75:F76)</f>
        <v>240216.41506238218</v>
      </c>
      <c r="G77" s="705"/>
      <c r="H77" s="347"/>
      <c r="I77" s="505" t="s">
        <v>601</v>
      </c>
      <c r="J77" s="506"/>
      <c r="K77" s="506"/>
      <c r="L77" s="507">
        <f>L75/L76</f>
        <v>7.08523074620624</v>
      </c>
    </row>
    <row r="78" spans="1:12">
      <c r="A78" s="347"/>
      <c r="B78" s="347"/>
      <c r="C78" s="347"/>
      <c r="D78" s="347"/>
      <c r="E78" s="347"/>
      <c r="F78" s="347"/>
      <c r="G78" s="347"/>
      <c r="H78" s="347"/>
    </row>
    <row r="79" spans="1:12">
      <c r="A79" s="347"/>
      <c r="B79" s="347"/>
      <c r="C79" s="347"/>
      <c r="D79" s="347"/>
      <c r="E79" s="347"/>
      <c r="F79" s="347"/>
      <c r="G79" s="347"/>
      <c r="H79" s="347"/>
    </row>
    <row r="80" spans="1:12">
      <c r="A80" s="377" t="s">
        <v>602</v>
      </c>
      <c r="B80" s="366"/>
      <c r="C80" s="366"/>
      <c r="D80" s="366"/>
      <c r="E80" s="366"/>
      <c r="F80" s="366"/>
      <c r="G80" s="366"/>
      <c r="H80" s="347"/>
    </row>
    <row r="81" spans="1:8">
      <c r="A81" s="382" t="s">
        <v>603</v>
      </c>
      <c r="B81" s="366"/>
      <c r="C81" s="395">
        <f>C44</f>
        <v>0.9916666666666667</v>
      </c>
      <c r="D81" s="395">
        <f t="shared" ref="D81:F81" si="12">D44</f>
        <v>1.9916666666666667</v>
      </c>
      <c r="E81" s="395">
        <f t="shared" si="12"/>
        <v>2.9916666666666667</v>
      </c>
      <c r="F81" s="395">
        <f t="shared" si="12"/>
        <v>3.9916666666666667</v>
      </c>
      <c r="G81" s="395"/>
      <c r="H81" s="347"/>
    </row>
    <row r="82" spans="1:8">
      <c r="A82" s="382" t="s">
        <v>594</v>
      </c>
      <c r="B82" s="366"/>
      <c r="C82" s="366">
        <f xml:space="preserve"> C72 / (1 + $B$62)^C81</f>
        <v>8715.12546080006</v>
      </c>
      <c r="D82" s="366">
        <f xml:space="preserve"> D72 / (1 + $B$62)^D81</f>
        <v>8201.6517485882232</v>
      </c>
      <c r="E82" s="366">
        <f xml:space="preserve"> E72 / (1 + $B$62)^E81</f>
        <v>7710.5334399289659</v>
      </c>
      <c r="F82" s="366">
        <f xml:space="preserve"> F72 / (1 + $B$62)^F81</f>
        <v>7234.9263837719</v>
      </c>
      <c r="G82" s="366"/>
      <c r="H82" s="347"/>
    </row>
    <row r="83" spans="1:8">
      <c r="A83" s="382" t="s">
        <v>596</v>
      </c>
      <c r="B83" s="366"/>
      <c r="C83" s="390"/>
      <c r="D83" s="390"/>
      <c r="E83" s="391"/>
      <c r="F83" s="366">
        <f xml:space="preserve"> F76 / (1 + $B$62)^F81</f>
        <v>169851.70601980435</v>
      </c>
      <c r="G83" s="397"/>
      <c r="H83" s="347"/>
    </row>
    <row r="84" spans="1:8">
      <c r="A84" s="700" t="s">
        <v>602</v>
      </c>
      <c r="B84" s="700"/>
      <c r="C84" s="707">
        <f>SUM(C82)</f>
        <v>8715.12546080006</v>
      </c>
      <c r="D84" s="708">
        <f>SUM(D82:D83)</f>
        <v>8201.6517485882232</v>
      </c>
      <c r="E84" s="708">
        <f t="shared" ref="E84" si="13">SUM(E82:E83)</f>
        <v>7710.5334399289659</v>
      </c>
      <c r="F84" s="708">
        <f>SUM(F82:F83)</f>
        <v>177086.63240357625</v>
      </c>
      <c r="G84" s="708">
        <f>SUM(G82:G83)</f>
        <v>0</v>
      </c>
      <c r="H84" s="347"/>
    </row>
    <row r="85" spans="1:8">
      <c r="A85" s="382" t="s">
        <v>604</v>
      </c>
      <c r="C85" s="509">
        <f>SUM(C84:F84)</f>
        <v>201713.9430528935</v>
      </c>
      <c r="H85" s="347"/>
    </row>
    <row r="86" spans="1:8">
      <c r="A86" s="347"/>
      <c r="B86" s="347"/>
      <c r="C86" s="347"/>
      <c r="D86" s="347"/>
      <c r="E86" s="347"/>
      <c r="F86" s="347"/>
      <c r="G86" s="347"/>
      <c r="H86" s="347"/>
    </row>
    <row r="87" spans="1:8">
      <c r="A87" s="347"/>
      <c r="B87" s="347"/>
      <c r="C87" s="347"/>
      <c r="D87" s="347"/>
      <c r="E87" s="347"/>
      <c r="F87" s="347"/>
      <c r="G87" s="347"/>
      <c r="H87" s="347"/>
    </row>
    <row r="88" spans="1:8">
      <c r="A88" s="347"/>
      <c r="B88" s="347"/>
      <c r="C88" s="347"/>
      <c r="D88" s="347"/>
      <c r="E88" s="347"/>
      <c r="F88" s="347"/>
      <c r="G88" s="347"/>
      <c r="H88" s="347"/>
    </row>
    <row r="89" spans="1:8">
      <c r="A89" s="347"/>
      <c r="B89" s="347"/>
      <c r="C89" s="347"/>
      <c r="D89" s="347"/>
      <c r="E89" s="347"/>
      <c r="F89" s="347"/>
      <c r="G89" s="347"/>
      <c r="H89" s="347"/>
    </row>
    <row r="90" spans="1:8">
      <c r="A90" s="347"/>
      <c r="B90" s="347"/>
      <c r="C90" s="347"/>
      <c r="D90" s="347"/>
      <c r="E90" s="347"/>
      <c r="F90" s="347"/>
      <c r="G90" s="347"/>
      <c r="H90" s="347"/>
    </row>
    <row r="91" spans="1:8">
      <c r="A91" s="347"/>
      <c r="B91" s="347"/>
      <c r="C91" s="347"/>
      <c r="D91" s="347"/>
      <c r="E91" s="347"/>
      <c r="F91" s="347"/>
      <c r="G91" s="347"/>
      <c r="H91" s="347"/>
    </row>
    <row r="92" spans="1:8">
      <c r="A92" s="347"/>
      <c r="B92" s="347"/>
      <c r="C92" s="347"/>
      <c r="D92" s="347"/>
      <c r="E92" s="347"/>
      <c r="F92" s="347"/>
      <c r="G92" s="347"/>
      <c r="H92" s="347"/>
    </row>
    <row r="93" spans="1:8">
      <c r="A93" s="347"/>
      <c r="B93" s="347"/>
      <c r="C93" s="347"/>
      <c r="D93" s="347"/>
      <c r="E93" s="347"/>
      <c r="F93" s="347"/>
      <c r="G93" s="347"/>
      <c r="H93" s="347"/>
    </row>
    <row r="94" spans="1:8">
      <c r="A94" s="347"/>
      <c r="B94" s="347"/>
      <c r="C94" s="347"/>
      <c r="D94" s="347"/>
      <c r="E94" s="347"/>
      <c r="F94" s="347"/>
      <c r="G94" s="347"/>
      <c r="H94" s="347"/>
    </row>
    <row r="95" spans="1:8">
      <c r="A95" s="347"/>
      <c r="B95" s="347"/>
      <c r="C95" s="347"/>
      <c r="D95" s="347"/>
      <c r="E95" s="347"/>
      <c r="F95" s="347"/>
      <c r="G95" s="347"/>
      <c r="H95" s="347"/>
    </row>
    <row r="96" spans="1:8">
      <c r="A96" s="347"/>
      <c r="B96" s="347"/>
      <c r="C96" s="347"/>
      <c r="D96" s="347"/>
      <c r="E96" s="347"/>
      <c r="F96" s="347"/>
      <c r="G96" s="347"/>
      <c r="H96" s="347"/>
    </row>
    <row r="97" spans="1:8">
      <c r="A97" s="347"/>
      <c r="B97" s="347"/>
      <c r="C97" s="347"/>
      <c r="D97" s="347"/>
      <c r="E97" s="347"/>
      <c r="F97" s="347"/>
      <c r="G97" s="347"/>
      <c r="H97" s="347"/>
    </row>
    <row r="98" spans="1:8">
      <c r="A98" s="347"/>
      <c r="B98" s="347"/>
      <c r="C98" s="347"/>
      <c r="D98" s="347"/>
      <c r="E98" s="347"/>
      <c r="F98" s="347"/>
      <c r="G98" s="347"/>
      <c r="H98" s="347"/>
    </row>
    <row r="99" spans="1:8">
      <c r="A99" s="347"/>
      <c r="B99" s="347"/>
      <c r="C99" s="347"/>
      <c r="D99" s="347"/>
      <c r="E99" s="347"/>
      <c r="F99" s="347"/>
      <c r="G99" s="347"/>
      <c r="H99" s="347"/>
    </row>
    <row r="100" spans="1:8">
      <c r="A100" s="347"/>
      <c r="B100" s="347"/>
      <c r="C100" s="347"/>
      <c r="D100" s="347"/>
      <c r="E100" s="347"/>
      <c r="F100" s="347"/>
      <c r="G100" s="347"/>
      <c r="H100" s="347"/>
    </row>
    <row r="101" spans="1:8">
      <c r="A101" s="347"/>
      <c r="B101" s="347"/>
      <c r="C101" s="347"/>
      <c r="D101" s="347"/>
      <c r="E101" s="347"/>
      <c r="F101" s="347"/>
      <c r="G101" s="347"/>
      <c r="H101" s="347"/>
    </row>
    <row r="102" spans="1:8">
      <c r="A102" s="347"/>
      <c r="B102" s="347"/>
      <c r="C102" s="347"/>
      <c r="D102" s="347"/>
      <c r="E102" s="347"/>
      <c r="F102" s="347"/>
      <c r="G102" s="347"/>
      <c r="H102" s="347"/>
    </row>
    <row r="103" spans="1:8">
      <c r="A103" s="347"/>
      <c r="B103" s="347"/>
      <c r="C103" s="347"/>
      <c r="D103" s="347"/>
      <c r="E103" s="347"/>
      <c r="F103" s="347"/>
      <c r="G103" s="347"/>
      <c r="H103" s="347"/>
    </row>
    <row r="104" spans="1:8">
      <c r="A104" s="347"/>
      <c r="B104" s="347"/>
      <c r="C104" s="347"/>
      <c r="D104" s="347"/>
      <c r="E104" s="347"/>
      <c r="F104" s="347"/>
      <c r="G104" s="347"/>
      <c r="H104" s="347"/>
    </row>
    <row r="105" spans="1:8">
      <c r="A105" s="347"/>
      <c r="B105" s="347"/>
      <c r="C105" s="347"/>
      <c r="D105" s="347"/>
      <c r="E105" s="347"/>
      <c r="F105" s="347"/>
      <c r="G105" s="347"/>
      <c r="H105" s="347"/>
    </row>
    <row r="106" spans="1:8">
      <c r="A106" s="347"/>
      <c r="B106" s="347"/>
      <c r="C106" s="347"/>
      <c r="D106" s="347"/>
      <c r="E106" s="347"/>
      <c r="F106" s="347"/>
      <c r="G106" s="347"/>
      <c r="H106" s="347"/>
    </row>
    <row r="107" spans="1:8">
      <c r="A107" s="347"/>
      <c r="B107" s="347"/>
      <c r="C107" s="347"/>
      <c r="D107" s="347"/>
      <c r="E107" s="347"/>
      <c r="F107" s="347"/>
      <c r="G107" s="347"/>
      <c r="H107" s="347"/>
    </row>
    <row r="108" spans="1:8">
      <c r="A108" s="347"/>
      <c r="B108" s="347"/>
      <c r="C108" s="347"/>
      <c r="D108" s="347"/>
      <c r="E108" s="347"/>
      <c r="F108" s="347"/>
      <c r="G108" s="347"/>
      <c r="H108" s="347"/>
    </row>
    <row r="109" spans="1:8">
      <c r="A109" s="347"/>
      <c r="B109" s="347"/>
      <c r="C109" s="347"/>
      <c r="D109" s="347"/>
      <c r="E109" s="347"/>
      <c r="F109" s="347"/>
      <c r="G109" s="347"/>
      <c r="H109" s="347"/>
    </row>
    <row r="110" spans="1:8">
      <c r="A110" s="347"/>
      <c r="B110" s="347"/>
      <c r="C110" s="347"/>
      <c r="D110" s="347"/>
      <c r="E110" s="347"/>
      <c r="F110" s="347"/>
      <c r="G110" s="347"/>
      <c r="H110" s="347"/>
    </row>
    <row r="111" spans="1:8">
      <c r="A111" s="347"/>
      <c r="B111" s="347"/>
      <c r="C111" s="347"/>
      <c r="D111" s="347"/>
      <c r="E111" s="347"/>
      <c r="F111" s="347"/>
      <c r="G111" s="347"/>
      <c r="H111" s="347"/>
    </row>
    <row r="112" spans="1:8">
      <c r="A112" s="347"/>
      <c r="B112" s="347"/>
      <c r="C112" s="347"/>
      <c r="D112" s="347"/>
      <c r="E112" s="347"/>
      <c r="F112" s="347"/>
      <c r="G112" s="347"/>
      <c r="H112" s="347"/>
    </row>
    <row r="113" spans="1:8">
      <c r="A113" s="347"/>
      <c r="B113" s="347"/>
      <c r="C113" s="347"/>
      <c r="D113" s="347"/>
      <c r="E113" s="347"/>
      <c r="F113" s="347"/>
      <c r="G113" s="347"/>
      <c r="H113" s="347"/>
    </row>
    <row r="114" spans="1:8">
      <c r="A114" s="347"/>
      <c r="B114" s="347"/>
      <c r="C114" s="347"/>
      <c r="D114" s="347"/>
      <c r="E114" s="347"/>
      <c r="F114" s="347"/>
      <c r="G114" s="347"/>
      <c r="H114" s="347"/>
    </row>
    <row r="115" spans="1:8">
      <c r="A115" s="347"/>
      <c r="B115" s="347"/>
      <c r="C115" s="347"/>
      <c r="D115" s="347"/>
      <c r="E115" s="347"/>
      <c r="F115" s="347"/>
      <c r="G115" s="347"/>
      <c r="H115" s="347"/>
    </row>
    <row r="116" spans="1:8">
      <c r="A116" s="347"/>
      <c r="B116" s="347"/>
      <c r="C116" s="347"/>
      <c r="D116" s="347"/>
      <c r="E116" s="347"/>
      <c r="F116" s="347"/>
      <c r="G116" s="347"/>
      <c r="H116" s="347"/>
    </row>
    <row r="117" spans="1:8">
      <c r="A117" s="347"/>
      <c r="B117" s="347"/>
      <c r="C117" s="347"/>
      <c r="D117" s="347"/>
      <c r="E117" s="347"/>
      <c r="F117" s="347"/>
      <c r="G117" s="347"/>
      <c r="H117" s="347"/>
    </row>
    <row r="118" spans="1:8">
      <c r="A118" s="347"/>
      <c r="B118" s="347"/>
      <c r="C118" s="347"/>
      <c r="D118" s="347"/>
      <c r="E118" s="347"/>
      <c r="F118" s="347"/>
      <c r="G118" s="347"/>
      <c r="H118" s="347"/>
    </row>
    <row r="119" spans="1:8">
      <c r="A119" s="347"/>
      <c r="B119" s="347"/>
      <c r="C119" s="347"/>
      <c r="D119" s="347"/>
      <c r="E119" s="347"/>
      <c r="F119" s="347"/>
      <c r="G119" s="347"/>
      <c r="H119" s="347"/>
    </row>
    <row r="120" spans="1:8">
      <c r="A120" s="347"/>
      <c r="B120" s="347"/>
      <c r="C120" s="347"/>
      <c r="D120" s="347"/>
      <c r="E120" s="347"/>
      <c r="F120" s="347"/>
      <c r="G120" s="347"/>
      <c r="H120" s="347"/>
    </row>
    <row r="121" spans="1:8">
      <c r="A121" s="347"/>
      <c r="B121" s="347"/>
      <c r="C121" s="347"/>
      <c r="D121" s="347"/>
      <c r="E121" s="347"/>
      <c r="F121" s="347"/>
      <c r="G121" s="347"/>
      <c r="H121" s="347"/>
    </row>
    <row r="122" spans="1:8">
      <c r="A122" s="347"/>
      <c r="B122" s="347"/>
      <c r="C122" s="347"/>
      <c r="D122" s="347"/>
      <c r="E122" s="347"/>
      <c r="F122" s="347"/>
      <c r="G122" s="347"/>
      <c r="H122" s="347"/>
    </row>
    <row r="123" spans="1:8">
      <c r="A123" s="347"/>
      <c r="B123" s="347"/>
      <c r="C123" s="347"/>
      <c r="D123" s="347"/>
      <c r="E123" s="347"/>
      <c r="F123" s="347"/>
      <c r="G123" s="347"/>
      <c r="H123" s="347"/>
    </row>
    <row r="124" spans="1:8">
      <c r="A124" s="347"/>
      <c r="B124" s="347"/>
      <c r="C124" s="347"/>
      <c r="D124" s="347"/>
      <c r="E124" s="347"/>
      <c r="F124" s="347"/>
      <c r="G124" s="347"/>
      <c r="H124" s="347"/>
    </row>
    <row r="125" spans="1:8">
      <c r="A125" s="347"/>
      <c r="B125" s="347"/>
      <c r="C125" s="347"/>
      <c r="D125" s="347"/>
      <c r="E125" s="347"/>
      <c r="F125" s="347"/>
      <c r="G125" s="347"/>
      <c r="H125" s="347"/>
    </row>
    <row r="126" spans="1:8">
      <c r="A126" s="347"/>
      <c r="B126" s="347"/>
      <c r="C126" s="347"/>
      <c r="D126" s="347"/>
      <c r="E126" s="347"/>
      <c r="F126" s="347"/>
      <c r="G126" s="347"/>
      <c r="H126" s="347"/>
    </row>
  </sheetData>
  <mergeCells count="1">
    <mergeCell ref="A51:J5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1A09-7AEE-4B6B-8AEA-9607113B42AB}">
  <sheetPr codeName="Sheet13"/>
  <dimension ref="A1:Z93"/>
  <sheetViews>
    <sheetView tabSelected="1" topLeftCell="A14" zoomScale="87" workbookViewId="0">
      <selection activeCell="G32" sqref="G32"/>
    </sheetView>
  </sheetViews>
  <sheetFormatPr defaultColWidth="11" defaultRowHeight="15.75"/>
  <cols>
    <col min="1" max="1" width="18.6875" customWidth="1"/>
    <col min="2" max="2" width="22.6875" customWidth="1"/>
  </cols>
  <sheetData>
    <row r="1" spans="1:26">
      <c r="A1" s="363" t="s">
        <v>558</v>
      </c>
      <c r="B1" s="364"/>
      <c r="S1" s="387"/>
      <c r="T1" s="387"/>
      <c r="U1" s="387"/>
      <c r="V1" s="387"/>
      <c r="W1" s="387"/>
      <c r="X1" s="387"/>
      <c r="Y1" s="387"/>
      <c r="Z1" s="387"/>
    </row>
    <row r="2" spans="1:26">
      <c r="A2" s="365"/>
      <c r="B2" s="365"/>
      <c r="L2" s="387" t="s">
        <v>559</v>
      </c>
      <c r="M2" s="387"/>
      <c r="N2" s="387"/>
      <c r="O2" s="387"/>
      <c r="P2" s="387"/>
      <c r="Q2" s="387"/>
      <c r="R2" s="387"/>
      <c r="S2" s="387"/>
      <c r="T2" s="387"/>
      <c r="U2" s="387"/>
      <c r="V2" s="387"/>
      <c r="W2" s="387"/>
      <c r="X2" s="387"/>
      <c r="Y2" s="387"/>
      <c r="Z2" s="387"/>
    </row>
    <row r="3" spans="1:26">
      <c r="A3" s="366"/>
      <c r="B3" s="366"/>
      <c r="L3" s="387" t="s">
        <v>561</v>
      </c>
      <c r="M3" s="387"/>
      <c r="N3" s="387"/>
      <c r="O3" s="387" t="s">
        <v>562</v>
      </c>
      <c r="P3" s="387"/>
      <c r="Q3" s="387"/>
      <c r="R3" s="387"/>
      <c r="S3" s="387"/>
      <c r="T3" s="387"/>
      <c r="U3" s="387"/>
      <c r="V3" s="387"/>
      <c r="W3" s="387"/>
      <c r="X3" s="387"/>
      <c r="Y3" s="387"/>
      <c r="Z3" s="387"/>
    </row>
    <row r="4" spans="1:26">
      <c r="A4" s="366" t="s">
        <v>563</v>
      </c>
      <c r="B4" s="367">
        <v>0.2437</v>
      </c>
      <c r="L4" s="387"/>
      <c r="M4" s="387"/>
      <c r="N4" s="387"/>
      <c r="O4" s="387"/>
      <c r="P4" s="387"/>
      <c r="Q4" s="387"/>
      <c r="R4" s="387"/>
      <c r="S4" s="387"/>
      <c r="T4" s="387"/>
      <c r="U4" s="387"/>
      <c r="V4" s="387"/>
      <c r="W4" s="387"/>
      <c r="X4" s="387"/>
      <c r="Y4" s="387"/>
      <c r="Z4" s="387"/>
    </row>
    <row r="5" spans="1:26">
      <c r="A5" s="366" t="s">
        <v>564</v>
      </c>
      <c r="B5" s="368">
        <v>2779</v>
      </c>
      <c r="L5" s="387"/>
      <c r="M5" s="387"/>
      <c r="N5" s="387"/>
      <c r="O5" s="387"/>
      <c r="P5" s="387"/>
      <c r="Q5" s="387"/>
      <c r="R5" s="387"/>
      <c r="S5" s="387"/>
      <c r="T5" s="387"/>
      <c r="U5" s="387"/>
      <c r="V5" s="387"/>
      <c r="W5" s="387"/>
      <c r="X5" s="387"/>
      <c r="Y5" s="387"/>
      <c r="Z5" s="387"/>
    </row>
    <row r="6" spans="1:26">
      <c r="A6" s="366" t="s">
        <v>565</v>
      </c>
      <c r="B6" s="369">
        <v>3168.8</v>
      </c>
      <c r="L6" s="387"/>
      <c r="M6" s="387"/>
      <c r="N6" s="387"/>
      <c r="O6" s="387"/>
      <c r="P6" s="387"/>
      <c r="Q6" s="387"/>
      <c r="R6" s="387"/>
      <c r="S6" s="387"/>
      <c r="T6" s="387"/>
      <c r="U6" s="387"/>
      <c r="V6" s="387"/>
      <c r="W6" s="387"/>
      <c r="X6" s="387"/>
      <c r="Y6" s="387"/>
      <c r="Z6" s="387"/>
    </row>
    <row r="7" spans="1:26">
      <c r="A7" s="366" t="s">
        <v>566</v>
      </c>
      <c r="B7" s="367">
        <v>6.0999999999999999E-2</v>
      </c>
      <c r="L7" s="387"/>
      <c r="M7" s="387"/>
      <c r="N7" s="387"/>
      <c r="O7" s="387"/>
      <c r="P7" s="387"/>
      <c r="Q7" s="387"/>
      <c r="R7" s="387"/>
      <c r="S7" s="387"/>
      <c r="T7" s="387"/>
      <c r="U7" s="387"/>
      <c r="V7" s="387"/>
      <c r="W7" s="387"/>
      <c r="X7" s="387"/>
      <c r="Y7" s="387"/>
      <c r="Z7" s="387"/>
    </row>
    <row r="8" spans="1:26">
      <c r="A8" s="366" t="s">
        <v>567</v>
      </c>
      <c r="B8" s="370">
        <v>1.47</v>
      </c>
      <c r="E8" t="s">
        <v>609</v>
      </c>
      <c r="L8" s="387"/>
      <c r="M8" s="387"/>
      <c r="N8" s="387"/>
      <c r="O8" s="387"/>
      <c r="P8" s="387"/>
      <c r="Q8" s="387"/>
      <c r="R8" s="387"/>
      <c r="S8" s="387"/>
      <c r="T8" s="387"/>
      <c r="U8" s="387"/>
      <c r="V8" s="387"/>
      <c r="W8" s="387"/>
      <c r="X8" s="387"/>
      <c r="Y8" s="387"/>
      <c r="Z8" s="387"/>
    </row>
    <row r="9" spans="1:26">
      <c r="A9" s="366"/>
      <c r="B9" s="366"/>
      <c r="L9" s="387"/>
      <c r="M9" s="387"/>
      <c r="N9" s="387"/>
      <c r="O9" s="387"/>
      <c r="P9" s="387"/>
      <c r="Q9" s="387"/>
      <c r="R9" s="387"/>
      <c r="S9" s="387"/>
      <c r="T9" s="387"/>
      <c r="U9" s="387"/>
      <c r="V9" s="387"/>
      <c r="W9" s="387"/>
      <c r="X9" s="387"/>
      <c r="Y9" s="387"/>
      <c r="Z9" s="387"/>
    </row>
    <row r="10" spans="1:26">
      <c r="A10" s="366" t="s">
        <v>568</v>
      </c>
      <c r="B10" s="371">
        <v>4.1200000000000001E-2</v>
      </c>
      <c r="L10" s="387"/>
      <c r="M10" s="387"/>
      <c r="N10" s="387"/>
      <c r="O10" s="387"/>
      <c r="P10" s="387"/>
      <c r="Q10" s="387"/>
      <c r="R10" s="387"/>
      <c r="S10" s="387"/>
      <c r="T10" s="387"/>
      <c r="U10" s="387"/>
      <c r="V10" s="387"/>
      <c r="W10" s="387"/>
      <c r="X10" s="387"/>
      <c r="Y10" s="387"/>
      <c r="Z10" s="387"/>
    </row>
    <row r="11" spans="1:26">
      <c r="A11" s="366" t="s">
        <v>569</v>
      </c>
      <c r="B11" s="371">
        <v>3.9600000000000003E-2</v>
      </c>
      <c r="L11" s="387"/>
      <c r="M11" s="387"/>
      <c r="N11" s="387"/>
      <c r="O11" s="387"/>
      <c r="P11" s="387"/>
      <c r="Q11" s="387"/>
      <c r="R11" s="387"/>
      <c r="S11" s="387"/>
      <c r="T11" s="387"/>
      <c r="U11" s="387"/>
      <c r="V11" s="387"/>
      <c r="W11" s="387"/>
      <c r="X11" s="387"/>
      <c r="Y11" s="387"/>
      <c r="Z11" s="387"/>
    </row>
    <row r="12" spans="1:26">
      <c r="A12" s="372" t="s">
        <v>570</v>
      </c>
      <c r="B12" s="373">
        <f>B11+B8*B10</f>
        <v>0.100164</v>
      </c>
      <c r="L12" s="387"/>
      <c r="M12" s="387"/>
      <c r="N12" s="387"/>
      <c r="O12" s="387"/>
      <c r="P12" s="387"/>
      <c r="Q12" s="387"/>
      <c r="R12" s="387"/>
      <c r="S12" s="387"/>
      <c r="T12" s="387"/>
      <c r="U12" s="387"/>
      <c r="V12" s="387"/>
      <c r="W12" s="387"/>
      <c r="X12" s="387"/>
      <c r="Y12" s="387"/>
      <c r="Z12" s="387"/>
    </row>
    <row r="13" spans="1:26">
      <c r="A13" s="366"/>
      <c r="B13" s="366"/>
      <c r="D13" t="s">
        <v>571</v>
      </c>
      <c r="L13" s="387"/>
      <c r="M13" s="387"/>
      <c r="N13" s="387"/>
      <c r="O13" s="387"/>
      <c r="P13" s="387"/>
      <c r="Q13" s="387"/>
      <c r="R13" s="387"/>
      <c r="S13" s="387"/>
      <c r="T13" s="387"/>
      <c r="U13" s="387"/>
      <c r="V13" s="387"/>
      <c r="W13" s="387"/>
      <c r="X13" s="387"/>
      <c r="Y13" s="387"/>
      <c r="Z13" s="387"/>
    </row>
    <row r="14" spans="1:26">
      <c r="A14" s="366" t="s">
        <v>572</v>
      </c>
      <c r="B14" s="371">
        <v>6.4299999999999996E-2</v>
      </c>
      <c r="D14" t="s">
        <v>573</v>
      </c>
      <c r="L14" s="387"/>
      <c r="M14" s="387"/>
      <c r="N14" s="387"/>
      <c r="O14" s="387"/>
      <c r="P14" s="387"/>
      <c r="Q14" s="387"/>
      <c r="R14" s="387"/>
      <c r="S14" s="387"/>
      <c r="T14" s="387"/>
      <c r="U14" s="387"/>
      <c r="V14" s="387"/>
      <c r="W14" s="387"/>
      <c r="X14" s="387"/>
      <c r="Y14" s="387"/>
      <c r="Z14" s="387"/>
    </row>
    <row r="15" spans="1:26">
      <c r="A15" s="372" t="s">
        <v>574</v>
      </c>
      <c r="B15" s="371">
        <f>B14*(1-B4)</f>
        <v>4.8630089999999994E-2</v>
      </c>
      <c r="L15" s="387"/>
      <c r="M15" s="387"/>
      <c r="N15" s="387"/>
      <c r="O15" s="387"/>
      <c r="P15" s="387"/>
      <c r="Q15" s="387"/>
      <c r="R15" s="387"/>
      <c r="S15" s="387"/>
      <c r="T15" s="387"/>
      <c r="U15" s="387"/>
      <c r="V15" s="387"/>
      <c r="W15" s="387"/>
      <c r="X15" s="387"/>
      <c r="Y15" s="387"/>
      <c r="Z15" s="387"/>
    </row>
    <row r="16" spans="1:26">
      <c r="A16" s="366"/>
      <c r="B16" s="366"/>
      <c r="L16" s="387"/>
      <c r="M16" s="387"/>
      <c r="N16" s="387"/>
      <c r="O16" s="387"/>
      <c r="P16" s="387"/>
      <c r="Q16" s="387"/>
      <c r="R16" s="387"/>
      <c r="S16" s="387"/>
      <c r="T16" s="387"/>
      <c r="U16" s="387"/>
      <c r="V16" s="387"/>
      <c r="W16" s="387"/>
      <c r="X16" s="387"/>
      <c r="Y16" s="387"/>
      <c r="Z16" s="387"/>
    </row>
    <row r="17" spans="1:10">
      <c r="A17" s="374" t="s">
        <v>575</v>
      </c>
      <c r="B17" s="375">
        <f>B12*(0.53)+B14*(0.47)</f>
        <v>8.3307920000000008E-2</v>
      </c>
    </row>
    <row r="20" spans="1:10">
      <c r="A20" s="363" t="s">
        <v>576</v>
      </c>
      <c r="B20" s="364"/>
      <c r="C20" s="364"/>
      <c r="D20" s="364"/>
      <c r="E20" s="376"/>
      <c r="F20" s="376"/>
      <c r="G20" s="376"/>
      <c r="H20" s="376"/>
      <c r="I20" s="376"/>
      <c r="J20" s="376"/>
    </row>
    <row r="21" spans="1:10">
      <c r="B21" s="347"/>
      <c r="C21" s="8">
        <v>2025</v>
      </c>
      <c r="D21" s="8">
        <v>2026</v>
      </c>
      <c r="E21" s="8">
        <v>2027</v>
      </c>
      <c r="F21" s="8">
        <v>2028</v>
      </c>
      <c r="G21" s="8">
        <v>2029</v>
      </c>
      <c r="H21" s="8" t="s">
        <v>577</v>
      </c>
      <c r="I21" s="347"/>
    </row>
    <row r="22" spans="1:10">
      <c r="A22" s="377" t="s">
        <v>578</v>
      </c>
      <c r="B22" s="347"/>
      <c r="C22" s="431">
        <f>DATE(2025,12,31)</f>
        <v>46022</v>
      </c>
      <c r="D22" s="431">
        <f>DATE(2026,12,31)</f>
        <v>46387</v>
      </c>
      <c r="E22" s="431">
        <f>DATE(2027,12,31)</f>
        <v>46752</v>
      </c>
      <c r="F22" s="431">
        <f>DATE(2028,12,31)</f>
        <v>47118</v>
      </c>
      <c r="G22" s="431">
        <f>DATE(2029,12,31)</f>
        <v>47483</v>
      </c>
      <c r="H22" s="431">
        <f>DATE(2030,12,31)</f>
        <v>47848</v>
      </c>
      <c r="I22" s="347"/>
    </row>
    <row r="23" spans="1:10">
      <c r="A23" s="378" t="s">
        <v>579</v>
      </c>
      <c r="B23" s="398">
        <v>45661</v>
      </c>
      <c r="C23" s="347"/>
      <c r="D23" s="347"/>
      <c r="E23" s="347"/>
      <c r="F23" s="347"/>
      <c r="G23" s="347"/>
      <c r="H23" s="347"/>
      <c r="I23" s="347"/>
    </row>
    <row r="24" spans="1:10">
      <c r="A24" s="379" t="s">
        <v>580</v>
      </c>
      <c r="B24" s="348">
        <f>5.08%</f>
        <v>5.0799999999999998E-2</v>
      </c>
      <c r="C24" s="347"/>
      <c r="D24" s="347"/>
      <c r="E24" s="347"/>
      <c r="F24" s="347"/>
      <c r="G24" s="347"/>
      <c r="H24" s="347"/>
      <c r="I24" s="347"/>
    </row>
    <row r="25" spans="1:10">
      <c r="A25" s="380" t="s">
        <v>575</v>
      </c>
      <c r="B25" s="348">
        <f>B17</f>
        <v>8.3307920000000008E-2</v>
      </c>
      <c r="C25" s="347"/>
      <c r="D25" s="347"/>
      <c r="E25" s="347"/>
      <c r="F25" s="347"/>
      <c r="G25" s="347"/>
      <c r="H25" s="347"/>
      <c r="I25" s="347"/>
    </row>
    <row r="26" spans="1:10">
      <c r="B26" s="347"/>
      <c r="C26" s="347"/>
      <c r="D26" s="347"/>
      <c r="E26" s="347"/>
      <c r="F26" s="347"/>
      <c r="G26" s="347"/>
      <c r="H26" s="347"/>
      <c r="I26" s="347"/>
    </row>
    <row r="27" spans="1:10">
      <c r="A27" s="377" t="s">
        <v>581</v>
      </c>
      <c r="B27" s="347"/>
      <c r="C27" s="347"/>
      <c r="D27" s="347"/>
      <c r="E27" s="347"/>
      <c r="F27" s="347"/>
      <c r="G27" s="347"/>
      <c r="H27" s="347"/>
      <c r="I27" s="347"/>
    </row>
    <row r="28" spans="1:10">
      <c r="A28" s="381" t="s">
        <v>51</v>
      </c>
      <c r="B28" s="347"/>
      <c r="C28" s="399">
        <f>IS!BD52</f>
        <v>0</v>
      </c>
      <c r="D28" s="399">
        <f>IS!BE52</f>
        <v>0</v>
      </c>
      <c r="E28" s="399">
        <f>IS!BF52</f>
        <v>0</v>
      </c>
      <c r="F28" s="399">
        <f>IS!BG52</f>
        <v>0</v>
      </c>
      <c r="G28" s="399">
        <f>IS!BH52</f>
        <v>0</v>
      </c>
      <c r="H28" s="347"/>
      <c r="I28" s="347"/>
    </row>
    <row r="29" spans="1:10">
      <c r="A29" s="382" t="s">
        <v>582</v>
      </c>
      <c r="B29" s="347"/>
      <c r="C29" s="347">
        <f>C28*C30</f>
        <v>0</v>
      </c>
      <c r="D29" s="347">
        <f t="shared" ref="D29:G29" si="0">D28*D30</f>
        <v>0</v>
      </c>
      <c r="E29" s="347">
        <f t="shared" si="0"/>
        <v>0</v>
      </c>
      <c r="F29" s="347">
        <f t="shared" si="0"/>
        <v>0</v>
      </c>
      <c r="G29" s="347">
        <f t="shared" si="0"/>
        <v>0</v>
      </c>
      <c r="H29" s="347"/>
      <c r="I29" s="347"/>
    </row>
    <row r="30" spans="1:10">
      <c r="A30" s="382" t="s">
        <v>583</v>
      </c>
      <c r="B30" s="347"/>
      <c r="C30" s="348">
        <v>0.23699999999999999</v>
      </c>
      <c r="D30" s="348">
        <v>0.23699999999999999</v>
      </c>
      <c r="E30" s="348">
        <v>0.23699999999999999</v>
      </c>
      <c r="F30" s="348">
        <v>0.23699999999999999</v>
      </c>
      <c r="G30" s="348">
        <v>0.23699999999999999</v>
      </c>
      <c r="H30" s="347"/>
      <c r="I30" s="347"/>
    </row>
    <row r="31" spans="1:10">
      <c r="A31" s="383" t="s">
        <v>584</v>
      </c>
      <c r="B31" s="347"/>
      <c r="C31" s="399">
        <f>C28-C29</f>
        <v>0</v>
      </c>
      <c r="D31" s="399">
        <f t="shared" ref="D31:G31" si="1">D28-D29</f>
        <v>0</v>
      </c>
      <c r="E31" s="399">
        <f t="shared" si="1"/>
        <v>0</v>
      </c>
      <c r="F31" s="399">
        <f t="shared" si="1"/>
        <v>0</v>
      </c>
      <c r="G31" s="399">
        <f t="shared" si="1"/>
        <v>0</v>
      </c>
      <c r="H31" s="347"/>
      <c r="I31" s="347"/>
    </row>
    <row r="32" spans="1:10">
      <c r="A32" s="381" t="s">
        <v>585</v>
      </c>
      <c r="B32" s="347"/>
      <c r="C32" s="347">
        <f>'D&amp;A'!AN33</f>
        <v>7758.8</v>
      </c>
      <c r="D32" s="347">
        <f>'D&amp;A'!AS33</f>
        <v>7941.5466666666662</v>
      </c>
      <c r="E32" s="347">
        <f>'D&amp;A'!AX33</f>
        <v>8058.7768888888877</v>
      </c>
      <c r="F32" s="347">
        <f>'D&amp;A'!BC33</f>
        <v>8114.8584296296285</v>
      </c>
      <c r="G32" s="347">
        <f>'D&amp;A'!BH33</f>
        <v>8113.8678676543204</v>
      </c>
      <c r="H32" s="347"/>
      <c r="I32" s="347"/>
    </row>
    <row r="33" spans="1:9">
      <c r="A33" s="381" t="s">
        <v>416</v>
      </c>
      <c r="B33" s="347"/>
      <c r="C33" s="347">
        <v>631</v>
      </c>
      <c r="D33" s="347">
        <v>700</v>
      </c>
      <c r="E33" s="347">
        <v>800</v>
      </c>
      <c r="F33" s="347">
        <v>800</v>
      </c>
      <c r="G33" s="400">
        <v>800</v>
      </c>
      <c r="H33" s="347"/>
      <c r="I33" s="347"/>
    </row>
    <row r="34" spans="1:9">
      <c r="A34" s="381" t="s">
        <v>586</v>
      </c>
      <c r="B34" s="347"/>
      <c r="C34" s="347"/>
      <c r="D34" s="347"/>
      <c r="E34" s="347"/>
      <c r="F34" s="347"/>
      <c r="G34" s="347"/>
      <c r="H34" s="347"/>
      <c r="I34" s="347"/>
    </row>
    <row r="35" spans="1:9">
      <c r="A35" s="700" t="s">
        <v>588</v>
      </c>
      <c r="B35" s="347"/>
      <c r="C35" s="403">
        <f>SUM(C31:C34)</f>
        <v>8389.7999999999993</v>
      </c>
      <c r="D35" s="403">
        <f t="shared" ref="D35:G35" si="2">SUM(D31:D34)</f>
        <v>8641.5466666666653</v>
      </c>
      <c r="E35" s="403">
        <f t="shared" si="2"/>
        <v>8858.7768888888877</v>
      </c>
      <c r="F35" s="403">
        <f t="shared" si="2"/>
        <v>8914.8584296296285</v>
      </c>
      <c r="G35" s="403">
        <f t="shared" si="2"/>
        <v>8913.8678676543204</v>
      </c>
      <c r="H35" s="403">
        <f>G35*(1+B24)</f>
        <v>9366.692355331159</v>
      </c>
      <c r="I35" s="347"/>
    </row>
    <row r="36" spans="1:9">
      <c r="B36" s="347"/>
      <c r="C36" s="347"/>
      <c r="D36" s="347"/>
      <c r="E36" s="347"/>
      <c r="F36" s="347"/>
      <c r="G36" s="347"/>
      <c r="H36" s="347"/>
      <c r="I36" s="347"/>
    </row>
    <row r="37" spans="1:9">
      <c r="A37" s="377" t="s">
        <v>592</v>
      </c>
      <c r="B37" s="401"/>
      <c r="C37" s="401"/>
      <c r="D37" s="401"/>
      <c r="E37" s="401"/>
      <c r="F37" s="401"/>
      <c r="G37" s="401"/>
      <c r="H37" s="401"/>
      <c r="I37" s="347"/>
    </row>
    <row r="38" spans="1:9">
      <c r="A38" s="392" t="s">
        <v>594</v>
      </c>
      <c r="B38" s="401"/>
      <c r="C38" s="402">
        <f>C35</f>
        <v>8389.7999999999993</v>
      </c>
      <c r="D38" s="402">
        <f t="shared" ref="D38:G38" si="3">D35</f>
        <v>8641.5466666666653</v>
      </c>
      <c r="E38" s="402">
        <f t="shared" si="3"/>
        <v>8858.7768888888877</v>
      </c>
      <c r="F38" s="402">
        <f t="shared" si="3"/>
        <v>8914.8584296296285</v>
      </c>
      <c r="G38" s="402">
        <f t="shared" si="3"/>
        <v>8913.8678676543204</v>
      </c>
      <c r="H38" s="402"/>
      <c r="I38" s="347"/>
    </row>
    <row r="39" spans="1:9">
      <c r="A39" s="392" t="s">
        <v>596</v>
      </c>
      <c r="B39" s="401"/>
      <c r="C39" s="393"/>
      <c r="D39" s="393"/>
      <c r="E39" s="394"/>
      <c r="F39" s="394"/>
      <c r="G39" s="396">
        <f>H35/(B25-B24)</f>
        <v>288135.70217138337</v>
      </c>
      <c r="H39" s="388"/>
      <c r="I39" s="347"/>
    </row>
    <row r="40" spans="1:9">
      <c r="A40" s="704" t="s">
        <v>598</v>
      </c>
      <c r="B40" s="704"/>
      <c r="C40" s="705">
        <f>SUM(C38:C39)</f>
        <v>8389.7999999999993</v>
      </c>
      <c r="D40" s="705">
        <f t="shared" ref="D40:G40" si="4">SUM(D38:D39)</f>
        <v>8641.5466666666653</v>
      </c>
      <c r="E40" s="705">
        <f t="shared" si="4"/>
        <v>8858.7768888888877</v>
      </c>
      <c r="F40" s="705">
        <f t="shared" si="4"/>
        <v>8914.8584296296285</v>
      </c>
      <c r="G40" s="705">
        <f t="shared" si="4"/>
        <v>297049.57003903767</v>
      </c>
      <c r="H40" s="706"/>
      <c r="I40" s="347"/>
    </row>
    <row r="41" spans="1:9">
      <c r="B41" s="347"/>
      <c r="C41" s="347"/>
      <c r="D41" s="347"/>
      <c r="E41" s="347"/>
      <c r="F41" s="347"/>
      <c r="G41" s="347"/>
      <c r="H41" s="347"/>
      <c r="I41" s="347"/>
    </row>
    <row r="42" spans="1:9">
      <c r="B42" s="347"/>
      <c r="C42" s="347"/>
      <c r="D42" s="347"/>
      <c r="E42" s="347"/>
      <c r="F42" s="347"/>
      <c r="G42" s="347"/>
      <c r="H42" s="347"/>
      <c r="I42" s="347"/>
    </row>
    <row r="43" spans="1:9">
      <c r="A43" s="377" t="s">
        <v>602</v>
      </c>
      <c r="B43" s="366"/>
      <c r="C43" s="366"/>
      <c r="D43" s="366"/>
      <c r="E43" s="366"/>
      <c r="F43" s="366"/>
      <c r="G43" s="366"/>
      <c r="H43" s="366"/>
      <c r="I43" s="347"/>
    </row>
    <row r="44" spans="1:9">
      <c r="A44" s="382" t="s">
        <v>603</v>
      </c>
      <c r="B44" s="366"/>
      <c r="C44" s="395">
        <f>YEARFRAC(B23,C22)</f>
        <v>0.9916666666666667</v>
      </c>
      <c r="D44" s="395">
        <f>YEARFRAC(E22,D22)+C44</f>
        <v>1.9916666666666667</v>
      </c>
      <c r="E44" s="395">
        <f t="shared" ref="E44:G44" si="5">YEARFRAC(F22,E22)+D44</f>
        <v>2.9916666666666667</v>
      </c>
      <c r="F44" s="395">
        <f t="shared" si="5"/>
        <v>3.9916666666666667</v>
      </c>
      <c r="G44" s="395">
        <f t="shared" si="5"/>
        <v>4.9916666666666671</v>
      </c>
      <c r="H44" s="347"/>
      <c r="I44" s="347"/>
    </row>
    <row r="45" spans="1:9">
      <c r="A45" s="382" t="s">
        <v>594</v>
      </c>
      <c r="B45" s="366"/>
      <c r="C45" s="366">
        <f>C38/(1+$B$25)^C44</f>
        <v>7749.7784854202846</v>
      </c>
      <c r="D45" s="366">
        <f t="shared" ref="D45:G45" si="6">D38/(1+$B$25)^D44</f>
        <v>7368.4686888817387</v>
      </c>
      <c r="E45" s="366">
        <f t="shared" si="6"/>
        <v>6972.8064214290462</v>
      </c>
      <c r="F45" s="366">
        <f t="shared" si="6"/>
        <v>6477.3352730698089</v>
      </c>
      <c r="G45" s="366">
        <f t="shared" si="6"/>
        <v>5978.5546043612758</v>
      </c>
      <c r="H45" s="388">
        <f>H39/(1+$D$67)^G44</f>
        <v>0</v>
      </c>
      <c r="I45" s="347"/>
    </row>
    <row r="46" spans="1:9">
      <c r="A46" s="382" t="s">
        <v>596</v>
      </c>
      <c r="B46" s="366"/>
      <c r="C46" s="390"/>
      <c r="D46" s="390"/>
      <c r="E46" s="391"/>
      <c r="F46" s="391"/>
      <c r="G46" s="397"/>
      <c r="H46" s="388">
        <f>H40/(1+$D$67)^G44</f>
        <v>0</v>
      </c>
      <c r="I46" s="347"/>
    </row>
    <row r="47" spans="1:9">
      <c r="A47" s="700" t="s">
        <v>602</v>
      </c>
      <c r="B47" s="700"/>
      <c r="C47" s="700">
        <f>SUM(C45:C46)</f>
        <v>7749.7784854202846</v>
      </c>
      <c r="D47" s="708">
        <f>SUM(D45:D46)</f>
        <v>7368.4686888817387</v>
      </c>
      <c r="E47" s="708">
        <f t="shared" ref="E47:F47" si="7">SUM(E45:E46)</f>
        <v>6972.8064214290462</v>
      </c>
      <c r="F47" s="708">
        <f t="shared" si="7"/>
        <v>6477.3352730698089</v>
      </c>
      <c r="G47" s="708">
        <f>SUM(G45:G46)</f>
        <v>5978.5546043612758</v>
      </c>
      <c r="H47" s="708">
        <f>SUM(H45:H46)</f>
        <v>0</v>
      </c>
      <c r="I47" s="347"/>
    </row>
    <row r="49" spans="1:10">
      <c r="A49" s="363" t="s">
        <v>610</v>
      </c>
      <c r="B49" s="364"/>
      <c r="C49" s="364"/>
      <c r="D49" s="364"/>
      <c r="E49" s="376"/>
      <c r="F49" s="376"/>
      <c r="G49" s="376"/>
      <c r="H49" s="376"/>
      <c r="I49" s="376"/>
      <c r="J49" s="376"/>
    </row>
    <row r="50" spans="1:10">
      <c r="A50" s="366"/>
      <c r="B50" s="385" t="e">
        <v>#REF!</v>
      </c>
      <c r="C50" s="416">
        <f>C21</f>
        <v>2025</v>
      </c>
      <c r="D50" s="410">
        <f t="shared" ref="D50:H51" si="8">D21</f>
        <v>2026</v>
      </c>
      <c r="E50" s="410">
        <f t="shared" si="8"/>
        <v>2027</v>
      </c>
      <c r="F50" s="410">
        <f t="shared" si="8"/>
        <v>2028</v>
      </c>
      <c r="G50" s="410">
        <f t="shared" si="8"/>
        <v>2029</v>
      </c>
      <c r="H50" s="410" t="str">
        <f t="shared" si="8"/>
        <v>Term</v>
      </c>
      <c r="I50" s="411"/>
      <c r="J50" s="366"/>
    </row>
    <row r="51" spans="1:10">
      <c r="A51" s="366"/>
      <c r="B51" s="385"/>
      <c r="C51" s="412">
        <f>C22</f>
        <v>46022</v>
      </c>
      <c r="D51" s="412">
        <f t="shared" si="8"/>
        <v>46387</v>
      </c>
      <c r="E51" s="412">
        <f t="shared" si="8"/>
        <v>46752</v>
      </c>
      <c r="F51" s="412">
        <f t="shared" si="8"/>
        <v>47118</v>
      </c>
      <c r="G51" s="412">
        <f t="shared" si="8"/>
        <v>47483</v>
      </c>
      <c r="H51" s="412">
        <f t="shared" si="8"/>
        <v>47848</v>
      </c>
      <c r="I51" s="412"/>
      <c r="J51" s="366"/>
    </row>
    <row r="52" spans="1:10">
      <c r="A52" s="377" t="s">
        <v>578</v>
      </c>
      <c r="B52" s="366"/>
      <c r="C52" s="365"/>
      <c r="D52" s="365"/>
      <c r="E52" s="365"/>
      <c r="F52" s="365"/>
      <c r="G52" s="365"/>
      <c r="H52" s="365"/>
      <c r="I52" s="366"/>
      <c r="J52" s="366"/>
    </row>
    <row r="53" spans="1:10">
      <c r="A53" s="378" t="s">
        <v>579</v>
      </c>
      <c r="B53" s="386">
        <f>B23</f>
        <v>45661</v>
      </c>
      <c r="C53" s="366"/>
      <c r="D53" s="383"/>
      <c r="E53" s="383"/>
      <c r="F53" s="383"/>
      <c r="G53" s="383"/>
      <c r="H53" s="383"/>
      <c r="I53" s="366"/>
      <c r="J53" s="366"/>
    </row>
    <row r="54" spans="1:10">
      <c r="A54" s="379" t="s">
        <v>611</v>
      </c>
      <c r="B54" s="413"/>
      <c r="C54" s="366"/>
      <c r="D54" s="383"/>
      <c r="E54" s="383"/>
      <c r="F54" s="383"/>
      <c r="G54" s="383"/>
      <c r="H54" s="383"/>
      <c r="I54" s="366"/>
      <c r="J54" s="366"/>
    </row>
    <row r="55" spans="1:10">
      <c r="A55" s="379" t="s">
        <v>612</v>
      </c>
      <c r="B55" s="366"/>
      <c r="C55" s="383"/>
      <c r="D55" s="383"/>
      <c r="E55" s="383"/>
      <c r="F55" s="383"/>
      <c r="G55" s="383"/>
      <c r="H55" s="366"/>
      <c r="I55" s="366"/>
    </row>
    <row r="56" spans="1:10">
      <c r="A56" s="379" t="s">
        <v>613</v>
      </c>
      <c r="B56" s="366"/>
      <c r="C56" s="383"/>
      <c r="D56" s="383"/>
      <c r="E56" s="383"/>
      <c r="F56" s="383"/>
      <c r="G56" s="383"/>
      <c r="H56" s="366"/>
      <c r="I56" s="366"/>
    </row>
    <row r="57" spans="1:10">
      <c r="A57" s="379" t="s">
        <v>614</v>
      </c>
      <c r="B57" s="366"/>
      <c r="C57" s="383"/>
      <c r="D57" s="383"/>
      <c r="E57" s="383"/>
      <c r="F57" s="383"/>
      <c r="G57" s="383"/>
      <c r="H57" s="366"/>
      <c r="I57" s="366"/>
    </row>
    <row r="58" spans="1:10">
      <c r="A58" s="379" t="s">
        <v>615</v>
      </c>
      <c r="B58" s="366"/>
      <c r="C58" s="383"/>
      <c r="D58" s="383"/>
      <c r="E58" s="383"/>
      <c r="F58" s="383"/>
      <c r="G58" s="383"/>
      <c r="H58" s="366"/>
      <c r="I58" s="366"/>
    </row>
    <row r="59" spans="1:10">
      <c r="A59" s="379" t="s">
        <v>616</v>
      </c>
      <c r="B59" s="366"/>
      <c r="C59" s="383"/>
      <c r="D59" s="383"/>
      <c r="E59" s="383"/>
      <c r="F59" s="383"/>
      <c r="G59" s="383"/>
      <c r="H59" s="366"/>
      <c r="I59" s="366"/>
    </row>
    <row r="60" spans="1:10">
      <c r="A60" s="380" t="s">
        <v>575</v>
      </c>
      <c r="B60" s="371">
        <f>B17</f>
        <v>8.3307920000000008E-2</v>
      </c>
      <c r="C60" s="383"/>
      <c r="D60" s="383"/>
      <c r="E60" s="383"/>
      <c r="F60" s="383"/>
      <c r="G60" s="383"/>
      <c r="H60" s="366"/>
      <c r="I60" s="366"/>
    </row>
    <row r="61" spans="1:10">
      <c r="A61" s="366"/>
      <c r="B61" s="366"/>
      <c r="C61" s="366"/>
      <c r="D61" s="383"/>
      <c r="E61" s="383"/>
      <c r="F61" s="383"/>
      <c r="G61" s="383"/>
      <c r="H61" s="383"/>
      <c r="I61" s="366"/>
      <c r="J61" s="366"/>
    </row>
    <row r="62" spans="1:10">
      <c r="A62" s="377" t="s">
        <v>617</v>
      </c>
      <c r="B62" s="365"/>
      <c r="C62" s="365"/>
      <c r="D62" s="365"/>
      <c r="E62" s="365"/>
      <c r="F62" s="365"/>
      <c r="G62" s="365"/>
      <c r="H62" s="365"/>
      <c r="I62" s="365"/>
      <c r="J62" s="365"/>
    </row>
    <row r="63" spans="1:10">
      <c r="A63" s="382" t="s">
        <v>594</v>
      </c>
      <c r="B63" s="365"/>
      <c r="C63" s="365"/>
      <c r="D63" s="388">
        <f>D36</f>
        <v>0</v>
      </c>
      <c r="E63" s="388">
        <f>E36</f>
        <v>0</v>
      </c>
      <c r="F63" s="388">
        <f>F36</f>
        <v>0</v>
      </c>
      <c r="G63" s="388">
        <f>G36</f>
        <v>0</v>
      </c>
      <c r="H63" s="388">
        <f>H36</f>
        <v>0</v>
      </c>
      <c r="I63" s="365"/>
      <c r="J63" s="365"/>
    </row>
    <row r="64" spans="1:10">
      <c r="A64" s="382" t="s">
        <v>596</v>
      </c>
      <c r="B64" s="365"/>
      <c r="C64" s="389"/>
      <c r="D64" s="390"/>
      <c r="E64" s="391"/>
      <c r="F64" s="391"/>
      <c r="G64" s="391"/>
      <c r="H64" s="388" t="e">
        <f>B54*#REF!</f>
        <v>#REF!</v>
      </c>
      <c r="I64" s="365"/>
      <c r="J64" s="365"/>
    </row>
    <row r="65" spans="1:10">
      <c r="A65" s="709" t="s">
        <v>598</v>
      </c>
      <c r="B65" s="709"/>
      <c r="C65" s="710">
        <v>0</v>
      </c>
      <c r="D65" s="711">
        <f>SUM(D63:D64)</f>
        <v>0</v>
      </c>
      <c r="E65" s="711">
        <f t="shared" ref="E65:G65" si="9">SUM(E63:E64)</f>
        <v>0</v>
      </c>
      <c r="F65" s="711">
        <f t="shared" si="9"/>
        <v>0</v>
      </c>
      <c r="G65" s="712">
        <f t="shared" si="9"/>
        <v>0</v>
      </c>
      <c r="H65" s="712" t="e">
        <f>SUM(H63:H64)</f>
        <v>#REF!</v>
      </c>
      <c r="I65" s="365"/>
      <c r="J65" s="365"/>
    </row>
    <row r="66" spans="1:10">
      <c r="A66" s="365"/>
      <c r="B66" s="365"/>
      <c r="C66" s="365"/>
      <c r="D66" s="365"/>
      <c r="E66" s="414"/>
      <c r="F66" s="365"/>
      <c r="G66" s="365"/>
      <c r="H66" s="365"/>
      <c r="I66" s="365"/>
      <c r="J66" s="365"/>
    </row>
    <row r="67" spans="1:10">
      <c r="A67" s="377" t="s">
        <v>602</v>
      </c>
      <c r="B67" s="365"/>
      <c r="C67" s="365"/>
      <c r="D67" s="365"/>
      <c r="E67" s="365"/>
      <c r="F67" s="365"/>
      <c r="G67" s="365"/>
      <c r="H67" s="365"/>
      <c r="I67" s="365"/>
      <c r="J67" s="365"/>
    </row>
    <row r="68" spans="1:10">
      <c r="A68" s="382" t="s">
        <v>603</v>
      </c>
      <c r="B68" s="365"/>
      <c r="C68" s="365"/>
      <c r="D68" s="395">
        <f>D44</f>
        <v>1.9916666666666667</v>
      </c>
      <c r="E68" s="395">
        <f>E44</f>
        <v>2.9916666666666667</v>
      </c>
      <c r="F68" s="395">
        <f>F44</f>
        <v>3.9916666666666667</v>
      </c>
      <c r="G68" s="395">
        <f>G44</f>
        <v>4.9916666666666671</v>
      </c>
      <c r="H68" s="395">
        <f>H44</f>
        <v>0</v>
      </c>
      <c r="I68" s="365"/>
      <c r="J68" s="365"/>
    </row>
    <row r="69" spans="1:10">
      <c r="A69" s="382" t="s">
        <v>594</v>
      </c>
      <c r="B69" s="365"/>
      <c r="C69" s="365"/>
      <c r="D69" s="388">
        <f>D63/(1+$D$67)^D68</f>
        <v>0</v>
      </c>
      <c r="E69" s="388">
        <f t="shared" ref="E69:G69" si="10">E63/(1+$D$67)^E68</f>
        <v>0</v>
      </c>
      <c r="F69" s="388">
        <f t="shared" si="10"/>
        <v>0</v>
      </c>
      <c r="G69" s="388">
        <f t="shared" si="10"/>
        <v>0</v>
      </c>
      <c r="H69" s="388">
        <f>H63/(1+$D$67)^H68</f>
        <v>0</v>
      </c>
      <c r="I69" s="365"/>
      <c r="J69" s="365"/>
    </row>
    <row r="70" spans="1:10">
      <c r="A70" s="382" t="s">
        <v>596</v>
      </c>
      <c r="B70" s="365"/>
      <c r="C70" s="389"/>
      <c r="D70" s="390"/>
      <c r="E70" s="391"/>
      <c r="F70" s="391"/>
      <c r="G70" s="391"/>
      <c r="H70" s="388" t="e">
        <f>H64/(1+$D$101)^H68</f>
        <v>#REF!</v>
      </c>
      <c r="I70" s="365"/>
      <c r="J70" s="365"/>
    </row>
    <row r="71" spans="1:10">
      <c r="A71" s="700" t="s">
        <v>602</v>
      </c>
      <c r="B71" s="700"/>
      <c r="C71" s="700"/>
      <c r="D71" s="708">
        <f>SUM(D69:D70)</f>
        <v>0</v>
      </c>
      <c r="E71" s="708">
        <f t="shared" ref="E71:G71" si="11">SUM(E69:E70)</f>
        <v>0</v>
      </c>
      <c r="F71" s="708">
        <f t="shared" si="11"/>
        <v>0</v>
      </c>
      <c r="G71" s="708">
        <f t="shared" si="11"/>
        <v>0</v>
      </c>
      <c r="H71" s="708" t="e">
        <f>SUM(H69:H70)</f>
        <v>#REF!</v>
      </c>
      <c r="I71" s="365"/>
      <c r="J71" s="365"/>
    </row>
    <row r="72" spans="1:10">
      <c r="A72" s="383"/>
      <c r="B72" s="383"/>
      <c r="C72" s="383"/>
      <c r="D72" s="415"/>
      <c r="E72" s="415"/>
      <c r="F72" s="415"/>
      <c r="G72" s="415"/>
      <c r="H72" s="365"/>
      <c r="I72" s="365"/>
      <c r="J72" s="365"/>
    </row>
    <row r="73" spans="1:10">
      <c r="A73" s="377" t="s">
        <v>618</v>
      </c>
      <c r="B73" s="365"/>
      <c r="C73" s="365"/>
      <c r="D73" s="365"/>
      <c r="E73" s="365"/>
      <c r="F73" s="365"/>
      <c r="G73" s="365"/>
      <c r="H73" s="365"/>
      <c r="I73" s="365"/>
      <c r="J73" s="365"/>
    </row>
    <row r="74" spans="1:10">
      <c r="A74" s="382" t="s">
        <v>594</v>
      </c>
      <c r="B74" s="365"/>
      <c r="C74" s="365"/>
      <c r="D74" s="388">
        <f>D63</f>
        <v>0</v>
      </c>
      <c r="E74" s="388">
        <f t="shared" ref="E74:G74" si="12">E63</f>
        <v>0</v>
      </c>
      <c r="F74" s="388">
        <f t="shared" si="12"/>
        <v>0</v>
      </c>
      <c r="G74" s="388">
        <f t="shared" si="12"/>
        <v>0</v>
      </c>
      <c r="H74" s="388">
        <f>H63</f>
        <v>0</v>
      </c>
      <c r="I74" s="365"/>
      <c r="J74" s="365"/>
    </row>
    <row r="75" spans="1:10">
      <c r="A75" s="382" t="s">
        <v>596</v>
      </c>
      <c r="B75" s="365"/>
      <c r="C75" s="389"/>
      <c r="D75" s="390"/>
      <c r="E75" s="391"/>
      <c r="F75" s="391"/>
      <c r="G75" s="391"/>
      <c r="H75" s="388">
        <f>$D$96*$D$99</f>
        <v>0</v>
      </c>
      <c r="I75" s="365"/>
      <c r="J75" s="365"/>
    </row>
    <row r="76" spans="1:10">
      <c r="A76" s="709" t="s">
        <v>598</v>
      </c>
      <c r="B76" s="709"/>
      <c r="C76" s="710">
        <v>0</v>
      </c>
      <c r="D76" s="711">
        <f>SUM(D74:D75)</f>
        <v>0</v>
      </c>
      <c r="E76" s="711">
        <f t="shared" ref="E76:G76" si="13">SUM(E74:E75)</f>
        <v>0</v>
      </c>
      <c r="F76" s="711">
        <f t="shared" si="13"/>
        <v>0</v>
      </c>
      <c r="G76" s="712">
        <f t="shared" si="13"/>
        <v>0</v>
      </c>
      <c r="H76" s="712">
        <f>SUM(H74:H75)</f>
        <v>0</v>
      </c>
      <c r="I76" s="365"/>
      <c r="J76" s="365"/>
    </row>
    <row r="77" spans="1:10">
      <c r="A77" s="365"/>
      <c r="B77" s="365"/>
      <c r="C77" s="365"/>
      <c r="D77" s="365"/>
      <c r="E77" s="414"/>
      <c r="F77" s="365"/>
      <c r="G77" s="365"/>
      <c r="H77" s="365"/>
      <c r="I77" s="365"/>
      <c r="J77" s="365"/>
    </row>
    <row r="78" spans="1:10">
      <c r="A78" s="377" t="s">
        <v>602</v>
      </c>
      <c r="B78" s="365"/>
      <c r="C78" s="365"/>
      <c r="D78" s="365"/>
      <c r="E78" s="365"/>
      <c r="F78" s="365"/>
      <c r="G78" s="365"/>
      <c r="H78" s="365"/>
      <c r="I78" s="365"/>
      <c r="J78" s="365"/>
    </row>
    <row r="79" spans="1:10">
      <c r="A79" s="382" t="s">
        <v>603</v>
      </c>
      <c r="B79" s="365"/>
      <c r="C79" s="365"/>
      <c r="D79" s="395">
        <f>D68</f>
        <v>1.9916666666666667</v>
      </c>
      <c r="E79" s="395">
        <f t="shared" ref="E79:G79" si="14">E68</f>
        <v>2.9916666666666667</v>
      </c>
      <c r="F79" s="395">
        <f t="shared" si="14"/>
        <v>3.9916666666666667</v>
      </c>
      <c r="G79" s="395">
        <f t="shared" si="14"/>
        <v>4.9916666666666671</v>
      </c>
      <c r="H79" s="395">
        <f>H68</f>
        <v>0</v>
      </c>
      <c r="I79" s="365"/>
      <c r="J79" s="365"/>
    </row>
    <row r="80" spans="1:10">
      <c r="A80" s="382" t="s">
        <v>594</v>
      </c>
      <c r="B80" s="365"/>
      <c r="C80" s="365"/>
      <c r="D80" s="388">
        <f>D74/(1+$D$67)^D79</f>
        <v>0</v>
      </c>
      <c r="E80" s="388">
        <f t="shared" ref="E80:G80" si="15">E74/(1+$D$67)^E79</f>
        <v>0</v>
      </c>
      <c r="F80" s="388">
        <f t="shared" si="15"/>
        <v>0</v>
      </c>
      <c r="G80" s="388">
        <f t="shared" si="15"/>
        <v>0</v>
      </c>
      <c r="H80" s="388">
        <f>H74/(1+$D$67)^H79</f>
        <v>0</v>
      </c>
      <c r="I80" s="365"/>
      <c r="J80" s="365"/>
    </row>
    <row r="81" spans="1:10">
      <c r="A81" s="382" t="s">
        <v>596</v>
      </c>
      <c r="B81" s="365"/>
      <c r="C81" s="389"/>
      <c r="D81" s="390"/>
      <c r="E81" s="391"/>
      <c r="F81" s="391"/>
      <c r="G81" s="391"/>
      <c r="H81" s="388">
        <f>H75/(1+$D$101)^H79</f>
        <v>0</v>
      </c>
      <c r="I81" s="365"/>
      <c r="J81" s="365"/>
    </row>
    <row r="82" spans="1:10">
      <c r="A82" s="700" t="s">
        <v>602</v>
      </c>
      <c r="B82" s="700"/>
      <c r="C82" s="700"/>
      <c r="D82" s="708">
        <f>SUM(D80:D81)</f>
        <v>0</v>
      </c>
      <c r="E82" s="708">
        <f t="shared" ref="E82:F82" si="16">SUM(E80:E81)</f>
        <v>0</v>
      </c>
      <c r="F82" s="708">
        <f t="shared" si="16"/>
        <v>0</v>
      </c>
      <c r="G82" s="708">
        <f>SUM(G80:G81)</f>
        <v>0</v>
      </c>
      <c r="H82" s="708">
        <f>SUM(H80:H81)</f>
        <v>0</v>
      </c>
      <c r="I82" s="365"/>
      <c r="J82" s="365"/>
    </row>
    <row r="83" spans="1:10">
      <c r="A83" s="383"/>
      <c r="B83" s="383"/>
      <c r="C83" s="383"/>
      <c r="D83" s="415"/>
      <c r="E83" s="415"/>
      <c r="F83" s="415"/>
      <c r="G83" s="415"/>
      <c r="H83" s="415"/>
      <c r="I83" s="365"/>
      <c r="J83" s="365"/>
    </row>
    <row r="84" spans="1:10">
      <c r="A84" s="377" t="s">
        <v>619</v>
      </c>
      <c r="B84" s="365"/>
      <c r="C84" s="365"/>
      <c r="D84" s="365"/>
      <c r="E84" s="365"/>
      <c r="F84" s="365"/>
      <c r="G84" s="365"/>
      <c r="H84" s="365"/>
      <c r="I84" s="365"/>
      <c r="J84" s="365"/>
    </row>
    <row r="85" spans="1:10">
      <c r="A85" s="382" t="s">
        <v>594</v>
      </c>
      <c r="B85" s="365"/>
      <c r="C85" s="365"/>
      <c r="D85" s="388">
        <f>D74</f>
        <v>0</v>
      </c>
      <c r="E85" s="388">
        <f t="shared" ref="E85:G85" si="17">E74</f>
        <v>0</v>
      </c>
      <c r="F85" s="388">
        <f t="shared" si="17"/>
        <v>0</v>
      </c>
      <c r="G85" s="388">
        <f t="shared" si="17"/>
        <v>0</v>
      </c>
      <c r="H85" s="388">
        <f>H74</f>
        <v>0</v>
      </c>
      <c r="I85" s="365"/>
      <c r="J85" s="365"/>
    </row>
    <row r="86" spans="1:10">
      <c r="A86" s="382" t="s">
        <v>596</v>
      </c>
      <c r="B86" s="365"/>
      <c r="C86" s="389"/>
      <c r="D86" s="390"/>
      <c r="E86" s="391"/>
      <c r="F86" s="391"/>
      <c r="G86" s="391"/>
      <c r="H86" s="388">
        <f>$D$97*$D$100</f>
        <v>0</v>
      </c>
      <c r="I86" s="365"/>
      <c r="J86" s="365"/>
    </row>
    <row r="87" spans="1:10">
      <c r="A87" s="709" t="s">
        <v>598</v>
      </c>
      <c r="B87" s="709"/>
      <c r="C87" s="710">
        <v>0</v>
      </c>
      <c r="D87" s="711">
        <f>SUM(D85:D86)</f>
        <v>0</v>
      </c>
      <c r="E87" s="711">
        <f t="shared" ref="E87:G87" si="18">SUM(E85:E86)</f>
        <v>0</v>
      </c>
      <c r="F87" s="711">
        <f t="shared" si="18"/>
        <v>0</v>
      </c>
      <c r="G87" s="712">
        <f t="shared" si="18"/>
        <v>0</v>
      </c>
      <c r="H87" s="712">
        <f>SUM(H85:H86)</f>
        <v>0</v>
      </c>
      <c r="I87" s="365"/>
      <c r="J87" s="365"/>
    </row>
    <row r="88" spans="1:10">
      <c r="A88" s="365"/>
      <c r="B88" s="365"/>
      <c r="C88" s="365"/>
      <c r="D88" s="365"/>
      <c r="E88" s="414"/>
      <c r="F88" s="365"/>
      <c r="G88" s="365"/>
      <c r="H88" s="365"/>
      <c r="I88" s="365"/>
      <c r="J88" s="365"/>
    </row>
    <row r="89" spans="1:10">
      <c r="A89" s="377" t="s">
        <v>602</v>
      </c>
      <c r="B89" s="365"/>
      <c r="C89" s="365"/>
      <c r="D89" s="365"/>
      <c r="E89" s="365"/>
      <c r="F89" s="365"/>
      <c r="G89" s="365"/>
      <c r="H89" s="365"/>
      <c r="I89" s="365"/>
      <c r="J89" s="365"/>
    </row>
    <row r="90" spans="1:10">
      <c r="A90" s="382" t="s">
        <v>603</v>
      </c>
      <c r="B90" s="365"/>
      <c r="C90" s="365"/>
      <c r="D90" s="395">
        <f>D79</f>
        <v>1.9916666666666667</v>
      </c>
      <c r="E90" s="395">
        <f t="shared" ref="E90:G90" si="19">E79</f>
        <v>2.9916666666666667</v>
      </c>
      <c r="F90" s="395">
        <f t="shared" si="19"/>
        <v>3.9916666666666667</v>
      </c>
      <c r="G90" s="395">
        <f t="shared" si="19"/>
        <v>4.9916666666666671</v>
      </c>
      <c r="H90" s="395">
        <f>H79</f>
        <v>0</v>
      </c>
      <c r="I90" s="365"/>
      <c r="J90" s="365"/>
    </row>
    <row r="91" spans="1:10">
      <c r="A91" s="382" t="s">
        <v>594</v>
      </c>
      <c r="B91" s="365"/>
      <c r="C91" s="365"/>
      <c r="D91" s="388">
        <f>D85/(1+$D$67)^D90</f>
        <v>0</v>
      </c>
      <c r="E91" s="388">
        <f t="shared" ref="E91:G91" si="20">E85/(1+$D$67)^E90</f>
        <v>0</v>
      </c>
      <c r="F91" s="388">
        <f t="shared" si="20"/>
        <v>0</v>
      </c>
      <c r="G91" s="388">
        <f t="shared" si="20"/>
        <v>0</v>
      </c>
      <c r="H91" s="388">
        <f>H85/(1+$D$67)^H90</f>
        <v>0</v>
      </c>
      <c r="I91" s="365"/>
      <c r="J91" s="365"/>
    </row>
    <row r="92" spans="1:10">
      <c r="A92" s="382" t="s">
        <v>596</v>
      </c>
      <c r="B92" s="365"/>
      <c r="C92" s="389"/>
      <c r="D92" s="390"/>
      <c r="E92" s="391"/>
      <c r="F92" s="391"/>
      <c r="G92" s="391"/>
      <c r="H92" s="388">
        <f>H86/(1+$D$101)^H90</f>
        <v>0</v>
      </c>
      <c r="I92" s="365"/>
      <c r="J92" s="365"/>
    </row>
    <row r="93" spans="1:10">
      <c r="A93" s="700" t="s">
        <v>602</v>
      </c>
      <c r="B93" s="700"/>
      <c r="C93" s="700"/>
      <c r="D93" s="708">
        <f>SUM(D91:D92)</f>
        <v>0</v>
      </c>
      <c r="E93" s="708">
        <f t="shared" ref="E93:F93" si="21">SUM(E91:E92)</f>
        <v>0</v>
      </c>
      <c r="F93" s="708">
        <f t="shared" si="21"/>
        <v>0</v>
      </c>
      <c r="G93" s="708">
        <f>SUM(G91:G92)</f>
        <v>0</v>
      </c>
      <c r="H93" s="708">
        <f>SUM(H91:H92)</f>
        <v>0</v>
      </c>
      <c r="I93" s="365"/>
      <c r="J93" s="36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DC6C7-6F9B-3E46-8DCF-936EB4E84278}">
  <sheetPr codeName="Sheet14">
    <tabColor theme="9" tint="0.79998168889431442"/>
    <outlinePr summaryBelow="0" summaryRight="0"/>
    <pageSetUpPr autoPageBreaks="0"/>
  </sheetPr>
  <dimension ref="A1:JQ69"/>
  <sheetViews>
    <sheetView topLeftCell="A4" zoomScale="67" zoomScaleNormal="175" workbookViewId="0">
      <pane xSplit="1" ySplit="1" topLeftCell="AM5" activePane="bottomRight" state="frozen"/>
      <selection pane="topRight" activeCell="E19" sqref="E19"/>
      <selection pane="bottomLeft" activeCell="E19" sqref="E19"/>
      <selection pane="bottomRight" activeCell="BE22" sqref="BE22"/>
    </sheetView>
  </sheetViews>
  <sheetFormatPr defaultColWidth="10.8125" defaultRowHeight="11.25" customHeight="1" outlineLevelCol="2"/>
  <cols>
    <col min="1" max="1" width="27.5" style="9" customWidth="1"/>
    <col min="2" max="2" width="7.8125" style="9" hidden="1" customWidth="1"/>
    <col min="3" max="3" width="7.8125" style="9" customWidth="1"/>
    <col min="4" max="11" width="13.8125" style="34" customWidth="1" outlineLevel="1"/>
    <col min="12" max="19" width="13.8125" style="34" customWidth="1" outlineLevel="2"/>
    <col min="20" max="48" width="13.8125" style="34" customWidth="1" outlineLevel="1"/>
    <col min="49" max="49" width="11.1875" style="9" customWidth="1"/>
    <col min="50" max="53" width="8.8125" style="9" customWidth="1"/>
    <col min="54" max="54" width="13.8125" style="34" customWidth="1"/>
    <col min="55" max="55" width="13.8125" style="34" customWidth="1" outlineLevel="1"/>
    <col min="56" max="60" width="13.8125" style="34" customWidth="1"/>
    <col min="61" max="277" width="8.8125" style="9" customWidth="1"/>
    <col min="278" max="16384" width="10.8125" style="9"/>
  </cols>
  <sheetData>
    <row r="1" spans="1:277" ht="10.15">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row>
    <row r="2" spans="1:277" ht="10.15">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row>
    <row r="3" spans="1:277" ht="10.15">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row>
    <row r="4" spans="1:277" ht="10.15">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row>
    <row r="5" spans="1:277" ht="16.149999999999999">
      <c r="A5" s="33" t="s">
        <v>620</v>
      </c>
      <c r="B5" s="33"/>
      <c r="C5" s="33"/>
      <c r="D5" s="65"/>
      <c r="E5" s="65"/>
      <c r="F5" s="65"/>
      <c r="G5" s="65"/>
      <c r="H5" s="65"/>
      <c r="I5" s="65"/>
      <c r="J5" s="65"/>
      <c r="K5" s="65"/>
      <c r="L5" s="65"/>
      <c r="M5" s="65"/>
      <c r="N5" s="65"/>
      <c r="O5" s="65"/>
      <c r="P5" s="65"/>
      <c r="Q5" s="65"/>
      <c r="R5" s="65"/>
      <c r="S5" s="65"/>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row>
    <row r="6" spans="1:277" ht="10.15">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row>
    <row r="7" spans="1:277" ht="10.15">
      <c r="A7" s="32" t="s">
        <v>21</v>
      </c>
      <c r="B7" s="32"/>
      <c r="C7" s="32"/>
      <c r="D7" s="64"/>
      <c r="E7" s="64"/>
      <c r="F7" s="64"/>
      <c r="G7" s="64"/>
      <c r="H7" s="64"/>
      <c r="I7" s="64"/>
      <c r="J7" s="64"/>
      <c r="K7" s="64"/>
      <c r="L7" s="64"/>
      <c r="M7" s="64"/>
      <c r="N7" s="64"/>
      <c r="O7" s="64"/>
      <c r="P7" s="64"/>
      <c r="Q7" s="64"/>
      <c r="R7" s="64"/>
      <c r="S7" s="64"/>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t="s">
        <v>2</v>
      </c>
      <c r="AX7" s="60" t="s">
        <v>3</v>
      </c>
      <c r="AY7" s="45" t="s">
        <v>22</v>
      </c>
      <c r="AZ7" s="62" t="s">
        <v>4</v>
      </c>
      <c r="BA7" s="60" t="s">
        <v>5</v>
      </c>
      <c r="BB7" s="60"/>
      <c r="BC7" s="62"/>
    </row>
    <row r="8" spans="1:277" ht="10.15">
      <c r="A8" s="12"/>
      <c r="B8" s="12"/>
      <c r="C8" s="12"/>
      <c r="D8" s="45"/>
      <c r="E8" s="45"/>
      <c r="F8" s="45"/>
      <c r="G8" s="45"/>
      <c r="H8" s="45"/>
      <c r="I8" s="45"/>
      <c r="J8" s="45"/>
      <c r="K8" s="45"/>
      <c r="L8" s="45"/>
      <c r="M8" s="45"/>
      <c r="N8" s="45"/>
      <c r="O8" s="45"/>
      <c r="P8" s="45"/>
      <c r="Q8" s="45"/>
      <c r="R8" s="45"/>
      <c r="S8" s="45"/>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t="s">
        <v>6</v>
      </c>
      <c r="AX8" s="60" t="s">
        <v>7</v>
      </c>
      <c r="AY8" s="45" t="s">
        <v>22</v>
      </c>
      <c r="AZ8" s="62" t="s">
        <v>8</v>
      </c>
      <c r="BA8" s="60" t="s">
        <v>9</v>
      </c>
      <c r="BB8" s="60"/>
      <c r="BC8" s="62"/>
    </row>
    <row r="9" spans="1:277" ht="10.15">
      <c r="A9" s="12"/>
      <c r="B9" s="12"/>
      <c r="C9" s="12"/>
      <c r="D9" s="45"/>
      <c r="E9" s="45"/>
      <c r="F9" s="45"/>
      <c r="G9" s="45"/>
      <c r="H9" s="45"/>
      <c r="I9" s="45"/>
      <c r="J9" s="45"/>
      <c r="K9" s="45"/>
      <c r="L9" s="45"/>
      <c r="M9" s="45"/>
      <c r="N9" s="45"/>
      <c r="O9" s="45"/>
      <c r="P9" s="45"/>
      <c r="Q9" s="45"/>
      <c r="R9" s="45"/>
      <c r="S9" s="45"/>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t="s">
        <v>10</v>
      </c>
      <c r="AX9" s="60" t="s">
        <v>11</v>
      </c>
      <c r="AY9" s="45" t="s">
        <v>22</v>
      </c>
      <c r="AZ9" s="62" t="s">
        <v>12</v>
      </c>
      <c r="BA9" s="60" t="s">
        <v>13</v>
      </c>
      <c r="BB9" s="60"/>
      <c r="BC9" s="62"/>
    </row>
    <row r="10" spans="1:277" ht="10.15">
      <c r="A10" s="12"/>
      <c r="B10" s="12"/>
      <c r="C10" s="12"/>
      <c r="D10" s="45"/>
      <c r="E10" s="45"/>
      <c r="F10" s="45"/>
      <c r="G10" s="45"/>
      <c r="H10" s="45"/>
      <c r="I10" s="45"/>
      <c r="J10" s="45"/>
      <c r="K10" s="45"/>
      <c r="L10" s="45"/>
      <c r="M10" s="45"/>
      <c r="N10" s="45"/>
      <c r="O10" s="45"/>
      <c r="P10" s="45"/>
      <c r="Q10" s="45"/>
      <c r="R10" s="45"/>
      <c r="S10" s="45"/>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t="s">
        <v>14</v>
      </c>
      <c r="AX10" s="60" t="s">
        <v>15</v>
      </c>
      <c r="AY10" s="45" t="s">
        <v>22</v>
      </c>
      <c r="AZ10" s="62" t="s">
        <v>16</v>
      </c>
      <c r="BA10" s="63" t="s">
        <v>17</v>
      </c>
      <c r="BB10" s="60"/>
      <c r="BC10" s="62"/>
    </row>
    <row r="11" spans="1:277" ht="10.15">
      <c r="A11" s="12"/>
      <c r="B11" s="12"/>
      <c r="C11" s="12"/>
      <c r="D11" s="45"/>
      <c r="E11" s="45"/>
      <c r="F11" s="45"/>
      <c r="G11" s="45"/>
      <c r="H11" s="45"/>
      <c r="I11" s="45"/>
      <c r="J11" s="45"/>
      <c r="K11" s="45"/>
      <c r="L11" s="45"/>
      <c r="M11" s="45"/>
      <c r="N11" s="45"/>
      <c r="O11" s="45"/>
      <c r="P11" s="45"/>
      <c r="Q11" s="45"/>
      <c r="R11" s="45"/>
      <c r="S11" s="45"/>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2" t="s">
        <v>18</v>
      </c>
      <c r="AX11" s="60" t="s">
        <v>19</v>
      </c>
      <c r="AY11" s="45" t="s">
        <v>22</v>
      </c>
      <c r="AZ11" s="61"/>
      <c r="BA11" s="61"/>
      <c r="BB11" s="60"/>
      <c r="BC11" s="61"/>
    </row>
    <row r="12" spans="1:277" ht="10.15">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row>
    <row r="13" spans="1:277" ht="10.15">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row>
    <row r="14" spans="1:277" s="56" customFormat="1" ht="16.05" customHeight="1">
      <c r="A14" s="59" t="s">
        <v>259</v>
      </c>
      <c r="B14" s="59"/>
      <c r="C14" s="59"/>
      <c r="D14" s="58"/>
      <c r="E14" s="58"/>
      <c r="F14" s="58"/>
      <c r="G14" s="58"/>
      <c r="H14" s="58"/>
      <c r="I14" s="58"/>
      <c r="J14" s="58"/>
      <c r="K14" s="58"/>
      <c r="L14" s="58"/>
      <c r="M14" s="58"/>
      <c r="N14" s="58"/>
      <c r="O14" s="58"/>
      <c r="P14" s="58"/>
      <c r="Q14" s="58"/>
      <c r="R14" s="58"/>
      <c r="S14" s="58"/>
      <c r="T14" s="58"/>
      <c r="U14" s="58"/>
      <c r="V14" s="58"/>
      <c r="W14" s="58"/>
      <c r="X14" s="58"/>
      <c r="Y14" s="58"/>
      <c r="Z14" s="58"/>
      <c r="AA14" s="58"/>
      <c r="AB14" s="428"/>
      <c r="AC14" s="428"/>
      <c r="AD14" s="428"/>
      <c r="AE14" s="428"/>
      <c r="AF14" s="429" t="s">
        <v>621</v>
      </c>
      <c r="AG14" s="428"/>
      <c r="AH14" s="428"/>
      <c r="AI14" s="428"/>
      <c r="AJ14" s="428"/>
      <c r="AK14" s="428"/>
      <c r="AL14" s="428"/>
      <c r="AM14" s="428"/>
      <c r="AN14" s="428"/>
      <c r="AO14" s="428"/>
      <c r="AP14" s="428"/>
      <c r="AQ14" s="428"/>
      <c r="AR14" s="428"/>
      <c r="AS14" s="428"/>
      <c r="AT14" s="428"/>
      <c r="AU14" s="428"/>
      <c r="AV14" s="58"/>
      <c r="AW14" s="58">
        <v>2019</v>
      </c>
      <c r="AX14" s="58">
        <v>2020</v>
      </c>
      <c r="AY14" s="58">
        <v>2021</v>
      </c>
      <c r="AZ14" s="58">
        <v>2022</v>
      </c>
      <c r="BA14" s="58">
        <v>2023</v>
      </c>
      <c r="BB14" s="58">
        <v>2024</v>
      </c>
      <c r="BC14" s="788" t="s">
        <v>369</v>
      </c>
      <c r="BD14" s="788"/>
      <c r="BE14" s="788"/>
      <c r="BF14" s="788"/>
      <c r="BG14" s="788"/>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c r="IV14" s="57"/>
      <c r="IW14" s="57"/>
      <c r="IX14" s="57"/>
      <c r="IY14" s="57"/>
      <c r="IZ14" s="57"/>
      <c r="JA14" s="57"/>
      <c r="JB14" s="57"/>
      <c r="JC14" s="57"/>
      <c r="JD14" s="57"/>
      <c r="JE14" s="57"/>
      <c r="JF14" s="57"/>
      <c r="JG14" s="57"/>
      <c r="JH14" s="57"/>
      <c r="JI14" s="57"/>
      <c r="JJ14" s="57"/>
      <c r="JK14" s="57"/>
      <c r="JL14" s="57"/>
      <c r="JM14" s="57"/>
      <c r="JN14" s="57"/>
      <c r="JO14" s="57"/>
      <c r="JP14" s="57"/>
      <c r="JQ14" s="57"/>
    </row>
    <row r="15" spans="1:277" s="111" customFormat="1" ht="26.25">
      <c r="A15" s="109" t="s">
        <v>34</v>
      </c>
      <c r="B15" s="109"/>
      <c r="C15" s="109"/>
      <c r="D15" s="110" t="s">
        <v>169</v>
      </c>
      <c r="E15" s="110" t="s">
        <v>170</v>
      </c>
      <c r="F15" s="110" t="s">
        <v>171</v>
      </c>
      <c r="G15" s="110" t="s">
        <v>172</v>
      </c>
      <c r="H15" s="110" t="s">
        <v>173</v>
      </c>
      <c r="I15" s="110" t="s">
        <v>174</v>
      </c>
      <c r="J15" s="110" t="s">
        <v>175</v>
      </c>
      <c r="K15" s="110" t="s">
        <v>176</v>
      </c>
      <c r="L15" s="110" t="s">
        <v>177</v>
      </c>
      <c r="M15" s="110" t="s">
        <v>178</v>
      </c>
      <c r="N15" s="110" t="s">
        <v>179</v>
      </c>
      <c r="O15" s="110" t="s">
        <v>180</v>
      </c>
      <c r="P15" s="110" t="s">
        <v>181</v>
      </c>
      <c r="Q15" s="110" t="s">
        <v>182</v>
      </c>
      <c r="R15" s="110" t="s">
        <v>183</v>
      </c>
      <c r="S15" s="110" t="s">
        <v>184</v>
      </c>
      <c r="T15" s="110" t="s">
        <v>185</v>
      </c>
      <c r="U15" s="110" t="s">
        <v>186</v>
      </c>
      <c r="V15" s="110" t="s">
        <v>187</v>
      </c>
      <c r="W15" s="110" t="s">
        <v>188</v>
      </c>
      <c r="X15" s="110" t="s">
        <v>189</v>
      </c>
      <c r="Y15" s="110" t="s">
        <v>190</v>
      </c>
      <c r="Z15" s="110" t="s">
        <v>191</v>
      </c>
      <c r="AA15" s="110" t="s">
        <v>192</v>
      </c>
      <c r="AB15" s="110" t="s">
        <v>622</v>
      </c>
      <c r="AC15" s="110" t="s">
        <v>623</v>
      </c>
      <c r="AD15" s="110" t="s">
        <v>624</v>
      </c>
      <c r="AE15" s="110" t="s">
        <v>625</v>
      </c>
      <c r="AF15" s="110" t="s">
        <v>626</v>
      </c>
      <c r="AG15" s="110" t="s">
        <v>627</v>
      </c>
      <c r="AH15" s="110" t="s">
        <v>628</v>
      </c>
      <c r="AI15" s="110" t="s">
        <v>629</v>
      </c>
      <c r="AJ15" s="110" t="s">
        <v>630</v>
      </c>
      <c r="AK15" s="110" t="s">
        <v>631</v>
      </c>
      <c r="AL15" s="110" t="s">
        <v>632</v>
      </c>
      <c r="AM15" s="110" t="s">
        <v>633</v>
      </c>
      <c r="AN15" s="110" t="s">
        <v>634</v>
      </c>
      <c r="AO15" s="110" t="s">
        <v>635</v>
      </c>
      <c r="AP15" s="110" t="s">
        <v>636</v>
      </c>
      <c r="AQ15" s="110" t="s">
        <v>637</v>
      </c>
      <c r="AR15" s="110" t="s">
        <v>638</v>
      </c>
      <c r="AS15" s="110" t="s">
        <v>639</v>
      </c>
      <c r="AT15" s="110" t="s">
        <v>640</v>
      </c>
      <c r="AU15" s="110" t="s">
        <v>641</v>
      </c>
      <c r="AV15" s="110"/>
      <c r="AW15" s="110" t="s">
        <v>26</v>
      </c>
      <c r="AX15" s="110" t="s">
        <v>27</v>
      </c>
      <c r="AY15" s="110" t="s">
        <v>28</v>
      </c>
      <c r="AZ15" s="110" t="s">
        <v>29</v>
      </c>
      <c r="BA15" s="110" t="s">
        <v>30</v>
      </c>
      <c r="BB15" s="110" t="s">
        <v>31</v>
      </c>
      <c r="BC15" s="110" t="s">
        <v>32</v>
      </c>
      <c r="BD15" s="110" t="s">
        <v>642</v>
      </c>
      <c r="BE15" s="110" t="s">
        <v>643</v>
      </c>
      <c r="BF15" s="110" t="s">
        <v>644</v>
      </c>
      <c r="BG15" s="110" t="s">
        <v>645</v>
      </c>
    </row>
    <row r="16" spans="1:277" s="114" customFormat="1" ht="10.15">
      <c r="A16" s="112" t="s">
        <v>193</v>
      </c>
      <c r="B16" s="112"/>
      <c r="C16" s="112"/>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row>
    <row r="17" spans="1:59" ht="10.15">
      <c r="A17" s="15" t="s">
        <v>57</v>
      </c>
      <c r="B17" s="15"/>
      <c r="C17" s="15"/>
      <c r="D17" s="54"/>
      <c r="E17" s="54"/>
      <c r="F17" s="54"/>
      <c r="G17" s="54"/>
      <c r="H17" s="54"/>
      <c r="I17" s="54"/>
      <c r="J17" s="54"/>
      <c r="K17" s="54"/>
      <c r="L17" s="54"/>
      <c r="M17" s="54"/>
      <c r="N17" s="54"/>
      <c r="O17" s="54"/>
      <c r="P17" s="54"/>
      <c r="Q17" s="54"/>
      <c r="R17" s="54"/>
      <c r="S17" s="54"/>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row>
    <row r="18" spans="1:59" ht="10.15">
      <c r="A18" s="12" t="s">
        <v>194</v>
      </c>
      <c r="B18" s="12"/>
      <c r="C18" s="12"/>
      <c r="D18" s="52">
        <v>5541</v>
      </c>
      <c r="E18" s="52">
        <v>5572</v>
      </c>
      <c r="F18" s="52">
        <v>5404</v>
      </c>
      <c r="G18" s="52">
        <v>8455</v>
      </c>
      <c r="H18" s="52">
        <v>5504</v>
      </c>
      <c r="I18" s="52">
        <v>5546</v>
      </c>
      <c r="J18" s="52">
        <v>5173</v>
      </c>
      <c r="K18" s="52">
        <v>8337</v>
      </c>
      <c r="L18" s="52">
        <v>3017</v>
      </c>
      <c r="M18" s="52">
        <v>3559</v>
      </c>
      <c r="N18" s="52">
        <v>3990</v>
      </c>
      <c r="O18" s="52">
        <v>6780</v>
      </c>
      <c r="P18" s="52">
        <v>4706</v>
      </c>
      <c r="Q18" s="52">
        <v>5647</v>
      </c>
      <c r="R18" s="52">
        <v>5440</v>
      </c>
      <c r="S18" s="52">
        <v>8666</v>
      </c>
      <c r="T18" s="51">
        <v>5348</v>
      </c>
      <c r="U18" s="51">
        <v>5600</v>
      </c>
      <c r="V18" s="51">
        <v>5230</v>
      </c>
      <c r="W18" s="51">
        <v>8264</v>
      </c>
      <c r="X18" s="51">
        <v>4982</v>
      </c>
      <c r="Y18" s="51">
        <v>5130</v>
      </c>
      <c r="Z18" s="51">
        <v>4860</v>
      </c>
      <c r="AA18" s="51">
        <v>8120</v>
      </c>
      <c r="AB18" s="51">
        <f>AVERAGE(D18,H18,L18,P18,T18,X180)</f>
        <v>4823.2</v>
      </c>
      <c r="AC18" s="51">
        <f>AVERAGE(E18,I18,M18,Q18,U18,Y180)</f>
        <v>5184.8</v>
      </c>
      <c r="AD18" s="51">
        <f>AVERAGE(F18,J18,N18,R18,V18,Z180)</f>
        <v>5047.3999999999996</v>
      </c>
      <c r="AE18" s="51">
        <f>AVERAGE(G18,K18,O18,S18,W18,AA180)</f>
        <v>8100.4</v>
      </c>
      <c r="AF18" s="51">
        <f>AVERAGE(H18,L18,P18,T18,X18,AB180,D18,AB18)</f>
        <v>4845.8857142857141</v>
      </c>
      <c r="AG18" s="51">
        <f>AVERAGE(I18,M18,Q18,U18,Y18,AC180,E18,AC18)</f>
        <v>5176.971428571429</v>
      </c>
      <c r="AH18" s="51">
        <f>AVERAGE(J18,N18,R18,V18,Z18,AD180,F18,AD18)</f>
        <v>5020.6285714285714</v>
      </c>
      <c r="AI18" s="51">
        <f>AVERAGE(K18,O18,S18,W18,AA18,AE180,G18,AE18)</f>
        <v>8103.2</v>
      </c>
      <c r="AJ18" s="51">
        <f>AVERAGE(L18,P18,T18,X18,AB18,AF180,H18,AF18,D18)</f>
        <v>4845.8857142857141</v>
      </c>
      <c r="AK18" s="51">
        <f>AVERAGE(M18,Q18,U18,Y18,AC18,AG180,I18,AG18,E18)</f>
        <v>5176.971428571429</v>
      </c>
      <c r="AL18" s="51">
        <f>AVERAGE(N18,R18,V18,Z18,AD18,AH180,J18,AH18,F18)</f>
        <v>5020.6285714285714</v>
      </c>
      <c r="AM18" s="51">
        <f>AVERAGE(O18,S18,W18,AA18,AE18,AI180,K18,AI18,G18)</f>
        <v>8103.2</v>
      </c>
      <c r="AN18" s="51">
        <f>AVERAGE(P18,T18,X18,AB18,AF18,AJ180,L18,AJ18,H18,D18)</f>
        <v>4845.8857142857141</v>
      </c>
      <c r="AO18" s="51">
        <f>AVERAGE(Q18,U18,Y18,AC18,AG18,AK180,M18,AK18,I18,E18)</f>
        <v>5176.971428571429</v>
      </c>
      <c r="AP18" s="51">
        <f>AVERAGE(R18,V18,Z18,AD18,AH18,AL180,N18,AL18,J18,F18)</f>
        <v>5020.6285714285714</v>
      </c>
      <c r="AQ18" s="51">
        <f>AVERAGE(S18,W18,AA18,AE18,AI18,AM180,O18,AM18,K18,G18)</f>
        <v>8103.1999999999989</v>
      </c>
      <c r="AR18" s="51">
        <f>AVERAGE(T18,X18,AB18,AF18,AJ18,AN180,P18,AN18,L18,H18,D18)</f>
        <v>4845.8857142857141</v>
      </c>
      <c r="AS18" s="51">
        <f>AVERAGE(U18,Y18,AC18,AG18,AK18,AO180,Q18,AO18,M18,I18)</f>
        <v>5133.0793650793657</v>
      </c>
      <c r="AT18" s="51">
        <f>AVERAGE(V18,Z18,AD18,AH18,AL18,AP180,R18,AP18,N18,J18)</f>
        <v>4978.0317460317456</v>
      </c>
      <c r="AU18" s="51">
        <f>AVERAGE(W18,AA18,AE18,AI18,AM18,AQ180,S18,AQ18,O18,K18)</f>
        <v>8064.1111111111113</v>
      </c>
      <c r="AV18" s="51"/>
      <c r="AW18" s="51">
        <f>SUM(D18:G18)</f>
        <v>24972</v>
      </c>
      <c r="AX18" s="51">
        <f>SUM(H18:K18)</f>
        <v>24560</v>
      </c>
      <c r="AY18" s="51">
        <f>SUM(L18:O18)</f>
        <v>17346</v>
      </c>
      <c r="AZ18" s="51">
        <f>SUM(P21:S21)</f>
        <v>25292</v>
      </c>
      <c r="BA18" s="51">
        <f>SUM(T18:W18)</f>
        <v>24442</v>
      </c>
      <c r="BB18" s="51">
        <f>22293</f>
        <v>22293</v>
      </c>
      <c r="BC18" s="51">
        <f>SUM(AB21:AE21)</f>
        <v>23973.133333333331</v>
      </c>
      <c r="BD18" s="51">
        <f>SUM(AF18:AI18)</f>
        <v>23146.685714285715</v>
      </c>
      <c r="BE18" s="51">
        <f>SUM(AD21:AG21)</f>
        <v>23987.990476190476</v>
      </c>
      <c r="BF18" s="51">
        <f>SUM(AE21:AH21)</f>
        <v>23961.219047619052</v>
      </c>
      <c r="BG18" s="51">
        <f>SUM(AF21:AI21)</f>
        <v>23964.019047619047</v>
      </c>
    </row>
    <row r="19" spans="1:59" ht="10.15">
      <c r="A19" s="12" t="s">
        <v>260</v>
      </c>
      <c r="B19" s="12"/>
      <c r="C19" s="12"/>
      <c r="D19" s="52">
        <v>157</v>
      </c>
      <c r="E19" s="52">
        <v>186</v>
      </c>
      <c r="F19" s="52">
        <v>185</v>
      </c>
      <c r="G19" s="52">
        <v>240</v>
      </c>
      <c r="H19" s="52">
        <v>172</v>
      </c>
      <c r="I19" s="52">
        <v>176</v>
      </c>
      <c r="J19" s="52">
        <v>183</v>
      </c>
      <c r="K19" s="52">
        <v>240</v>
      </c>
      <c r="L19" s="52">
        <v>131</v>
      </c>
      <c r="M19" s="52">
        <v>168</v>
      </c>
      <c r="N19" s="52">
        <v>195</v>
      </c>
      <c r="O19" s="52">
        <v>257</v>
      </c>
      <c r="P19" s="52">
        <v>159</v>
      </c>
      <c r="Q19" s="52">
        <v>197</v>
      </c>
      <c r="R19" s="52">
        <v>213</v>
      </c>
      <c r="S19" s="52">
        <v>264</v>
      </c>
      <c r="T19" s="51">
        <v>217</v>
      </c>
      <c r="U19" s="51">
        <v>234</v>
      </c>
      <c r="V19" s="51">
        <v>237</v>
      </c>
      <c r="W19" s="51">
        <v>319</v>
      </c>
      <c r="X19" s="51">
        <v>191</v>
      </c>
      <c r="Y19" s="51">
        <v>150</v>
      </c>
      <c r="Z19" s="51">
        <v>178</v>
      </c>
      <c r="AA19" s="51">
        <v>255</v>
      </c>
      <c r="AB19" s="51">
        <f>AVERAGE(D19,H19,L19,P19,T19,X181,X19)</f>
        <v>171.16666666666666</v>
      </c>
      <c r="AC19" s="51">
        <f>AVERAGE(E19,I19,M19,Q19,U19,Y181,Y19)</f>
        <v>185.16666666666666</v>
      </c>
      <c r="AD19" s="51">
        <f>AVERAGE(F19,J19,N19,R19,V19,Z181,Z19)</f>
        <v>198.5</v>
      </c>
      <c r="AE19" s="51">
        <f>AVERAGE(G19,K19,O19,S19,W19,AA181,AA19)</f>
        <v>262.5</v>
      </c>
      <c r="AF19" s="51">
        <f>AVERAGE(H19,L19,P19,T19,X19,AB181,AB19,D19)</f>
        <v>171.16666666666669</v>
      </c>
      <c r="AG19" s="51">
        <f>AVERAGE(I19,M19,Q19,U19,Y19,AC181,AC19,E19)</f>
        <v>185.16666666666669</v>
      </c>
      <c r="AH19" s="51">
        <f>AVERAGE(J19,N19,R19,V19,Z19,AD181,AD19,F19)</f>
        <v>198.5</v>
      </c>
      <c r="AI19" s="51">
        <f>AVERAGE(K19,O19,S19,W19,AA19,AE181,AE19,G19)</f>
        <v>262.5</v>
      </c>
      <c r="AJ19" s="51">
        <f>AVERAGE(L19,P19,T19,X19,AB19,AF181,AF19,H19,D19)</f>
        <v>171.16666666666666</v>
      </c>
      <c r="AK19" s="51">
        <f>AVERAGE(M19,Q19,U19,Y19,AC19,AG181,AG19,I19,E19)</f>
        <v>185.16666666666666</v>
      </c>
      <c r="AL19" s="51">
        <f>AVERAGE(N19,R19,V19,Z19,AD19,AH181,AH19,J19,F19)</f>
        <v>198.5</v>
      </c>
      <c r="AM19" s="51">
        <f>AVERAGE(O19,S19,W19,AA19,AE19,AI181,AI19,K19,G19)</f>
        <v>262.5</v>
      </c>
      <c r="AN19" s="51">
        <f>AVERAGE(P19,T19,X19,AB19,AF19,AJ181,AJ19,L19,H19,D19)</f>
        <v>171.16666666666666</v>
      </c>
      <c r="AO19" s="51">
        <f>AVERAGE(Q19,U19,Y19,AC19,AG19,AK181,AK19,M19,I19,E19,A19)</f>
        <v>185.16666666666666</v>
      </c>
      <c r="AP19" s="51">
        <f>AVERAGE(R19,V19,Z19,AD19,AH19,AL181,AL19,N19,J19,F19)</f>
        <v>198.5</v>
      </c>
      <c r="AQ19" s="51">
        <f>AVERAGE(S19,W19,AA19,AE19,AI19,AM181,AM19,O19,K19,G19)</f>
        <v>262.5</v>
      </c>
      <c r="AR19" s="51">
        <f>AVERAGE(T19,X19,AB19,AF19,AJ19,AN181,AN19,P19,L19,H19,D19)</f>
        <v>171.16666666666666</v>
      </c>
      <c r="AS19" s="51">
        <f>AVERAGE(U19,Y19,AC19,AG19,AK19,AO181,AO19,Q19,M19,I19,E19)</f>
        <v>185.16666666666666</v>
      </c>
      <c r="AT19" s="51">
        <f>AVERAGE(V19,Z19,AD19,AH19,AL19,AP181,AP19,R19,N19,J19,F19)</f>
        <v>198.5</v>
      </c>
      <c r="AU19" s="51">
        <f>AVERAGE(W19,AA19,AE19,AI19,AM19,AQ181,AQ19,S19,O19,K19,G19)</f>
        <v>262.5</v>
      </c>
      <c r="AV19" s="51"/>
      <c r="AW19" s="51">
        <f>SUM(D19:G19)</f>
        <v>768</v>
      </c>
      <c r="AX19" s="51">
        <f>SUM(H19:K19)</f>
        <v>771</v>
      </c>
      <c r="AY19" s="51">
        <f>SUM(L19:O19)</f>
        <v>751</v>
      </c>
      <c r="AZ19" s="51">
        <f>SUM(P19:S19)</f>
        <v>833</v>
      </c>
      <c r="BA19" s="51">
        <f>SUM(T19:W19)</f>
        <v>1007</v>
      </c>
      <c r="BB19" s="51">
        <f>SUM(X19:AI19)</f>
        <v>2408.666666666667</v>
      </c>
      <c r="BC19" s="51">
        <f t="shared" ref="BC19:BC65" si="0">SUM(AB19:AE19)</f>
        <v>817.33333333333326</v>
      </c>
      <c r="BD19" s="51">
        <f>SUM(AF19:AI19)</f>
        <v>817.33333333333337</v>
      </c>
      <c r="BE19" s="51">
        <f>SUM(AD19:AG19)</f>
        <v>817.33333333333348</v>
      </c>
      <c r="BF19" s="51">
        <f>SUM(AE19:AH19)</f>
        <v>817.33333333333337</v>
      </c>
      <c r="BG19" s="51">
        <f>SUM(AF19:AI19)</f>
        <v>817.33333333333337</v>
      </c>
    </row>
    <row r="20" spans="1:59" ht="10.15">
      <c r="A20" s="12" t="s">
        <v>261</v>
      </c>
      <c r="B20" s="12"/>
      <c r="C20" s="12"/>
      <c r="D20" s="52" t="s">
        <v>47</v>
      </c>
      <c r="E20" s="52" t="s">
        <v>47</v>
      </c>
      <c r="F20" s="52" t="s">
        <v>47</v>
      </c>
      <c r="G20" s="52" t="s">
        <v>47</v>
      </c>
      <c r="H20" s="52" t="s">
        <v>47</v>
      </c>
      <c r="I20" s="52" t="s">
        <v>47</v>
      </c>
      <c r="J20" s="52" t="s">
        <v>47</v>
      </c>
      <c r="K20" s="52" t="s">
        <v>47</v>
      </c>
      <c r="L20" s="52" t="s">
        <v>47</v>
      </c>
      <c r="M20" s="52" t="s">
        <v>47</v>
      </c>
      <c r="N20" s="52" t="s">
        <v>47</v>
      </c>
      <c r="O20" s="52" t="s">
        <v>47</v>
      </c>
      <c r="P20" s="52" t="s">
        <v>47</v>
      </c>
      <c r="Q20" s="52" t="s">
        <v>47</v>
      </c>
      <c r="R20" s="52" t="s">
        <v>47</v>
      </c>
      <c r="S20" s="52" t="s">
        <v>47</v>
      </c>
      <c r="T20" s="52" t="s">
        <v>47</v>
      </c>
      <c r="U20" s="52" t="s">
        <v>47</v>
      </c>
      <c r="V20" s="52" t="s">
        <v>47</v>
      </c>
      <c r="W20" s="52" t="s">
        <v>47</v>
      </c>
      <c r="X20" s="52" t="s">
        <v>47</v>
      </c>
      <c r="Y20" s="52" t="s">
        <v>47</v>
      </c>
      <c r="Z20" s="52" t="s">
        <v>47</v>
      </c>
      <c r="AA20" s="52" t="s">
        <v>47</v>
      </c>
      <c r="AB20" s="52"/>
      <c r="AC20" s="52"/>
      <c r="AD20" s="52"/>
      <c r="AE20" s="52"/>
      <c r="AF20" s="52"/>
      <c r="AG20" s="52"/>
      <c r="AH20" s="52"/>
      <c r="AI20" s="52"/>
      <c r="AJ20" s="52"/>
      <c r="AK20" s="52"/>
      <c r="AL20" s="52"/>
      <c r="AM20" s="52"/>
      <c r="AN20" s="52"/>
      <c r="AO20" s="52"/>
      <c r="AP20" s="52"/>
      <c r="AQ20" s="52"/>
      <c r="AR20" s="52"/>
      <c r="AS20" s="52"/>
      <c r="AT20" s="52"/>
      <c r="AU20" s="52"/>
      <c r="AV20" s="52"/>
      <c r="AW20" s="51">
        <v>-1</v>
      </c>
      <c r="AX20" s="51">
        <v>0</v>
      </c>
      <c r="AY20" s="51">
        <v>0</v>
      </c>
      <c r="AZ20" s="51">
        <v>107</v>
      </c>
      <c r="BA20" s="51">
        <v>0</v>
      </c>
      <c r="BB20" s="51">
        <v>0</v>
      </c>
      <c r="BC20" s="51">
        <f t="shared" si="0"/>
        <v>0</v>
      </c>
    </row>
    <row r="21" spans="1:59" ht="10.15">
      <c r="A21" s="15" t="s">
        <v>262</v>
      </c>
      <c r="B21" s="15"/>
      <c r="C21" s="15"/>
      <c r="D21" s="50">
        <f t="shared" ref="D21:AU21" si="1">SUM(D18:D19)</f>
        <v>5698</v>
      </c>
      <c r="E21" s="50">
        <f t="shared" si="1"/>
        <v>5758</v>
      </c>
      <c r="F21" s="50">
        <f t="shared" si="1"/>
        <v>5589</v>
      </c>
      <c r="G21" s="50">
        <f t="shared" si="1"/>
        <v>8695</v>
      </c>
      <c r="H21" s="50">
        <f t="shared" si="1"/>
        <v>5676</v>
      </c>
      <c r="I21" s="50">
        <f t="shared" si="1"/>
        <v>5722</v>
      </c>
      <c r="J21" s="50">
        <f t="shared" si="1"/>
        <v>5356</v>
      </c>
      <c r="K21" s="50">
        <f t="shared" si="1"/>
        <v>8577</v>
      </c>
      <c r="L21" s="50">
        <f t="shared" si="1"/>
        <v>3148</v>
      </c>
      <c r="M21" s="50">
        <f t="shared" si="1"/>
        <v>3727</v>
      </c>
      <c r="N21" s="50">
        <f t="shared" si="1"/>
        <v>4185</v>
      </c>
      <c r="O21" s="50">
        <f t="shared" si="1"/>
        <v>7037</v>
      </c>
      <c r="P21" s="50">
        <f t="shared" si="1"/>
        <v>4865</v>
      </c>
      <c r="Q21" s="50">
        <f t="shared" si="1"/>
        <v>5844</v>
      </c>
      <c r="R21" s="50">
        <f t="shared" si="1"/>
        <v>5653</v>
      </c>
      <c r="S21" s="50">
        <f t="shared" si="1"/>
        <v>8930</v>
      </c>
      <c r="T21" s="642">
        <f t="shared" si="1"/>
        <v>5565</v>
      </c>
      <c r="U21" s="642">
        <f t="shared" si="1"/>
        <v>5834</v>
      </c>
      <c r="V21" s="642">
        <f t="shared" si="1"/>
        <v>5467</v>
      </c>
      <c r="W21" s="642">
        <f t="shared" si="1"/>
        <v>8583</v>
      </c>
      <c r="X21" s="642">
        <f t="shared" si="1"/>
        <v>5173</v>
      </c>
      <c r="Y21" s="642">
        <f t="shared" si="1"/>
        <v>5280</v>
      </c>
      <c r="Z21" s="642">
        <f t="shared" si="1"/>
        <v>5038</v>
      </c>
      <c r="AA21" s="642">
        <f t="shared" si="1"/>
        <v>8375</v>
      </c>
      <c r="AB21" s="642">
        <f t="shared" si="1"/>
        <v>4994.3666666666668</v>
      </c>
      <c r="AC21" s="642">
        <f t="shared" si="1"/>
        <v>5369.9666666666672</v>
      </c>
      <c r="AD21" s="642">
        <f t="shared" si="1"/>
        <v>5245.9</v>
      </c>
      <c r="AE21" s="642">
        <f t="shared" si="1"/>
        <v>8362.9</v>
      </c>
      <c r="AF21" s="642">
        <f t="shared" si="1"/>
        <v>5017.0523809523811</v>
      </c>
      <c r="AG21" s="642">
        <f t="shared" si="1"/>
        <v>5362.138095238096</v>
      </c>
      <c r="AH21" s="642">
        <f t="shared" si="1"/>
        <v>5219.1285714285714</v>
      </c>
      <c r="AI21" s="642">
        <f t="shared" si="1"/>
        <v>8365.7000000000007</v>
      </c>
      <c r="AJ21" s="642">
        <f t="shared" si="1"/>
        <v>5017.0523809523811</v>
      </c>
      <c r="AK21" s="642">
        <f t="shared" si="1"/>
        <v>5362.138095238096</v>
      </c>
      <c r="AL21" s="642">
        <f t="shared" si="1"/>
        <v>5219.1285714285714</v>
      </c>
      <c r="AM21" s="642">
        <f t="shared" si="1"/>
        <v>8365.7000000000007</v>
      </c>
      <c r="AN21" s="642">
        <f t="shared" si="1"/>
        <v>5017.0523809523811</v>
      </c>
      <c r="AO21" s="642">
        <f t="shared" si="1"/>
        <v>5362.138095238096</v>
      </c>
      <c r="AP21" s="642">
        <f t="shared" si="1"/>
        <v>5219.1285714285714</v>
      </c>
      <c r="AQ21" s="642">
        <f t="shared" si="1"/>
        <v>8365.6999999999989</v>
      </c>
      <c r="AR21" s="642">
        <f t="shared" si="1"/>
        <v>5017.0523809523811</v>
      </c>
      <c r="AS21" s="642">
        <f t="shared" si="1"/>
        <v>5318.2460317460327</v>
      </c>
      <c r="AT21" s="642">
        <f t="shared" si="1"/>
        <v>5176.5317460317456</v>
      </c>
      <c r="AU21" s="642">
        <f t="shared" si="1"/>
        <v>8326.6111111111113</v>
      </c>
      <c r="AV21" s="642"/>
      <c r="AW21" s="642">
        <f t="shared" ref="AW21:BA21" si="2">SUM(AW18:AW20)</f>
        <v>25739</v>
      </c>
      <c r="AX21" s="642">
        <f t="shared" si="2"/>
        <v>25331</v>
      </c>
      <c r="AY21" s="642">
        <f t="shared" si="2"/>
        <v>18097</v>
      </c>
      <c r="AZ21" s="642">
        <f t="shared" si="2"/>
        <v>26232</v>
      </c>
      <c r="BA21" s="642">
        <f t="shared" si="2"/>
        <v>25449</v>
      </c>
      <c r="BB21" s="642">
        <f>SUM(BB18:BB20)</f>
        <v>24701.666666666668</v>
      </c>
      <c r="BC21" s="51">
        <f t="shared" si="0"/>
        <v>23973.133333333331</v>
      </c>
    </row>
    <row r="22" spans="1:59" ht="10.15">
      <c r="A22" s="12"/>
      <c r="B22" s="12"/>
      <c r="C22" s="1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v>25339</v>
      </c>
      <c r="BA22" s="52"/>
      <c r="BB22" s="52"/>
      <c r="BC22" s="51">
        <f t="shared" si="0"/>
        <v>0</v>
      </c>
    </row>
    <row r="23" spans="1:59" ht="10.15">
      <c r="A23" s="12" t="s">
        <v>214</v>
      </c>
      <c r="B23" s="12"/>
      <c r="C23" s="12"/>
      <c r="D23" s="52">
        <v>3382</v>
      </c>
      <c r="E23" s="52">
        <v>3320</v>
      </c>
      <c r="F23" s="52">
        <v>3226</v>
      </c>
      <c r="G23" s="52">
        <v>5288</v>
      </c>
      <c r="H23" s="52">
        <v>3403</v>
      </c>
      <c r="I23" s="52">
        <v>3395</v>
      </c>
      <c r="J23" s="52">
        <v>3106</v>
      </c>
      <c r="K23" s="52">
        <v>5266</v>
      </c>
      <c r="L23" s="52">
        <v>2201</v>
      </c>
      <c r="M23" s="52">
        <v>2718</v>
      </c>
      <c r="N23" s="52">
        <v>2569</v>
      </c>
      <c r="O23" s="52">
        <v>4798</v>
      </c>
      <c r="P23" s="52">
        <v>2889</v>
      </c>
      <c r="Q23" s="52">
        <v>3353</v>
      </c>
      <c r="R23" s="52">
        <v>3207</v>
      </c>
      <c r="S23" s="52">
        <v>5507</v>
      </c>
      <c r="T23" s="51">
        <v>3231</v>
      </c>
      <c r="U23" s="51">
        <v>3422</v>
      </c>
      <c r="V23" s="51">
        <v>3204</v>
      </c>
      <c r="W23" s="51">
        <v>5450</v>
      </c>
      <c r="X23" s="51">
        <v>2988</v>
      </c>
      <c r="Y23" s="51">
        <v>3176</v>
      </c>
      <c r="Z23" s="51">
        <v>2905</v>
      </c>
      <c r="AA23" s="51">
        <v>5154</v>
      </c>
      <c r="AB23" s="51">
        <f t="shared" ref="AB23:AU23" si="3">AVERAGE(X23,T23,P23,L23,H23,D23)</f>
        <v>3015.6666666666665</v>
      </c>
      <c r="AC23" s="51">
        <f t="shared" si="3"/>
        <v>3230.6666666666665</v>
      </c>
      <c r="AD23" s="51">
        <f t="shared" si="3"/>
        <v>3036.1666666666665</v>
      </c>
      <c r="AE23" s="51">
        <f t="shared" si="3"/>
        <v>5243.833333333333</v>
      </c>
      <c r="AF23" s="51">
        <f t="shared" si="3"/>
        <v>2954.6111111111109</v>
      </c>
      <c r="AG23" s="51">
        <f t="shared" si="3"/>
        <v>3215.7777777777774</v>
      </c>
      <c r="AH23" s="51">
        <f t="shared" si="3"/>
        <v>3004.5277777777774</v>
      </c>
      <c r="AI23" s="51">
        <f t="shared" si="3"/>
        <v>5236.4722222222217</v>
      </c>
      <c r="AJ23" s="51">
        <f t="shared" si="3"/>
        <v>2879.8796296296296</v>
      </c>
      <c r="AK23" s="51">
        <f t="shared" si="3"/>
        <v>3185.9074074074074</v>
      </c>
      <c r="AL23" s="51">
        <f t="shared" si="3"/>
        <v>2987.6157407407409</v>
      </c>
      <c r="AM23" s="51">
        <f t="shared" si="3"/>
        <v>5231.5509259259261</v>
      </c>
      <c r="AN23" s="51">
        <f t="shared" si="3"/>
        <v>2993.0262345679016</v>
      </c>
      <c r="AO23" s="51">
        <f t="shared" si="3"/>
        <v>3263.8919753086416</v>
      </c>
      <c r="AP23" s="51">
        <f t="shared" si="3"/>
        <v>3057.3850308641972</v>
      </c>
      <c r="AQ23" s="51">
        <f t="shared" si="3"/>
        <v>5303.8094135802467</v>
      </c>
      <c r="AR23" s="51">
        <f t="shared" si="3"/>
        <v>3010.3639403292182</v>
      </c>
      <c r="AS23" s="51">
        <f t="shared" si="3"/>
        <v>3249.0406378600819</v>
      </c>
      <c r="AT23" s="51">
        <f t="shared" si="3"/>
        <v>3032.4492026748972</v>
      </c>
      <c r="AU23" s="51">
        <f t="shared" si="3"/>
        <v>5269.9443158436216</v>
      </c>
      <c r="AV23" s="51"/>
      <c r="AW23" s="51">
        <f>SUM(D23:G23)</f>
        <v>15216</v>
      </c>
      <c r="AX23" s="51">
        <f>SUM(H23:K23)</f>
        <v>15170</v>
      </c>
      <c r="AY23" s="51">
        <f>SUM(L23:O23)</f>
        <v>12286</v>
      </c>
      <c r="AZ23" s="51">
        <f>SUM(P23:S23)</f>
        <v>14956</v>
      </c>
      <c r="BA23" s="51">
        <f>SUM(T23:W23)</f>
        <v>15307</v>
      </c>
      <c r="BB23" s="51">
        <f>SUM(X23:AI23)</f>
        <v>43160.722222222219</v>
      </c>
      <c r="BC23" s="51">
        <f t="shared" si="0"/>
        <v>14526.333333333332</v>
      </c>
    </row>
    <row r="24" spans="1:59" ht="10.15">
      <c r="A24" s="12" t="s">
        <v>261</v>
      </c>
      <c r="B24" s="12"/>
      <c r="C24" s="12"/>
      <c r="D24" s="52" t="s">
        <v>47</v>
      </c>
      <c r="E24" s="52" t="s">
        <v>47</v>
      </c>
      <c r="F24" s="52" t="s">
        <v>47</v>
      </c>
      <c r="G24" s="52" t="s">
        <v>47</v>
      </c>
      <c r="H24" s="52" t="s">
        <v>47</v>
      </c>
      <c r="I24" s="52" t="s">
        <v>47</v>
      </c>
      <c r="J24" s="52" t="s">
        <v>47</v>
      </c>
      <c r="K24" s="52" t="s">
        <v>47</v>
      </c>
      <c r="L24" s="52" t="s">
        <v>47</v>
      </c>
      <c r="M24" s="52" t="s">
        <v>47</v>
      </c>
      <c r="N24" s="52" t="s">
        <v>47</v>
      </c>
      <c r="O24" s="52" t="s">
        <v>47</v>
      </c>
      <c r="P24" s="52" t="s">
        <v>47</v>
      </c>
      <c r="Q24" s="52" t="s">
        <v>47</v>
      </c>
      <c r="R24" s="52" t="s">
        <v>47</v>
      </c>
      <c r="S24" s="52" t="s">
        <v>47</v>
      </c>
      <c r="T24" s="52" t="s">
        <v>47</v>
      </c>
      <c r="U24" s="52" t="s">
        <v>47</v>
      </c>
      <c r="V24" s="52" t="s">
        <v>47</v>
      </c>
      <c r="W24" s="52" t="s">
        <v>47</v>
      </c>
      <c r="X24" s="51" t="s">
        <v>47</v>
      </c>
      <c r="Y24" s="51" t="s">
        <v>47</v>
      </c>
      <c r="Z24" s="51" t="s">
        <v>47</v>
      </c>
      <c r="AA24" s="51" t="s">
        <v>47</v>
      </c>
      <c r="AB24" s="51"/>
      <c r="AC24" s="51"/>
      <c r="AD24" s="51"/>
      <c r="AE24" s="51"/>
      <c r="AF24" s="51"/>
      <c r="AG24" s="51"/>
      <c r="AH24" s="51"/>
      <c r="AI24" s="51"/>
      <c r="AJ24" s="51"/>
      <c r="AK24" s="51"/>
      <c r="AL24" s="51"/>
      <c r="AM24" s="51"/>
      <c r="AN24" s="51"/>
      <c r="AO24" s="51"/>
      <c r="AP24" s="51"/>
      <c r="AQ24" s="51"/>
      <c r="AR24" s="51"/>
      <c r="AS24" s="51"/>
      <c r="AT24" s="51"/>
      <c r="AU24" s="51"/>
      <c r="AV24" s="51"/>
      <c r="AW24" s="51">
        <v>1</v>
      </c>
      <c r="AX24" s="51">
        <v>-1</v>
      </c>
      <c r="AY24" s="51">
        <v>0</v>
      </c>
      <c r="AZ24" s="51">
        <v>0</v>
      </c>
      <c r="BA24" s="51">
        <v>-40</v>
      </c>
      <c r="BB24" s="51">
        <v>-1</v>
      </c>
      <c r="BC24" s="51">
        <f t="shared" si="0"/>
        <v>0</v>
      </c>
    </row>
    <row r="25" spans="1:59" ht="10.15">
      <c r="A25" s="15" t="s">
        <v>263</v>
      </c>
      <c r="B25" s="15"/>
      <c r="C25" s="15"/>
      <c r="D25" s="50">
        <f t="shared" ref="D25:AU25" si="4">D21-D23</f>
        <v>2316</v>
      </c>
      <c r="E25" s="50">
        <f t="shared" si="4"/>
        <v>2438</v>
      </c>
      <c r="F25" s="50">
        <f t="shared" si="4"/>
        <v>2363</v>
      </c>
      <c r="G25" s="50">
        <f t="shared" si="4"/>
        <v>3407</v>
      </c>
      <c r="H25" s="50">
        <f t="shared" si="4"/>
        <v>2273</v>
      </c>
      <c r="I25" s="50">
        <f t="shared" si="4"/>
        <v>2327</v>
      </c>
      <c r="J25" s="50">
        <f t="shared" si="4"/>
        <v>2250</v>
      </c>
      <c r="K25" s="50">
        <f t="shared" si="4"/>
        <v>3311</v>
      </c>
      <c r="L25" s="50">
        <f t="shared" si="4"/>
        <v>947</v>
      </c>
      <c r="M25" s="50">
        <f t="shared" si="4"/>
        <v>1009</v>
      </c>
      <c r="N25" s="50">
        <f t="shared" si="4"/>
        <v>1616</v>
      </c>
      <c r="O25" s="50">
        <f t="shared" si="4"/>
        <v>2239</v>
      </c>
      <c r="P25" s="50">
        <f t="shared" si="4"/>
        <v>1976</v>
      </c>
      <c r="Q25" s="50">
        <f t="shared" si="4"/>
        <v>2491</v>
      </c>
      <c r="R25" s="50">
        <f t="shared" si="4"/>
        <v>2446</v>
      </c>
      <c r="S25" s="50">
        <f t="shared" si="4"/>
        <v>3423</v>
      </c>
      <c r="T25" s="642">
        <f t="shared" si="4"/>
        <v>2334</v>
      </c>
      <c r="U25" s="642">
        <f t="shared" si="4"/>
        <v>2412</v>
      </c>
      <c r="V25" s="642">
        <f t="shared" si="4"/>
        <v>2263</v>
      </c>
      <c r="W25" s="642">
        <f t="shared" si="4"/>
        <v>3133</v>
      </c>
      <c r="X25" s="642">
        <f t="shared" si="4"/>
        <v>2185</v>
      </c>
      <c r="Y25" s="642">
        <f t="shared" si="4"/>
        <v>2104</v>
      </c>
      <c r="Z25" s="642">
        <f t="shared" si="4"/>
        <v>2133</v>
      </c>
      <c r="AA25" s="642">
        <f t="shared" si="4"/>
        <v>3221</v>
      </c>
      <c r="AB25" s="642">
        <f t="shared" si="4"/>
        <v>1978.7000000000003</v>
      </c>
      <c r="AC25" s="642">
        <f t="shared" si="4"/>
        <v>2139.3000000000006</v>
      </c>
      <c r="AD25" s="642">
        <f t="shared" si="4"/>
        <v>2209.7333333333331</v>
      </c>
      <c r="AE25" s="642">
        <f t="shared" si="4"/>
        <v>3119.0666666666666</v>
      </c>
      <c r="AF25" s="642">
        <f t="shared" si="4"/>
        <v>2062.4412698412702</v>
      </c>
      <c r="AG25" s="642">
        <f t="shared" si="4"/>
        <v>2146.3603174603186</v>
      </c>
      <c r="AH25" s="642">
        <f t="shared" si="4"/>
        <v>2214.600793650794</v>
      </c>
      <c r="AI25" s="642">
        <f t="shared" si="4"/>
        <v>3129.227777777779</v>
      </c>
      <c r="AJ25" s="642">
        <f t="shared" si="4"/>
        <v>2137.1727513227515</v>
      </c>
      <c r="AK25" s="642">
        <f t="shared" si="4"/>
        <v>2176.2306878306886</v>
      </c>
      <c r="AL25" s="642">
        <f t="shared" si="4"/>
        <v>2231.5128306878305</v>
      </c>
      <c r="AM25" s="642">
        <f t="shared" si="4"/>
        <v>3134.1490740740746</v>
      </c>
      <c r="AN25" s="642">
        <f t="shared" si="4"/>
        <v>2024.0261463844795</v>
      </c>
      <c r="AO25" s="642">
        <f t="shared" si="4"/>
        <v>2098.2461199294544</v>
      </c>
      <c r="AP25" s="642">
        <f t="shared" si="4"/>
        <v>2161.7435405643741</v>
      </c>
      <c r="AQ25" s="642">
        <f t="shared" si="4"/>
        <v>3061.8905864197523</v>
      </c>
      <c r="AR25" s="642">
        <f t="shared" si="4"/>
        <v>2006.6884406231629</v>
      </c>
      <c r="AS25" s="642">
        <f t="shared" si="4"/>
        <v>2069.2053938859508</v>
      </c>
      <c r="AT25" s="642">
        <f t="shared" si="4"/>
        <v>2144.0825433568484</v>
      </c>
      <c r="AU25" s="642">
        <f t="shared" si="4"/>
        <v>3056.6667952674898</v>
      </c>
      <c r="AV25" s="642"/>
      <c r="AW25" s="642">
        <f t="shared" ref="AW25:BB25" si="5">AW21-AW23+AW24</f>
        <v>10524</v>
      </c>
      <c r="AX25" s="642">
        <f t="shared" si="5"/>
        <v>10160</v>
      </c>
      <c r="AY25" s="642">
        <f t="shared" si="5"/>
        <v>5811</v>
      </c>
      <c r="AZ25" s="642">
        <f t="shared" si="5"/>
        <v>11276</v>
      </c>
      <c r="BA25" s="642">
        <f t="shared" si="5"/>
        <v>10102</v>
      </c>
      <c r="BB25" s="642">
        <f t="shared" si="5"/>
        <v>-18460.055555555551</v>
      </c>
      <c r="BC25" s="51">
        <f t="shared" si="0"/>
        <v>9446.7999999999993</v>
      </c>
    </row>
    <row r="26" spans="1:59" ht="10.15">
      <c r="A26" s="12"/>
      <c r="B26" s="12"/>
      <c r="C26" s="1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1">
        <f t="shared" si="0"/>
        <v>0</v>
      </c>
    </row>
    <row r="27" spans="1:59" ht="10.15">
      <c r="A27" s="12" t="s">
        <v>264</v>
      </c>
      <c r="B27" s="12"/>
      <c r="C27" s="12"/>
      <c r="D27" s="52">
        <v>2072</v>
      </c>
      <c r="E27" s="52">
        <v>2153</v>
      </c>
      <c r="F27" s="52">
        <v>2246</v>
      </c>
      <c r="G27" s="52">
        <v>2530</v>
      </c>
      <c r="H27" s="52">
        <v>2105</v>
      </c>
      <c r="I27" s="52">
        <v>2169</v>
      </c>
      <c r="J27" s="52">
        <v>2194</v>
      </c>
      <c r="K27" s="52">
        <v>2501</v>
      </c>
      <c r="L27" s="52">
        <v>1589</v>
      </c>
      <c r="M27" s="52">
        <v>1386</v>
      </c>
      <c r="N27" s="52">
        <v>1710</v>
      </c>
      <c r="O27" s="52">
        <v>2027</v>
      </c>
      <c r="P27" s="52">
        <v>1733</v>
      </c>
      <c r="Q27" s="52">
        <v>1881</v>
      </c>
      <c r="R27" s="52">
        <v>1956</v>
      </c>
      <c r="S27" s="52">
        <v>2412</v>
      </c>
      <c r="T27" s="51">
        <v>1898</v>
      </c>
      <c r="U27" s="51">
        <v>2004</v>
      </c>
      <c r="V27" s="51">
        <v>2081</v>
      </c>
      <c r="W27" s="51">
        <v>2457</v>
      </c>
      <c r="X27" s="51">
        <v>1946</v>
      </c>
      <c r="Y27" s="51">
        <v>1976</v>
      </c>
      <c r="Z27" s="51">
        <v>2038</v>
      </c>
      <c r="AA27" s="51">
        <v>2404</v>
      </c>
      <c r="AB27" s="51">
        <f t="shared" ref="AB27:AU27" si="6">AVERAGE(X27,T27,P27,L27,H27,D27)</f>
        <v>1890.5</v>
      </c>
      <c r="AC27" s="51">
        <f t="shared" si="6"/>
        <v>1928.1666666666667</v>
      </c>
      <c r="AD27" s="51">
        <f t="shared" si="6"/>
        <v>2037.5</v>
      </c>
      <c r="AE27" s="51">
        <f t="shared" si="6"/>
        <v>2388.5</v>
      </c>
      <c r="AF27" s="51">
        <f t="shared" si="6"/>
        <v>1860.25</v>
      </c>
      <c r="AG27" s="51">
        <f t="shared" si="6"/>
        <v>1890.6944444444446</v>
      </c>
      <c r="AH27" s="51">
        <f t="shared" si="6"/>
        <v>2002.75</v>
      </c>
      <c r="AI27" s="51">
        <f t="shared" si="6"/>
        <v>2364.9166666666665</v>
      </c>
      <c r="AJ27" s="51">
        <f t="shared" si="6"/>
        <v>1819.4583333333333</v>
      </c>
      <c r="AK27" s="51">
        <f t="shared" si="6"/>
        <v>1844.3101851851852</v>
      </c>
      <c r="AL27" s="51">
        <f t="shared" si="6"/>
        <v>1970.875</v>
      </c>
      <c r="AM27" s="51">
        <f t="shared" si="6"/>
        <v>2342.2361111111109</v>
      </c>
      <c r="AN27" s="51">
        <f t="shared" si="6"/>
        <v>1857.8680555555554</v>
      </c>
      <c r="AO27" s="51">
        <f t="shared" si="6"/>
        <v>1920.6952160493827</v>
      </c>
      <c r="AP27" s="51">
        <f t="shared" si="6"/>
        <v>2014.3541666666667</v>
      </c>
      <c r="AQ27" s="51">
        <f t="shared" si="6"/>
        <v>2394.775462962963</v>
      </c>
      <c r="AR27" s="51">
        <f t="shared" si="6"/>
        <v>1878.679398148148</v>
      </c>
      <c r="AS27" s="51">
        <f t="shared" si="6"/>
        <v>1927.3110853909466</v>
      </c>
      <c r="AT27" s="51">
        <f t="shared" si="6"/>
        <v>2024.0798611111113</v>
      </c>
      <c r="AU27" s="51">
        <f t="shared" si="6"/>
        <v>2391.9047067901233</v>
      </c>
      <c r="AV27" s="51"/>
      <c r="AW27" s="51">
        <f>SUM(D27:G27)</f>
        <v>9001</v>
      </c>
      <c r="AX27" s="51">
        <f>SUM(H27:K27)</f>
        <v>8969</v>
      </c>
      <c r="AY27" s="51">
        <v>6713</v>
      </c>
      <c r="AZ27" s="51">
        <f>SUM(P27:S27)</f>
        <v>7982</v>
      </c>
      <c r="BA27" s="51">
        <f>SUM(T27:W27)</f>
        <v>8440</v>
      </c>
      <c r="BB27" s="51">
        <f>SUM(X27:AI27)</f>
        <v>24727.277777777777</v>
      </c>
      <c r="BC27" s="51">
        <f t="shared" si="0"/>
        <v>8244.6666666666679</v>
      </c>
    </row>
    <row r="28" spans="1:59" ht="10.15">
      <c r="A28" s="404" t="s">
        <v>265</v>
      </c>
      <c r="B28" s="404"/>
      <c r="C28" s="404"/>
      <c r="D28" s="405" t="s">
        <v>47</v>
      </c>
      <c r="E28" s="405" t="s">
        <v>47</v>
      </c>
      <c r="F28" s="405" t="s">
        <v>47</v>
      </c>
      <c r="G28" s="405" t="s">
        <v>47</v>
      </c>
      <c r="H28" s="405" t="s">
        <v>47</v>
      </c>
      <c r="I28" s="405" t="s">
        <v>47</v>
      </c>
      <c r="J28" s="405" t="s">
        <v>47</v>
      </c>
      <c r="K28" s="405" t="s">
        <v>47</v>
      </c>
      <c r="L28" s="405" t="s">
        <v>47</v>
      </c>
      <c r="M28" s="405" t="s">
        <v>47</v>
      </c>
      <c r="N28" s="405" t="s">
        <v>47</v>
      </c>
      <c r="O28" s="405" t="s">
        <v>47</v>
      </c>
      <c r="P28" s="405" t="s">
        <v>47</v>
      </c>
      <c r="Q28" s="405" t="s">
        <v>47</v>
      </c>
      <c r="R28" s="405" t="s">
        <v>47</v>
      </c>
      <c r="S28" s="405" t="s">
        <v>47</v>
      </c>
      <c r="T28" s="406" t="s">
        <v>47</v>
      </c>
      <c r="U28" s="406" t="s">
        <v>47</v>
      </c>
      <c r="V28" s="406" t="s">
        <v>47</v>
      </c>
      <c r="W28" s="406" t="s">
        <v>47</v>
      </c>
      <c r="X28" s="406" t="s">
        <v>47</v>
      </c>
      <c r="Y28" s="406" t="s">
        <v>47</v>
      </c>
      <c r="Z28" s="406" t="s">
        <v>47</v>
      </c>
      <c r="AA28" s="406" t="s">
        <v>47</v>
      </c>
      <c r="AB28" s="406"/>
      <c r="AC28" s="406"/>
      <c r="AD28" s="406"/>
      <c r="AE28" s="406"/>
      <c r="AF28" s="406"/>
      <c r="AG28" s="406"/>
      <c r="AH28" s="406"/>
      <c r="AI28" s="406"/>
      <c r="AJ28" s="406"/>
      <c r="AK28" s="406"/>
      <c r="AL28" s="406"/>
      <c r="AM28" s="406"/>
      <c r="AN28" s="406"/>
      <c r="AO28" s="406"/>
      <c r="AP28" s="406"/>
      <c r="AQ28" s="406"/>
      <c r="AR28" s="406"/>
      <c r="AS28" s="406"/>
      <c r="AT28" s="406"/>
      <c r="AU28" s="406"/>
      <c r="AV28" s="406"/>
      <c r="AW28" s="406">
        <f>SUM(D28:G28)</f>
        <v>0</v>
      </c>
      <c r="AX28" s="406">
        <f>SUM(H28:K28)</f>
        <v>0</v>
      </c>
      <c r="AY28" s="406" t="s">
        <v>47</v>
      </c>
      <c r="AZ28" s="406">
        <f>SUM(P28:S28)</f>
        <v>0</v>
      </c>
      <c r="BA28" s="406">
        <f>SUM(T28:W28)</f>
        <v>0</v>
      </c>
      <c r="BB28" s="406" t="s">
        <v>47</v>
      </c>
      <c r="BC28" s="406">
        <f t="shared" si="0"/>
        <v>0</v>
      </c>
      <c r="BD28" s="407"/>
    </row>
    <row r="29" spans="1:59" ht="10.15">
      <c r="A29" s="12" t="s">
        <v>266</v>
      </c>
      <c r="B29" s="12"/>
      <c r="C29" s="12"/>
      <c r="D29" s="52" t="s">
        <v>47</v>
      </c>
      <c r="E29" s="52" t="s">
        <v>47</v>
      </c>
      <c r="F29" s="52" t="s">
        <v>47</v>
      </c>
      <c r="G29" s="52" t="s">
        <v>47</v>
      </c>
      <c r="H29" s="52" t="s">
        <v>47</v>
      </c>
      <c r="I29" s="52" t="s">
        <v>47</v>
      </c>
      <c r="J29" s="52" t="s">
        <v>47</v>
      </c>
      <c r="K29" s="52" t="s">
        <v>47</v>
      </c>
      <c r="L29" s="52" t="s">
        <v>47</v>
      </c>
      <c r="M29" s="52" t="s">
        <v>47</v>
      </c>
      <c r="N29" s="52" t="s">
        <v>47</v>
      </c>
      <c r="O29" s="52" t="s">
        <v>47</v>
      </c>
      <c r="P29" s="52" t="s">
        <v>47</v>
      </c>
      <c r="Q29" s="52" t="s">
        <v>47</v>
      </c>
      <c r="R29" s="52" t="s">
        <v>47</v>
      </c>
      <c r="S29" s="52" t="s">
        <v>47</v>
      </c>
      <c r="T29" s="51" t="s">
        <v>47</v>
      </c>
      <c r="U29" s="51" t="s">
        <v>47</v>
      </c>
      <c r="V29" s="51" t="s">
        <v>47</v>
      </c>
      <c r="W29" s="51" t="s">
        <v>47</v>
      </c>
      <c r="X29" s="51" t="s">
        <v>47</v>
      </c>
      <c r="Y29" s="51" t="s">
        <v>47</v>
      </c>
      <c r="Z29" s="51" t="s">
        <v>47</v>
      </c>
      <c r="AA29" s="51" t="s">
        <v>47</v>
      </c>
      <c r="AB29" s="51"/>
      <c r="AC29" s="51"/>
      <c r="AD29" s="51"/>
      <c r="AE29" s="51"/>
      <c r="AF29" s="51"/>
      <c r="AG29" s="51"/>
      <c r="AH29" s="51"/>
      <c r="AI29" s="51"/>
      <c r="AJ29" s="51"/>
      <c r="AK29" s="51"/>
      <c r="AL29" s="51"/>
      <c r="AM29" s="51"/>
      <c r="AN29" s="51"/>
      <c r="AO29" s="51"/>
      <c r="AP29" s="51"/>
      <c r="AQ29" s="51"/>
      <c r="AR29" s="51"/>
      <c r="AS29" s="51"/>
      <c r="AT29" s="51"/>
      <c r="AU29" s="51"/>
      <c r="AV29" s="51"/>
      <c r="AW29" s="51">
        <f>SUM(D29:G29)</f>
        <v>0</v>
      </c>
      <c r="AX29" s="51">
        <f>SUM(H29:K29)</f>
        <v>0</v>
      </c>
      <c r="AY29" s="51" t="s">
        <v>47</v>
      </c>
      <c r="AZ29" s="51">
        <f>SUM(P29:S29)</f>
        <v>0</v>
      </c>
      <c r="BA29" s="51">
        <f>SUM(T29:W29)</f>
        <v>0</v>
      </c>
      <c r="BB29" s="51" t="s">
        <v>47</v>
      </c>
      <c r="BC29" s="51">
        <f t="shared" si="0"/>
        <v>0</v>
      </c>
    </row>
    <row r="30" spans="1:59" ht="10.15">
      <c r="A30" s="12" t="s">
        <v>267</v>
      </c>
      <c r="B30" s="12"/>
      <c r="C30" s="12"/>
      <c r="D30" s="52" t="s">
        <v>47</v>
      </c>
      <c r="E30" s="52" t="s">
        <v>47</v>
      </c>
      <c r="F30" s="52" t="s">
        <v>47</v>
      </c>
      <c r="G30" s="52">
        <v>-8</v>
      </c>
      <c r="H30" s="52">
        <v>1</v>
      </c>
      <c r="I30" s="52">
        <v>1</v>
      </c>
      <c r="J30" s="52">
        <v>8</v>
      </c>
      <c r="K30" s="52">
        <v>-10</v>
      </c>
      <c r="L30" s="52">
        <v>9</v>
      </c>
      <c r="M30" s="52">
        <v>58</v>
      </c>
      <c r="N30" s="52">
        <v>12</v>
      </c>
      <c r="O30" s="52">
        <v>-79</v>
      </c>
      <c r="P30" s="52" t="s">
        <v>47</v>
      </c>
      <c r="Q30" s="52" t="s">
        <v>47</v>
      </c>
      <c r="R30" s="52" t="s">
        <v>47</v>
      </c>
      <c r="S30" s="52">
        <v>21</v>
      </c>
      <c r="T30" s="51" t="s">
        <v>47</v>
      </c>
      <c r="U30" s="51" t="s">
        <v>47</v>
      </c>
      <c r="V30" s="51" t="s">
        <v>47</v>
      </c>
      <c r="W30" s="51">
        <v>21</v>
      </c>
      <c r="X30" s="51" t="s">
        <v>47</v>
      </c>
      <c r="Y30" s="51" t="s">
        <v>47</v>
      </c>
      <c r="Z30" s="51" t="s">
        <v>47</v>
      </c>
      <c r="AA30" s="51">
        <v>15</v>
      </c>
      <c r="AB30" s="51">
        <f t="shared" ref="AB30:AU30" si="7">AVERAGE(X30,T30,P30,L30,H30,D30)</f>
        <v>5</v>
      </c>
      <c r="AC30" s="51">
        <f t="shared" si="7"/>
        <v>29.5</v>
      </c>
      <c r="AD30" s="51">
        <f t="shared" si="7"/>
        <v>10</v>
      </c>
      <c r="AE30" s="51">
        <f t="shared" si="7"/>
        <v>-6.666666666666667</v>
      </c>
      <c r="AF30" s="51">
        <f t="shared" si="7"/>
        <v>5</v>
      </c>
      <c r="AG30" s="51">
        <f t="shared" si="7"/>
        <v>29.5</v>
      </c>
      <c r="AH30" s="51">
        <f t="shared" si="7"/>
        <v>10</v>
      </c>
      <c r="AI30" s="51">
        <f t="shared" si="7"/>
        <v>-6.4444444444444455</v>
      </c>
      <c r="AJ30" s="51">
        <f t="shared" si="7"/>
        <v>6.333333333333333</v>
      </c>
      <c r="AK30" s="51">
        <f t="shared" si="7"/>
        <v>39</v>
      </c>
      <c r="AL30" s="51">
        <f t="shared" si="7"/>
        <v>10.666666666666666</v>
      </c>
      <c r="AM30" s="51">
        <f t="shared" si="7"/>
        <v>-5.8518518518518521</v>
      </c>
      <c r="AN30" s="51">
        <f t="shared" si="7"/>
        <v>5.4444444444444438</v>
      </c>
      <c r="AO30" s="51">
        <f t="shared" si="7"/>
        <v>32.666666666666664</v>
      </c>
      <c r="AP30" s="51">
        <f t="shared" si="7"/>
        <v>10.222222222222221</v>
      </c>
      <c r="AQ30" s="51">
        <f t="shared" si="7"/>
        <v>6.3395061728395063</v>
      </c>
      <c r="AR30" s="51">
        <f t="shared" si="7"/>
        <v>5.4444444444444446</v>
      </c>
      <c r="AS30" s="51">
        <f t="shared" si="7"/>
        <v>32.666666666666664</v>
      </c>
      <c r="AT30" s="51">
        <f t="shared" si="7"/>
        <v>10.222222222222221</v>
      </c>
      <c r="AU30" s="51">
        <f t="shared" si="7"/>
        <v>3.8960905349794235</v>
      </c>
      <c r="AV30" s="51"/>
      <c r="AW30" s="51">
        <f>SUM(D30:G30)</f>
        <v>-8</v>
      </c>
      <c r="AX30" s="51">
        <f>SUM(H30:K30)</f>
        <v>0</v>
      </c>
      <c r="AY30" s="51" t="s">
        <v>47</v>
      </c>
      <c r="AZ30" s="51">
        <f>SUM(P30:S30)</f>
        <v>21</v>
      </c>
      <c r="BA30" s="51">
        <f>SUM(T30:W30)</f>
        <v>21</v>
      </c>
      <c r="BB30" s="51">
        <v>15</v>
      </c>
      <c r="BC30" s="51">
        <f t="shared" si="0"/>
        <v>37.833333333333336</v>
      </c>
    </row>
    <row r="31" spans="1:59" ht="10.15">
      <c r="A31" s="12" t="s">
        <v>268</v>
      </c>
      <c r="B31" s="12"/>
      <c r="C31" s="12"/>
      <c r="D31" s="52" t="s">
        <v>47</v>
      </c>
      <c r="E31" s="52" t="s">
        <v>47</v>
      </c>
      <c r="F31" s="52" t="s">
        <v>47</v>
      </c>
      <c r="G31" s="52" t="s">
        <v>47</v>
      </c>
      <c r="H31" s="52" t="s">
        <v>47</v>
      </c>
      <c r="I31" s="52" t="s">
        <v>47</v>
      </c>
      <c r="J31" s="52" t="s">
        <v>47</v>
      </c>
      <c r="K31" s="52" t="s">
        <v>47</v>
      </c>
      <c r="L31" s="52" t="s">
        <v>47</v>
      </c>
      <c r="M31" s="52" t="s">
        <v>47</v>
      </c>
      <c r="N31" s="52" t="s">
        <v>47</v>
      </c>
      <c r="O31" s="52" t="s">
        <v>47</v>
      </c>
      <c r="P31" s="52" t="s">
        <v>47</v>
      </c>
      <c r="Q31" s="52" t="s">
        <v>47</v>
      </c>
      <c r="R31" s="52" t="s">
        <v>47</v>
      </c>
      <c r="S31" s="52" t="s">
        <v>47</v>
      </c>
      <c r="T31" s="52" t="s">
        <v>47</v>
      </c>
      <c r="U31" s="52" t="s">
        <v>47</v>
      </c>
      <c r="V31" s="52" t="s">
        <v>47</v>
      </c>
      <c r="W31" s="52" t="s">
        <v>47</v>
      </c>
      <c r="X31" s="52" t="s">
        <v>47</v>
      </c>
      <c r="Y31" s="52" t="s">
        <v>47</v>
      </c>
      <c r="Z31" s="52" t="s">
        <v>47</v>
      </c>
      <c r="AA31" s="52" t="s">
        <v>47</v>
      </c>
      <c r="AB31" s="52"/>
      <c r="AC31" s="52"/>
      <c r="AD31" s="52"/>
      <c r="AE31" s="52"/>
      <c r="AF31" s="52"/>
      <c r="AG31" s="52"/>
      <c r="AH31" s="52"/>
      <c r="AI31" s="52"/>
      <c r="AJ31" s="52"/>
      <c r="AK31" s="52"/>
      <c r="AL31" s="52"/>
      <c r="AM31" s="52"/>
      <c r="AN31" s="52"/>
      <c r="AO31" s="52"/>
      <c r="AP31" s="52"/>
      <c r="AQ31" s="52"/>
      <c r="AR31" s="52"/>
      <c r="AS31" s="52"/>
      <c r="AT31" s="52"/>
      <c r="AU31" s="52"/>
      <c r="AV31" s="52"/>
      <c r="AW31" s="52">
        <v>-1</v>
      </c>
      <c r="AX31" s="52">
        <v>32</v>
      </c>
      <c r="AY31" s="52">
        <v>0</v>
      </c>
      <c r="AZ31" s="52">
        <v>106</v>
      </c>
      <c r="BA31" s="52">
        <v>1</v>
      </c>
      <c r="BB31" s="52">
        <v>0</v>
      </c>
      <c r="BC31" s="51">
        <f t="shared" si="0"/>
        <v>0</v>
      </c>
    </row>
    <row r="32" spans="1:59" ht="10.15">
      <c r="A32" s="15" t="s">
        <v>269</v>
      </c>
      <c r="B32" s="15"/>
      <c r="C32" s="15"/>
      <c r="D32" s="50">
        <f t="shared" ref="D32:Z32" si="8">SUM(D27:D30)</f>
        <v>2072</v>
      </c>
      <c r="E32" s="50">
        <f t="shared" si="8"/>
        <v>2153</v>
      </c>
      <c r="F32" s="50">
        <f t="shared" si="8"/>
        <v>2246</v>
      </c>
      <c r="G32" s="50">
        <f t="shared" si="8"/>
        <v>2522</v>
      </c>
      <c r="H32" s="50">
        <f t="shared" si="8"/>
        <v>2106</v>
      </c>
      <c r="I32" s="50">
        <f t="shared" si="8"/>
        <v>2170</v>
      </c>
      <c r="J32" s="50">
        <f t="shared" si="8"/>
        <v>2202</v>
      </c>
      <c r="K32" s="50">
        <f t="shared" si="8"/>
        <v>2491</v>
      </c>
      <c r="L32" s="50">
        <f t="shared" si="8"/>
        <v>1598</v>
      </c>
      <c r="M32" s="50">
        <f t="shared" si="8"/>
        <v>1444</v>
      </c>
      <c r="N32" s="50">
        <f t="shared" si="8"/>
        <v>1722</v>
      </c>
      <c r="O32" s="50">
        <f t="shared" si="8"/>
        <v>1948</v>
      </c>
      <c r="P32" s="50">
        <f t="shared" si="8"/>
        <v>1733</v>
      </c>
      <c r="Q32" s="50">
        <f t="shared" si="8"/>
        <v>1881</v>
      </c>
      <c r="R32" s="50">
        <f t="shared" si="8"/>
        <v>1956</v>
      </c>
      <c r="S32" s="50">
        <f t="shared" si="8"/>
        <v>2433</v>
      </c>
      <c r="T32" s="642">
        <f t="shared" si="8"/>
        <v>1898</v>
      </c>
      <c r="U32" s="642">
        <f t="shared" si="8"/>
        <v>2004</v>
      </c>
      <c r="V32" s="642">
        <f t="shared" si="8"/>
        <v>2081</v>
      </c>
      <c r="W32" s="642">
        <f t="shared" si="8"/>
        <v>2478</v>
      </c>
      <c r="X32" s="642">
        <f t="shared" si="8"/>
        <v>1946</v>
      </c>
      <c r="Y32" s="642">
        <f t="shared" si="8"/>
        <v>1976</v>
      </c>
      <c r="Z32" s="642">
        <f t="shared" si="8"/>
        <v>2038</v>
      </c>
      <c r="AA32" s="642">
        <f t="shared" ref="AA32:AU32" si="9">SUM(AA27:AA30)</f>
        <v>2419</v>
      </c>
      <c r="AB32" s="642">
        <f t="shared" si="9"/>
        <v>1895.5</v>
      </c>
      <c r="AC32" s="642">
        <f t="shared" si="9"/>
        <v>1957.6666666666667</v>
      </c>
      <c r="AD32" s="642">
        <f t="shared" si="9"/>
        <v>2047.5</v>
      </c>
      <c r="AE32" s="642">
        <f t="shared" si="9"/>
        <v>2381.8333333333335</v>
      </c>
      <c r="AF32" s="642">
        <f t="shared" si="9"/>
        <v>1865.25</v>
      </c>
      <c r="AG32" s="642">
        <f t="shared" si="9"/>
        <v>1920.1944444444446</v>
      </c>
      <c r="AH32" s="642">
        <f t="shared" si="9"/>
        <v>2012.75</v>
      </c>
      <c r="AI32" s="642">
        <f t="shared" si="9"/>
        <v>2358.4722222222222</v>
      </c>
      <c r="AJ32" s="642">
        <f t="shared" si="9"/>
        <v>1825.7916666666665</v>
      </c>
      <c r="AK32" s="642">
        <f t="shared" si="9"/>
        <v>1883.3101851851852</v>
      </c>
      <c r="AL32" s="642">
        <f t="shared" si="9"/>
        <v>1981.5416666666667</v>
      </c>
      <c r="AM32" s="642">
        <f t="shared" si="9"/>
        <v>2336.3842592592591</v>
      </c>
      <c r="AN32" s="642">
        <f t="shared" si="9"/>
        <v>1863.3124999999998</v>
      </c>
      <c r="AO32" s="642">
        <f t="shared" si="9"/>
        <v>1953.3618827160494</v>
      </c>
      <c r="AP32" s="642">
        <f t="shared" si="9"/>
        <v>2024.5763888888889</v>
      </c>
      <c r="AQ32" s="642">
        <f t="shared" si="9"/>
        <v>2401.1149691358028</v>
      </c>
      <c r="AR32" s="642">
        <f t="shared" si="9"/>
        <v>1884.1238425925924</v>
      </c>
      <c r="AS32" s="642">
        <f t="shared" si="9"/>
        <v>1959.9777520576133</v>
      </c>
      <c r="AT32" s="642">
        <f t="shared" si="9"/>
        <v>2034.3020833333335</v>
      </c>
      <c r="AU32" s="642">
        <f t="shared" si="9"/>
        <v>2395.8007973251028</v>
      </c>
      <c r="AV32" s="642"/>
      <c r="AW32" s="642">
        <f t="shared" ref="AW32:BB32" si="10">SUM(AW27:AW31)</f>
        <v>8992</v>
      </c>
      <c r="AX32" s="642">
        <f t="shared" si="10"/>
        <v>9001</v>
      </c>
      <c r="AY32" s="642">
        <f t="shared" si="10"/>
        <v>6713</v>
      </c>
      <c r="AZ32" s="642">
        <f t="shared" si="10"/>
        <v>8109</v>
      </c>
      <c r="BA32" s="642">
        <f t="shared" si="10"/>
        <v>8462</v>
      </c>
      <c r="BB32" s="642">
        <f t="shared" si="10"/>
        <v>24742.277777777777</v>
      </c>
      <c r="BC32" s="51">
        <f t="shared" si="0"/>
        <v>8282.5</v>
      </c>
    </row>
    <row r="33" spans="1:55" ht="10.15">
      <c r="A33" s="15"/>
      <c r="B33" s="15"/>
      <c r="C33" s="15"/>
      <c r="D33" s="50"/>
      <c r="E33" s="50"/>
      <c r="F33" s="50"/>
      <c r="G33" s="50"/>
      <c r="H33" s="50"/>
      <c r="I33" s="50"/>
      <c r="J33" s="50"/>
      <c r="K33" s="50"/>
      <c r="L33" s="50"/>
      <c r="M33" s="50"/>
      <c r="N33" s="50"/>
      <c r="O33" s="50"/>
      <c r="P33" s="50"/>
      <c r="Q33" s="50"/>
      <c r="R33" s="50"/>
      <c r="S33" s="50"/>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1">
        <f t="shared" si="0"/>
        <v>0</v>
      </c>
    </row>
    <row r="34" spans="1:55" ht="10.15">
      <c r="A34" s="12" t="s">
        <v>268</v>
      </c>
      <c r="B34" s="12"/>
      <c r="C34" s="12"/>
      <c r="D34" s="52" t="s">
        <v>47</v>
      </c>
      <c r="E34" s="52" t="s">
        <v>47</v>
      </c>
      <c r="F34" s="52" t="s">
        <v>47</v>
      </c>
      <c r="G34" s="52" t="s">
        <v>47</v>
      </c>
      <c r="H34" s="52" t="s">
        <v>47</v>
      </c>
      <c r="I34" s="52" t="s">
        <v>47</v>
      </c>
      <c r="J34" s="52" t="s">
        <v>47</v>
      </c>
      <c r="K34" s="52" t="s">
        <v>47</v>
      </c>
      <c r="L34" s="52" t="s">
        <v>47</v>
      </c>
      <c r="M34" s="52" t="s">
        <v>47</v>
      </c>
      <c r="N34" s="52" t="s">
        <v>47</v>
      </c>
      <c r="O34" s="52" t="s">
        <v>47</v>
      </c>
      <c r="P34" s="52" t="s">
        <v>47</v>
      </c>
      <c r="Q34" s="52" t="s">
        <v>47</v>
      </c>
      <c r="R34" s="52" t="s">
        <v>47</v>
      </c>
      <c r="S34" s="52" t="s">
        <v>47</v>
      </c>
      <c r="T34" s="52" t="s">
        <v>47</v>
      </c>
      <c r="U34" s="52" t="s">
        <v>47</v>
      </c>
      <c r="V34" s="52" t="s">
        <v>47</v>
      </c>
      <c r="W34" s="52" t="s">
        <v>47</v>
      </c>
      <c r="X34" s="52" t="s">
        <v>47</v>
      </c>
      <c r="Y34" s="52" t="s">
        <v>47</v>
      </c>
      <c r="Z34" s="52" t="s">
        <v>47</v>
      </c>
      <c r="AA34" s="52" t="s">
        <v>47</v>
      </c>
      <c r="AB34" s="52"/>
      <c r="AC34" s="52"/>
      <c r="AD34" s="52"/>
      <c r="AE34" s="52"/>
      <c r="AF34" s="52"/>
      <c r="AG34" s="52"/>
      <c r="AH34" s="52"/>
      <c r="AI34" s="52"/>
      <c r="AJ34" s="52"/>
      <c r="AK34" s="52"/>
      <c r="AL34" s="52"/>
      <c r="AM34" s="52"/>
      <c r="AN34" s="52"/>
      <c r="AO34" s="52"/>
      <c r="AP34" s="52"/>
      <c r="AQ34" s="52"/>
      <c r="AR34" s="52"/>
      <c r="AS34" s="52"/>
      <c r="AT34" s="52"/>
      <c r="AU34" s="52"/>
      <c r="AV34" s="52"/>
      <c r="AW34" s="52">
        <v>1</v>
      </c>
      <c r="AX34" s="52">
        <v>-1</v>
      </c>
      <c r="AY34" s="52">
        <v>0</v>
      </c>
      <c r="AZ34" s="52">
        <v>0</v>
      </c>
      <c r="BA34" s="52">
        <v>-40</v>
      </c>
      <c r="BB34" s="52">
        <v>-1</v>
      </c>
      <c r="BC34" s="51">
        <f t="shared" si="0"/>
        <v>0</v>
      </c>
    </row>
    <row r="35" spans="1:55" ht="10.15">
      <c r="A35" s="15" t="s">
        <v>646</v>
      </c>
      <c r="B35" s="15"/>
      <c r="C35" s="15"/>
      <c r="D35" s="50">
        <f t="shared" ref="D35:Z35" si="11">D25-D32</f>
        <v>244</v>
      </c>
      <c r="E35" s="50">
        <f t="shared" si="11"/>
        <v>285</v>
      </c>
      <c r="F35" s="50">
        <f t="shared" si="11"/>
        <v>117</v>
      </c>
      <c r="G35" s="50">
        <f t="shared" si="11"/>
        <v>885</v>
      </c>
      <c r="H35" s="50">
        <f t="shared" si="11"/>
        <v>167</v>
      </c>
      <c r="I35" s="50">
        <f t="shared" si="11"/>
        <v>157</v>
      </c>
      <c r="J35" s="50">
        <f t="shared" si="11"/>
        <v>48</v>
      </c>
      <c r="K35" s="50">
        <f t="shared" si="11"/>
        <v>820</v>
      </c>
      <c r="L35" s="50">
        <f t="shared" si="11"/>
        <v>-651</v>
      </c>
      <c r="M35" s="50">
        <f t="shared" si="11"/>
        <v>-435</v>
      </c>
      <c r="N35" s="50">
        <f t="shared" si="11"/>
        <v>-106</v>
      </c>
      <c r="O35" s="50">
        <f t="shared" si="11"/>
        <v>291</v>
      </c>
      <c r="P35" s="50">
        <f t="shared" si="11"/>
        <v>243</v>
      </c>
      <c r="Q35" s="50">
        <f t="shared" si="11"/>
        <v>610</v>
      </c>
      <c r="R35" s="50">
        <f t="shared" si="11"/>
        <v>490</v>
      </c>
      <c r="S35" s="50">
        <f t="shared" si="11"/>
        <v>990</v>
      </c>
      <c r="T35" s="50">
        <f t="shared" si="11"/>
        <v>436</v>
      </c>
      <c r="U35" s="50">
        <f t="shared" si="11"/>
        <v>408</v>
      </c>
      <c r="V35" s="50">
        <f t="shared" si="11"/>
        <v>182</v>
      </c>
      <c r="W35" s="50">
        <f t="shared" si="11"/>
        <v>655</v>
      </c>
      <c r="X35" s="50">
        <f t="shared" si="11"/>
        <v>239</v>
      </c>
      <c r="Y35" s="50">
        <f t="shared" si="11"/>
        <v>128</v>
      </c>
      <c r="Z35" s="50">
        <f t="shared" si="11"/>
        <v>95</v>
      </c>
      <c r="AA35" s="50">
        <f t="shared" ref="AA35:AU35" si="12">AA25-AA32</f>
        <v>802</v>
      </c>
      <c r="AB35" s="50">
        <f t="shared" si="12"/>
        <v>83.200000000000273</v>
      </c>
      <c r="AC35" s="50">
        <f t="shared" si="12"/>
        <v>181.63333333333389</v>
      </c>
      <c r="AD35" s="50">
        <f t="shared" si="12"/>
        <v>162.23333333333312</v>
      </c>
      <c r="AE35" s="50">
        <f t="shared" si="12"/>
        <v>737.23333333333312</v>
      </c>
      <c r="AF35" s="50">
        <f t="shared" si="12"/>
        <v>197.19126984127024</v>
      </c>
      <c r="AG35" s="50">
        <f t="shared" si="12"/>
        <v>226.16587301587401</v>
      </c>
      <c r="AH35" s="50">
        <f t="shared" si="12"/>
        <v>201.850793650794</v>
      </c>
      <c r="AI35" s="50">
        <f t="shared" si="12"/>
        <v>770.75555555555684</v>
      </c>
      <c r="AJ35" s="50">
        <f t="shared" si="12"/>
        <v>311.38108465608502</v>
      </c>
      <c r="AK35" s="50">
        <f t="shared" si="12"/>
        <v>292.92050264550335</v>
      </c>
      <c r="AL35" s="50">
        <f t="shared" si="12"/>
        <v>249.97116402116376</v>
      </c>
      <c r="AM35" s="50">
        <f t="shared" si="12"/>
        <v>797.76481481481551</v>
      </c>
      <c r="AN35" s="50">
        <f t="shared" si="12"/>
        <v>160.71364638447972</v>
      </c>
      <c r="AO35" s="50">
        <f t="shared" si="12"/>
        <v>144.88423721340496</v>
      </c>
      <c r="AP35" s="50">
        <f t="shared" si="12"/>
        <v>137.16715167548523</v>
      </c>
      <c r="AQ35" s="50">
        <f t="shared" si="12"/>
        <v>660.77561728394949</v>
      </c>
      <c r="AR35" s="50">
        <f t="shared" si="12"/>
        <v>122.56459803057055</v>
      </c>
      <c r="AS35" s="50">
        <f t="shared" si="12"/>
        <v>109.22764182833748</v>
      </c>
      <c r="AT35" s="50">
        <f t="shared" si="12"/>
        <v>109.78046002351493</v>
      </c>
      <c r="AU35" s="50">
        <f t="shared" si="12"/>
        <v>660.86599794238691</v>
      </c>
      <c r="AV35" s="50"/>
      <c r="AW35" s="50">
        <f t="shared" ref="AW35:BB35" si="13">(AW25-AW32)+AW34</f>
        <v>1533</v>
      </c>
      <c r="AX35" s="50">
        <f t="shared" si="13"/>
        <v>1158</v>
      </c>
      <c r="AY35" s="50">
        <f t="shared" si="13"/>
        <v>-902</v>
      </c>
      <c r="AZ35" s="50">
        <f t="shared" si="13"/>
        <v>3167</v>
      </c>
      <c r="BA35" s="50">
        <f t="shared" si="13"/>
        <v>1600</v>
      </c>
      <c r="BB35" s="50">
        <f t="shared" si="13"/>
        <v>-43203.333333333328</v>
      </c>
      <c r="BC35" s="51">
        <f t="shared" si="0"/>
        <v>1164.3000000000004</v>
      </c>
    </row>
    <row r="36" spans="1:55" ht="10.15">
      <c r="A36" s="12"/>
      <c r="B36" s="12"/>
      <c r="C36" s="1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1">
        <f t="shared" si="0"/>
        <v>0</v>
      </c>
    </row>
    <row r="37" spans="1:55" ht="10.15">
      <c r="A37" s="12" t="s">
        <v>271</v>
      </c>
      <c r="B37" s="12"/>
      <c r="C37" s="12"/>
      <c r="D37" s="52">
        <v>-71</v>
      </c>
      <c r="E37" s="52">
        <v>-69</v>
      </c>
      <c r="F37" s="52">
        <v>-64</v>
      </c>
      <c r="G37" s="52">
        <v>-57</v>
      </c>
      <c r="H37" s="52">
        <v>-54</v>
      </c>
      <c r="I37" s="52">
        <v>-52</v>
      </c>
      <c r="J37" s="52">
        <v>-52</v>
      </c>
      <c r="K37" s="52">
        <v>-46</v>
      </c>
      <c r="L37" s="52">
        <v>-49</v>
      </c>
      <c r="M37" s="52">
        <v>-70</v>
      </c>
      <c r="N37" s="52">
        <v>-80</v>
      </c>
      <c r="O37" s="52">
        <v>-85</v>
      </c>
      <c r="P37" s="52">
        <v>-79</v>
      </c>
      <c r="Q37" s="52">
        <v>-80</v>
      </c>
      <c r="R37" s="52">
        <v>-53</v>
      </c>
      <c r="S37" s="52">
        <v>-44</v>
      </c>
      <c r="T37" s="51">
        <v>-47</v>
      </c>
      <c r="U37" s="51">
        <v>-42</v>
      </c>
      <c r="V37" s="51">
        <v>-42</v>
      </c>
      <c r="W37" s="51">
        <v>-31</v>
      </c>
      <c r="X37" s="51">
        <v>-37</v>
      </c>
      <c r="Y37" s="51">
        <v>-36</v>
      </c>
      <c r="Z37" s="51">
        <v>-35</v>
      </c>
      <c r="AA37" s="51">
        <v>-27</v>
      </c>
      <c r="AB37" s="51">
        <v>-27</v>
      </c>
      <c r="AC37" s="51">
        <v>-27</v>
      </c>
      <c r="AD37" s="51">
        <v>-27</v>
      </c>
      <c r="AE37" s="51">
        <v>-27</v>
      </c>
      <c r="AF37" s="51">
        <v>-27</v>
      </c>
      <c r="AG37" s="51">
        <v>-27</v>
      </c>
      <c r="AH37" s="51">
        <v>-27</v>
      </c>
      <c r="AI37" s="51">
        <v>-27</v>
      </c>
      <c r="AJ37" s="51">
        <v>-27</v>
      </c>
      <c r="AK37" s="51">
        <v>-27</v>
      </c>
      <c r="AL37" s="51">
        <v>-27</v>
      </c>
      <c r="AM37" s="51">
        <v>-27</v>
      </c>
      <c r="AN37" s="51">
        <v>-27</v>
      </c>
      <c r="AO37" s="51">
        <v>-27</v>
      </c>
      <c r="AP37" s="51">
        <v>-27</v>
      </c>
      <c r="AQ37" s="51">
        <v>-27</v>
      </c>
      <c r="AR37" s="51">
        <v>-27</v>
      </c>
      <c r="AS37" s="51">
        <v>-27</v>
      </c>
      <c r="AT37" s="51">
        <v>-27</v>
      </c>
      <c r="AU37" s="51">
        <v>-27</v>
      </c>
      <c r="AV37" s="51"/>
      <c r="AW37" s="51">
        <f>SUM(D37:G37)</f>
        <v>-261</v>
      </c>
      <c r="AX37" s="51">
        <f>SUM(H37:K37)</f>
        <v>-204</v>
      </c>
      <c r="AY37" s="51">
        <f>SUM(L37:O37)</f>
        <v>-284</v>
      </c>
      <c r="AZ37" s="51">
        <f>SUM(P37:S37)</f>
        <v>-256</v>
      </c>
      <c r="BA37" s="51">
        <f>SUM(T37:W37)</f>
        <v>-162</v>
      </c>
      <c r="BB37" s="51">
        <f>SUM(X37:AI37)</f>
        <v>-351</v>
      </c>
      <c r="BC37" s="51">
        <f t="shared" si="0"/>
        <v>-108</v>
      </c>
    </row>
    <row r="38" spans="1:55" ht="10.15">
      <c r="A38" s="12" t="s">
        <v>272</v>
      </c>
      <c r="B38" s="12"/>
      <c r="C38" s="12"/>
      <c r="D38" s="52">
        <v>5</v>
      </c>
      <c r="E38" s="52">
        <v>7</v>
      </c>
      <c r="F38" s="52">
        <v>5</v>
      </c>
      <c r="G38" s="52">
        <v>8</v>
      </c>
      <c r="H38" s="52">
        <v>7</v>
      </c>
      <c r="I38" s="52">
        <v>5</v>
      </c>
      <c r="J38" s="52">
        <v>4</v>
      </c>
      <c r="K38" s="52">
        <v>4</v>
      </c>
      <c r="L38" s="52">
        <v>2</v>
      </c>
      <c r="M38" s="52">
        <v>1</v>
      </c>
      <c r="N38" s="52" t="s">
        <v>47</v>
      </c>
      <c r="O38" s="52">
        <v>1</v>
      </c>
      <c r="P38" s="52" t="s">
        <v>47</v>
      </c>
      <c r="Q38" s="52" t="s">
        <v>47</v>
      </c>
      <c r="R38" s="52" t="s">
        <v>47</v>
      </c>
      <c r="S38" s="52">
        <v>0</v>
      </c>
      <c r="T38" s="51" t="s">
        <v>47</v>
      </c>
      <c r="U38" s="51" t="s">
        <v>47</v>
      </c>
      <c r="V38" s="51" t="s">
        <v>47</v>
      </c>
      <c r="W38" s="51" t="s">
        <v>47</v>
      </c>
      <c r="X38" s="51" t="s">
        <v>47</v>
      </c>
      <c r="Y38" s="51" t="s">
        <v>47</v>
      </c>
      <c r="Z38" s="51" t="s">
        <v>47</v>
      </c>
      <c r="AA38" s="51" t="s">
        <v>47</v>
      </c>
      <c r="AB38" s="51" t="s">
        <v>47</v>
      </c>
      <c r="AC38" s="51" t="s">
        <v>47</v>
      </c>
      <c r="AD38" s="51" t="s">
        <v>47</v>
      </c>
      <c r="AE38" s="51" t="s">
        <v>47</v>
      </c>
      <c r="AF38" s="51" t="s">
        <v>47</v>
      </c>
      <c r="AG38" s="51" t="s">
        <v>47</v>
      </c>
      <c r="AH38" s="51" t="s">
        <v>47</v>
      </c>
      <c r="AI38" s="51" t="s">
        <v>47</v>
      </c>
      <c r="AJ38" s="51" t="s">
        <v>47</v>
      </c>
      <c r="AK38" s="51" t="s">
        <v>47</v>
      </c>
      <c r="AL38" s="51" t="s">
        <v>47</v>
      </c>
      <c r="AM38" s="51" t="s">
        <v>47</v>
      </c>
      <c r="AN38" s="51" t="s">
        <v>47</v>
      </c>
      <c r="AO38" s="51" t="s">
        <v>47</v>
      </c>
      <c r="AP38" s="51" t="s">
        <v>47</v>
      </c>
      <c r="AQ38" s="51" t="s">
        <v>47</v>
      </c>
      <c r="AR38" s="51" t="s">
        <v>47</v>
      </c>
      <c r="AS38" s="51" t="s">
        <v>47</v>
      </c>
      <c r="AT38" s="51" t="s">
        <v>47</v>
      </c>
      <c r="AU38" s="51" t="s">
        <v>47</v>
      </c>
      <c r="AV38" s="51"/>
      <c r="AW38" s="51">
        <f>SUM(D38:G38)</f>
        <v>25</v>
      </c>
      <c r="AX38" s="51">
        <f>SUM(H38:K38)</f>
        <v>20</v>
      </c>
      <c r="AY38" s="51">
        <f>SUM(L38:O38)</f>
        <v>4</v>
      </c>
      <c r="AZ38" s="51">
        <f>SUM(P38:S38)</f>
        <v>0</v>
      </c>
      <c r="BA38" s="51">
        <f>SUM(T38:W38)</f>
        <v>0</v>
      </c>
      <c r="BB38" s="51">
        <f>SUM(X38:AI38)</f>
        <v>0</v>
      </c>
      <c r="BC38" s="51">
        <f t="shared" si="0"/>
        <v>0</v>
      </c>
    </row>
    <row r="39" spans="1:55" ht="10.15">
      <c r="A39" s="12" t="s">
        <v>273</v>
      </c>
      <c r="B39" s="12"/>
      <c r="C39" s="12"/>
      <c r="D39" s="52" t="s">
        <v>47</v>
      </c>
      <c r="E39" s="52" t="s">
        <v>47</v>
      </c>
      <c r="F39" s="52" t="s">
        <v>47</v>
      </c>
      <c r="G39" s="52" t="s">
        <v>47</v>
      </c>
      <c r="H39" s="51" t="s">
        <v>47</v>
      </c>
      <c r="I39" s="51" t="s">
        <v>47</v>
      </c>
      <c r="J39" s="51" t="s">
        <v>47</v>
      </c>
      <c r="K39" s="51" t="s">
        <v>47</v>
      </c>
      <c r="L39" s="51" t="s">
        <v>47</v>
      </c>
      <c r="M39" s="51" t="s">
        <v>47</v>
      </c>
      <c r="N39" s="51" t="s">
        <v>47</v>
      </c>
      <c r="O39" s="51" t="s">
        <v>47</v>
      </c>
      <c r="P39" s="51" t="s">
        <v>47</v>
      </c>
      <c r="Q39" s="51" t="s">
        <v>47</v>
      </c>
      <c r="R39" s="51" t="s">
        <v>47</v>
      </c>
      <c r="S39" s="51" t="s">
        <v>47</v>
      </c>
      <c r="T39" s="51" t="s">
        <v>47</v>
      </c>
      <c r="U39" s="51" t="s">
        <v>47</v>
      </c>
      <c r="V39" s="51" t="s">
        <v>47</v>
      </c>
      <c r="W39" s="51" t="s">
        <v>47</v>
      </c>
      <c r="X39" s="51" t="s">
        <v>47</v>
      </c>
      <c r="Y39" s="51" t="s">
        <v>47</v>
      </c>
      <c r="Z39" s="51" t="s">
        <v>47</v>
      </c>
      <c r="AA39" s="51" t="s">
        <v>47</v>
      </c>
      <c r="AB39" s="51" t="s">
        <v>47</v>
      </c>
      <c r="AC39" s="51" t="s">
        <v>47</v>
      </c>
      <c r="AD39" s="51" t="s">
        <v>47</v>
      </c>
      <c r="AE39" s="51" t="s">
        <v>47</v>
      </c>
      <c r="AF39" s="51" t="s">
        <v>47</v>
      </c>
      <c r="AG39" s="51" t="s">
        <v>47</v>
      </c>
      <c r="AH39" s="51" t="s">
        <v>47</v>
      </c>
      <c r="AI39" s="51" t="s">
        <v>47</v>
      </c>
      <c r="AJ39" s="51" t="s">
        <v>47</v>
      </c>
      <c r="AK39" s="51" t="s">
        <v>47</v>
      </c>
      <c r="AL39" s="51" t="s">
        <v>47</v>
      </c>
      <c r="AM39" s="51" t="s">
        <v>47</v>
      </c>
      <c r="AN39" s="51" t="s">
        <v>47</v>
      </c>
      <c r="AO39" s="51" t="s">
        <v>47</v>
      </c>
      <c r="AP39" s="51" t="s">
        <v>47</v>
      </c>
      <c r="AQ39" s="51" t="s">
        <v>47</v>
      </c>
      <c r="AR39" s="51" t="s">
        <v>47</v>
      </c>
      <c r="AS39" s="51" t="s">
        <v>47</v>
      </c>
      <c r="AT39" s="51" t="s">
        <v>47</v>
      </c>
      <c r="AU39" s="51" t="s">
        <v>47</v>
      </c>
      <c r="AV39" s="51"/>
      <c r="AW39" s="51">
        <v>0</v>
      </c>
      <c r="AX39" s="51">
        <v>-1</v>
      </c>
      <c r="AY39" s="51">
        <v>0</v>
      </c>
      <c r="AZ39" s="51">
        <v>1</v>
      </c>
      <c r="BA39" s="51">
        <v>0</v>
      </c>
      <c r="BB39" s="51">
        <v>0</v>
      </c>
      <c r="BC39" s="51">
        <f t="shared" si="0"/>
        <v>0</v>
      </c>
    </row>
    <row r="40" spans="1:55" s="30" customFormat="1" ht="10.15">
      <c r="A40" s="15" t="s">
        <v>274</v>
      </c>
      <c r="B40" s="15"/>
      <c r="C40" s="15"/>
      <c r="D40" s="50">
        <f t="shared" ref="D40:Z40" si="14">SUM(D37:D38)</f>
        <v>-66</v>
      </c>
      <c r="E40" s="50">
        <f t="shared" si="14"/>
        <v>-62</v>
      </c>
      <c r="F40" s="50">
        <f t="shared" si="14"/>
        <v>-59</v>
      </c>
      <c r="G40" s="50">
        <f t="shared" si="14"/>
        <v>-49</v>
      </c>
      <c r="H40" s="53">
        <f t="shared" si="14"/>
        <v>-47</v>
      </c>
      <c r="I40" s="53">
        <f t="shared" si="14"/>
        <v>-47</v>
      </c>
      <c r="J40" s="53">
        <f t="shared" si="14"/>
        <v>-48</v>
      </c>
      <c r="K40" s="53">
        <f t="shared" si="14"/>
        <v>-42</v>
      </c>
      <c r="L40" s="50">
        <f t="shared" si="14"/>
        <v>-47</v>
      </c>
      <c r="M40" s="50">
        <f t="shared" si="14"/>
        <v>-69</v>
      </c>
      <c r="N40" s="50">
        <f t="shared" si="14"/>
        <v>-80</v>
      </c>
      <c r="O40" s="50">
        <f t="shared" si="14"/>
        <v>-84</v>
      </c>
      <c r="P40" s="50">
        <f t="shared" si="14"/>
        <v>-79</v>
      </c>
      <c r="Q40" s="50">
        <f t="shared" si="14"/>
        <v>-80</v>
      </c>
      <c r="R40" s="50">
        <f t="shared" si="14"/>
        <v>-53</v>
      </c>
      <c r="S40" s="50">
        <f t="shared" si="14"/>
        <v>-44</v>
      </c>
      <c r="T40" s="642">
        <f t="shared" si="14"/>
        <v>-47</v>
      </c>
      <c r="U40" s="642">
        <f t="shared" si="14"/>
        <v>-42</v>
      </c>
      <c r="V40" s="642">
        <f t="shared" si="14"/>
        <v>-42</v>
      </c>
      <c r="W40" s="642">
        <f t="shared" si="14"/>
        <v>-31</v>
      </c>
      <c r="X40" s="642">
        <f t="shared" si="14"/>
        <v>-37</v>
      </c>
      <c r="Y40" s="642">
        <f t="shared" si="14"/>
        <v>-36</v>
      </c>
      <c r="Z40" s="642">
        <f t="shared" si="14"/>
        <v>-35</v>
      </c>
      <c r="AA40" s="642">
        <f t="shared" ref="AA40:AU40" si="15">SUM(AA37:AA38)</f>
        <v>-27</v>
      </c>
      <c r="AB40" s="642">
        <f t="shared" si="15"/>
        <v>-27</v>
      </c>
      <c r="AC40" s="642">
        <f t="shared" si="15"/>
        <v>-27</v>
      </c>
      <c r="AD40" s="642">
        <f t="shared" si="15"/>
        <v>-27</v>
      </c>
      <c r="AE40" s="642">
        <f t="shared" si="15"/>
        <v>-27</v>
      </c>
      <c r="AF40" s="642">
        <f t="shared" si="15"/>
        <v>-27</v>
      </c>
      <c r="AG40" s="642">
        <f t="shared" si="15"/>
        <v>-27</v>
      </c>
      <c r="AH40" s="642">
        <f t="shared" si="15"/>
        <v>-27</v>
      </c>
      <c r="AI40" s="642">
        <f t="shared" si="15"/>
        <v>-27</v>
      </c>
      <c r="AJ40" s="642">
        <f t="shared" si="15"/>
        <v>-27</v>
      </c>
      <c r="AK40" s="642">
        <f t="shared" si="15"/>
        <v>-27</v>
      </c>
      <c r="AL40" s="642">
        <f t="shared" si="15"/>
        <v>-27</v>
      </c>
      <c r="AM40" s="642">
        <f t="shared" si="15"/>
        <v>-27</v>
      </c>
      <c r="AN40" s="642">
        <f t="shared" si="15"/>
        <v>-27</v>
      </c>
      <c r="AO40" s="642">
        <f t="shared" si="15"/>
        <v>-27</v>
      </c>
      <c r="AP40" s="642">
        <f t="shared" si="15"/>
        <v>-27</v>
      </c>
      <c r="AQ40" s="642">
        <f t="shared" si="15"/>
        <v>-27</v>
      </c>
      <c r="AR40" s="642">
        <f t="shared" si="15"/>
        <v>-27</v>
      </c>
      <c r="AS40" s="642">
        <f t="shared" si="15"/>
        <v>-27</v>
      </c>
      <c r="AT40" s="642">
        <f t="shared" si="15"/>
        <v>-27</v>
      </c>
      <c r="AU40" s="642">
        <f t="shared" si="15"/>
        <v>-27</v>
      </c>
      <c r="AV40" s="53"/>
      <c r="AW40" s="53">
        <f t="shared" ref="AW40:BB40" si="16">SUM(AW37:AW39)</f>
        <v>-236</v>
      </c>
      <c r="AX40" s="53">
        <f t="shared" si="16"/>
        <v>-185</v>
      </c>
      <c r="AY40" s="53">
        <f t="shared" si="16"/>
        <v>-280</v>
      </c>
      <c r="AZ40" s="53">
        <f t="shared" si="16"/>
        <v>-255</v>
      </c>
      <c r="BA40" s="53">
        <f t="shared" si="16"/>
        <v>-162</v>
      </c>
      <c r="BB40" s="53">
        <f t="shared" si="16"/>
        <v>-351</v>
      </c>
      <c r="BC40" s="51">
        <f t="shared" si="0"/>
        <v>-108</v>
      </c>
    </row>
    <row r="41" spans="1:55" ht="10.15">
      <c r="A41" s="12"/>
      <c r="B41" s="12"/>
      <c r="C41" s="1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1">
        <f t="shared" si="0"/>
        <v>0</v>
      </c>
    </row>
    <row r="42" spans="1:55" ht="10.15">
      <c r="A42" s="12" t="s">
        <v>275</v>
      </c>
      <c r="B42" s="12"/>
      <c r="C42" s="12"/>
      <c r="D42" s="52" t="s">
        <v>47</v>
      </c>
      <c r="E42" s="52" t="s">
        <v>47</v>
      </c>
      <c r="F42" s="52" t="s">
        <v>47</v>
      </c>
      <c r="G42" s="52" t="s">
        <v>47</v>
      </c>
      <c r="H42" s="52" t="s">
        <v>47</v>
      </c>
      <c r="I42" s="52" t="s">
        <v>47</v>
      </c>
      <c r="J42" s="52" t="s">
        <v>47</v>
      </c>
      <c r="K42" s="52" t="s">
        <v>47</v>
      </c>
      <c r="L42" s="52" t="s">
        <v>47</v>
      </c>
      <c r="M42" s="52">
        <v>-3</v>
      </c>
      <c r="N42" s="52" t="s">
        <v>47</v>
      </c>
      <c r="O42" s="52">
        <v>-1</v>
      </c>
      <c r="P42" s="52" t="s">
        <v>47</v>
      </c>
      <c r="Q42" s="52" t="s">
        <v>47</v>
      </c>
      <c r="R42" s="52" t="s">
        <v>47</v>
      </c>
      <c r="S42" s="52" t="s">
        <v>47</v>
      </c>
      <c r="T42" s="51" t="s">
        <v>47</v>
      </c>
      <c r="U42" s="51" t="s">
        <v>47</v>
      </c>
      <c r="V42" s="51" t="s">
        <v>47</v>
      </c>
      <c r="W42" s="51" t="s">
        <v>47</v>
      </c>
      <c r="X42" s="51" t="s">
        <v>47</v>
      </c>
      <c r="Y42" s="51" t="s">
        <v>47</v>
      </c>
      <c r="Z42" s="51" t="s">
        <v>47</v>
      </c>
      <c r="AA42" s="51" t="s">
        <v>47</v>
      </c>
      <c r="AB42" s="51"/>
      <c r="AC42" s="51"/>
      <c r="AD42" s="51"/>
      <c r="AE42" s="51"/>
      <c r="AF42" s="51"/>
      <c r="AG42" s="51"/>
      <c r="AH42" s="51"/>
      <c r="AI42" s="51"/>
      <c r="AJ42" s="51"/>
      <c r="AK42" s="51"/>
      <c r="AL42" s="51"/>
      <c r="AM42" s="51"/>
      <c r="AN42" s="51"/>
      <c r="AO42" s="51"/>
      <c r="AP42" s="51"/>
      <c r="AQ42" s="51"/>
      <c r="AR42" s="51"/>
      <c r="AS42" s="51"/>
      <c r="AT42" s="51"/>
      <c r="AU42" s="51"/>
      <c r="AV42" s="51"/>
      <c r="AW42" s="51" t="s">
        <v>47</v>
      </c>
      <c r="AX42" s="51" t="s">
        <v>47</v>
      </c>
      <c r="AY42" s="51">
        <f>SUM(L42:O42)</f>
        <v>-4</v>
      </c>
      <c r="AZ42" s="51" t="s">
        <v>47</v>
      </c>
      <c r="BA42" s="51" t="s">
        <v>47</v>
      </c>
      <c r="BB42" s="51" t="s">
        <v>47</v>
      </c>
      <c r="BC42" s="51">
        <f t="shared" si="0"/>
        <v>0</v>
      </c>
    </row>
    <row r="43" spans="1:55" ht="10.15">
      <c r="A43" s="12" t="s">
        <v>268</v>
      </c>
      <c r="B43" s="12"/>
      <c r="C43" s="12"/>
      <c r="D43" s="52" t="s">
        <v>47</v>
      </c>
      <c r="E43" s="52" t="s">
        <v>47</v>
      </c>
      <c r="F43" s="52" t="s">
        <v>47</v>
      </c>
      <c r="G43" s="52" t="s">
        <v>47</v>
      </c>
      <c r="H43" s="51" t="s">
        <v>47</v>
      </c>
      <c r="I43" s="51" t="s">
        <v>47</v>
      </c>
      <c r="J43" s="51" t="s">
        <v>47</v>
      </c>
      <c r="K43" s="51" t="s">
        <v>47</v>
      </c>
      <c r="L43" s="51" t="s">
        <v>47</v>
      </c>
      <c r="M43" s="51" t="s">
        <v>47</v>
      </c>
      <c r="N43" s="51" t="s">
        <v>47</v>
      </c>
      <c r="O43" s="51" t="s">
        <v>47</v>
      </c>
      <c r="P43" s="51" t="s">
        <v>47</v>
      </c>
      <c r="Q43" s="51" t="s">
        <v>47</v>
      </c>
      <c r="R43" s="51" t="s">
        <v>47</v>
      </c>
      <c r="S43" s="51" t="s">
        <v>47</v>
      </c>
      <c r="T43" s="51" t="s">
        <v>47</v>
      </c>
      <c r="U43" s="51" t="s">
        <v>47</v>
      </c>
      <c r="V43" s="51" t="s">
        <v>47</v>
      </c>
      <c r="W43" s="51" t="s">
        <v>47</v>
      </c>
      <c r="X43" s="51" t="s">
        <v>47</v>
      </c>
      <c r="Y43" s="51" t="s">
        <v>47</v>
      </c>
      <c r="Z43" s="51" t="s">
        <v>47</v>
      </c>
      <c r="AA43" s="51" t="s">
        <v>47</v>
      </c>
      <c r="AB43" s="51"/>
      <c r="AC43" s="51"/>
      <c r="AD43" s="51"/>
      <c r="AE43" s="51"/>
      <c r="AF43" s="51"/>
      <c r="AG43" s="51"/>
      <c r="AH43" s="51"/>
      <c r="AI43" s="51"/>
      <c r="AJ43" s="51"/>
      <c r="AK43" s="51"/>
      <c r="AL43" s="51"/>
      <c r="AM43" s="51"/>
      <c r="AN43" s="51"/>
      <c r="AO43" s="51"/>
      <c r="AP43" s="51"/>
      <c r="AQ43" s="51"/>
      <c r="AR43" s="51"/>
      <c r="AS43" s="51"/>
      <c r="AT43" s="51"/>
      <c r="AU43" s="51"/>
      <c r="AV43" s="51"/>
      <c r="AW43" s="51">
        <v>-1</v>
      </c>
      <c r="AX43" s="51">
        <v>1</v>
      </c>
      <c r="AY43" s="51">
        <v>-5</v>
      </c>
      <c r="AZ43" s="51">
        <v>0</v>
      </c>
      <c r="BA43" s="51">
        <v>40</v>
      </c>
      <c r="BB43" s="51">
        <v>1</v>
      </c>
      <c r="BC43" s="51">
        <f t="shared" si="0"/>
        <v>0</v>
      </c>
    </row>
    <row r="44" spans="1:55" ht="10.15">
      <c r="A44" s="15" t="s">
        <v>276</v>
      </c>
      <c r="B44" s="15"/>
      <c r="C44" s="15"/>
      <c r="D44" s="50">
        <f t="shared" ref="D44:Z44" si="17">D35+D40</f>
        <v>178</v>
      </c>
      <c r="E44" s="50">
        <f t="shared" si="17"/>
        <v>223</v>
      </c>
      <c r="F44" s="50">
        <f t="shared" si="17"/>
        <v>58</v>
      </c>
      <c r="G44" s="50">
        <f t="shared" si="17"/>
        <v>836</v>
      </c>
      <c r="H44" s="50">
        <f t="shared" si="17"/>
        <v>120</v>
      </c>
      <c r="I44" s="50">
        <f t="shared" si="17"/>
        <v>110</v>
      </c>
      <c r="J44" s="50">
        <f t="shared" si="17"/>
        <v>0</v>
      </c>
      <c r="K44" s="50">
        <f t="shared" si="17"/>
        <v>778</v>
      </c>
      <c r="L44" s="50">
        <f t="shared" si="17"/>
        <v>-698</v>
      </c>
      <c r="M44" s="50">
        <f t="shared" si="17"/>
        <v>-504</v>
      </c>
      <c r="N44" s="50">
        <f t="shared" si="17"/>
        <v>-186</v>
      </c>
      <c r="O44" s="50">
        <f t="shared" si="17"/>
        <v>207</v>
      </c>
      <c r="P44" s="50">
        <f t="shared" si="17"/>
        <v>164</v>
      </c>
      <c r="Q44" s="50">
        <f t="shared" si="17"/>
        <v>530</v>
      </c>
      <c r="R44" s="50">
        <f t="shared" si="17"/>
        <v>437</v>
      </c>
      <c r="S44" s="50">
        <f t="shared" si="17"/>
        <v>946</v>
      </c>
      <c r="T44" s="50">
        <f t="shared" si="17"/>
        <v>389</v>
      </c>
      <c r="U44" s="50">
        <f t="shared" si="17"/>
        <v>366</v>
      </c>
      <c r="V44" s="50">
        <f t="shared" si="17"/>
        <v>140</v>
      </c>
      <c r="W44" s="50">
        <f t="shared" si="17"/>
        <v>624</v>
      </c>
      <c r="X44" s="50">
        <f t="shared" si="17"/>
        <v>202</v>
      </c>
      <c r="Y44" s="50">
        <f t="shared" si="17"/>
        <v>92</v>
      </c>
      <c r="Z44" s="50">
        <f t="shared" si="17"/>
        <v>60</v>
      </c>
      <c r="AA44" s="50">
        <f t="shared" ref="AA44:AU44" si="18">AA35+AA40</f>
        <v>775</v>
      </c>
      <c r="AB44" s="50">
        <f t="shared" si="18"/>
        <v>56.200000000000273</v>
      </c>
      <c r="AC44" s="50">
        <f t="shared" si="18"/>
        <v>154.63333333333389</v>
      </c>
      <c r="AD44" s="50">
        <f t="shared" si="18"/>
        <v>135.23333333333312</v>
      </c>
      <c r="AE44" s="50">
        <f t="shared" si="18"/>
        <v>710.23333333333312</v>
      </c>
      <c r="AF44" s="50">
        <f t="shared" si="18"/>
        <v>170.19126984127024</v>
      </c>
      <c r="AG44" s="50">
        <f t="shared" si="18"/>
        <v>199.16587301587401</v>
      </c>
      <c r="AH44" s="50">
        <f t="shared" si="18"/>
        <v>174.850793650794</v>
      </c>
      <c r="AI44" s="50">
        <f t="shared" si="18"/>
        <v>743.75555555555684</v>
      </c>
      <c r="AJ44" s="50">
        <f t="shared" si="18"/>
        <v>284.38108465608502</v>
      </c>
      <c r="AK44" s="50">
        <f t="shared" si="18"/>
        <v>265.92050264550335</v>
      </c>
      <c r="AL44" s="50">
        <f t="shared" si="18"/>
        <v>222.97116402116376</v>
      </c>
      <c r="AM44" s="50">
        <f t="shared" si="18"/>
        <v>770.76481481481551</v>
      </c>
      <c r="AN44" s="50">
        <f t="shared" si="18"/>
        <v>133.71364638447972</v>
      </c>
      <c r="AO44" s="50">
        <f t="shared" si="18"/>
        <v>117.88423721340496</v>
      </c>
      <c r="AP44" s="50">
        <f t="shared" si="18"/>
        <v>110.16715167548523</v>
      </c>
      <c r="AQ44" s="50">
        <f t="shared" si="18"/>
        <v>633.77561728394949</v>
      </c>
      <c r="AR44" s="50">
        <f t="shared" si="18"/>
        <v>95.564598030570551</v>
      </c>
      <c r="AS44" s="50">
        <f t="shared" si="18"/>
        <v>82.227641828337482</v>
      </c>
      <c r="AT44" s="50">
        <f t="shared" si="18"/>
        <v>82.780460023514934</v>
      </c>
      <c r="AU44" s="50">
        <f t="shared" si="18"/>
        <v>633.86599794238691</v>
      </c>
      <c r="AV44" s="50"/>
      <c r="AW44" s="50">
        <f t="shared" ref="AW44:BB44" si="19">AW35+AW40+AW43</f>
        <v>1296</v>
      </c>
      <c r="AX44" s="50">
        <f t="shared" si="19"/>
        <v>974</v>
      </c>
      <c r="AY44" s="50">
        <f t="shared" si="19"/>
        <v>-1187</v>
      </c>
      <c r="AZ44" s="50">
        <f t="shared" si="19"/>
        <v>2912</v>
      </c>
      <c r="BA44" s="50">
        <f t="shared" si="19"/>
        <v>1478</v>
      </c>
      <c r="BB44" s="50">
        <f t="shared" si="19"/>
        <v>-43553.333333333328</v>
      </c>
      <c r="BC44" s="51">
        <f t="shared" si="0"/>
        <v>1056.3000000000004</v>
      </c>
    </row>
    <row r="45" spans="1:55" ht="10.15">
      <c r="A45" s="12"/>
      <c r="B45" s="12"/>
      <c r="C45" s="1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1">
        <f t="shared" si="0"/>
        <v>0</v>
      </c>
    </row>
    <row r="46" spans="1:55" ht="10.15">
      <c r="A46" s="281" t="s">
        <v>277</v>
      </c>
      <c r="B46" s="12"/>
      <c r="C46" s="12"/>
      <c r="D46" s="52">
        <v>-19</v>
      </c>
      <c r="E46" s="52">
        <v>-17</v>
      </c>
      <c r="F46" s="52">
        <v>-3</v>
      </c>
      <c r="G46" s="52">
        <v>-41</v>
      </c>
      <c r="H46" s="52" t="s">
        <v>47</v>
      </c>
      <c r="I46" s="52" t="s">
        <v>47</v>
      </c>
      <c r="J46" s="52">
        <v>-5</v>
      </c>
      <c r="K46" s="52">
        <v>-313</v>
      </c>
      <c r="L46" s="52">
        <v>-25</v>
      </c>
      <c r="M46" s="52">
        <v>-169</v>
      </c>
      <c r="N46" s="52">
        <v>-2</v>
      </c>
      <c r="O46" s="52">
        <v>-28</v>
      </c>
      <c r="P46" s="52" t="s">
        <v>47</v>
      </c>
      <c r="Q46" s="52" t="s">
        <v>47</v>
      </c>
      <c r="R46" s="52" t="s">
        <v>47</v>
      </c>
      <c r="S46" s="52">
        <v>-3</v>
      </c>
      <c r="T46" s="51" t="s">
        <v>47</v>
      </c>
      <c r="U46" s="51" t="s">
        <v>47</v>
      </c>
      <c r="V46" s="51" t="s">
        <v>47</v>
      </c>
      <c r="W46" s="51">
        <v>-5</v>
      </c>
      <c r="X46" s="51" t="s">
        <v>47</v>
      </c>
      <c r="Y46" s="51" t="s">
        <v>47</v>
      </c>
      <c r="Z46" s="51" t="s">
        <v>47</v>
      </c>
      <c r="AA46" s="51">
        <v>-55</v>
      </c>
      <c r="AB46" s="51"/>
      <c r="AC46" s="51"/>
      <c r="AD46" s="51"/>
      <c r="AE46" s="51"/>
      <c r="AF46" s="51"/>
      <c r="AG46" s="51"/>
      <c r="AH46" s="51"/>
      <c r="AI46" s="51"/>
      <c r="AJ46" s="51"/>
      <c r="AK46" s="51"/>
      <c r="AL46" s="51"/>
      <c r="AM46" s="51"/>
      <c r="AN46" s="51"/>
      <c r="AO46" s="51"/>
      <c r="AP46" s="51"/>
      <c r="AQ46" s="51"/>
      <c r="AR46" s="51"/>
      <c r="AS46" s="51"/>
      <c r="AT46" s="51"/>
      <c r="AU46" s="51"/>
      <c r="AV46" s="51"/>
      <c r="AW46" s="51">
        <f>SUM(D46:G46)</f>
        <v>-80</v>
      </c>
      <c r="AX46" s="51">
        <f>SUM(H46:K46)</f>
        <v>-318</v>
      </c>
      <c r="AY46" s="51">
        <f>SUM(L46:O46)</f>
        <v>-224</v>
      </c>
      <c r="AZ46" s="51">
        <f>SUM(P46:S46)</f>
        <v>-3</v>
      </c>
      <c r="BA46" s="51">
        <f>SUM(T46:W46)</f>
        <v>-5</v>
      </c>
      <c r="BB46" s="51">
        <f>SUM(X46:AI46)</f>
        <v>-55</v>
      </c>
      <c r="BC46" s="51">
        <f t="shared" si="0"/>
        <v>0</v>
      </c>
    </row>
    <row r="47" spans="1:55" ht="10.15">
      <c r="A47" s="281" t="s">
        <v>278</v>
      </c>
      <c r="B47" s="12"/>
      <c r="C47" s="12"/>
      <c r="D47" s="52" t="s">
        <v>47</v>
      </c>
      <c r="E47" s="52" t="s">
        <v>47</v>
      </c>
      <c r="F47" s="52" t="s">
        <v>47</v>
      </c>
      <c r="G47" s="52" t="s">
        <v>47</v>
      </c>
      <c r="H47" s="52" t="s">
        <v>47</v>
      </c>
      <c r="I47" s="52" t="s">
        <v>47</v>
      </c>
      <c r="J47" s="52" t="s">
        <v>47</v>
      </c>
      <c r="K47" s="52" t="s">
        <v>47</v>
      </c>
      <c r="L47" s="52">
        <v>-3070</v>
      </c>
      <c r="M47" s="52" t="s">
        <v>47</v>
      </c>
      <c r="N47" s="52" t="s">
        <v>47</v>
      </c>
      <c r="O47" s="52">
        <v>0</v>
      </c>
      <c r="P47" s="52" t="s">
        <v>47</v>
      </c>
      <c r="Q47" s="52" t="s">
        <v>47</v>
      </c>
      <c r="R47" s="52" t="s">
        <v>47</v>
      </c>
      <c r="S47" s="52" t="s">
        <v>47</v>
      </c>
      <c r="T47" s="51" t="s">
        <v>47</v>
      </c>
      <c r="U47" s="51" t="s">
        <v>47</v>
      </c>
      <c r="V47" s="51" t="s">
        <v>47</v>
      </c>
      <c r="W47" s="51" t="s">
        <v>47</v>
      </c>
      <c r="X47" s="51" t="s">
        <v>47</v>
      </c>
      <c r="Y47" s="51" t="s">
        <v>47</v>
      </c>
      <c r="Z47" s="51" t="s">
        <v>47</v>
      </c>
      <c r="AA47" s="51" t="s">
        <v>47</v>
      </c>
      <c r="AB47" s="51"/>
      <c r="AC47" s="51"/>
      <c r="AD47" s="51"/>
      <c r="AE47" s="51"/>
      <c r="AF47" s="51"/>
      <c r="AG47" s="51"/>
      <c r="AH47" s="51"/>
      <c r="AI47" s="51"/>
      <c r="AJ47" s="51"/>
      <c r="AK47" s="51"/>
      <c r="AL47" s="51"/>
      <c r="AM47" s="51"/>
      <c r="AN47" s="51"/>
      <c r="AO47" s="51"/>
      <c r="AP47" s="51"/>
      <c r="AQ47" s="51"/>
      <c r="AR47" s="51"/>
      <c r="AS47" s="51"/>
      <c r="AT47" s="51"/>
      <c r="AU47" s="51"/>
      <c r="AV47" s="51"/>
      <c r="AW47" s="51">
        <f>SUM(D47:G47)</f>
        <v>0</v>
      </c>
      <c r="AX47" s="51">
        <f>SUM(H47:K47)</f>
        <v>0</v>
      </c>
      <c r="AY47" s="51">
        <f>SUM(L47:O47)</f>
        <v>-3070</v>
      </c>
      <c r="AZ47" s="51">
        <f>SUM(P47:S47)</f>
        <v>0</v>
      </c>
      <c r="BA47" s="51">
        <f>SUM(T47:W47)</f>
        <v>0</v>
      </c>
      <c r="BB47" s="51">
        <f>SUM(X47:AI47)</f>
        <v>0</v>
      </c>
      <c r="BC47" s="51">
        <f t="shared" si="0"/>
        <v>0</v>
      </c>
    </row>
    <row r="48" spans="1:55" ht="10.15">
      <c r="A48" s="281" t="s">
        <v>279</v>
      </c>
      <c r="B48" s="12"/>
      <c r="C48" s="12"/>
      <c r="D48" s="52">
        <v>24</v>
      </c>
      <c r="E48" s="52">
        <v>46</v>
      </c>
      <c r="F48" s="52">
        <v>42</v>
      </c>
      <c r="G48" s="52">
        <v>278</v>
      </c>
      <c r="H48" s="52">
        <v>43</v>
      </c>
      <c r="I48" s="52">
        <v>7</v>
      </c>
      <c r="J48" s="52">
        <v>17</v>
      </c>
      <c r="K48" s="52">
        <v>95</v>
      </c>
      <c r="L48" s="52">
        <v>16</v>
      </c>
      <c r="M48" s="52" t="s">
        <v>47</v>
      </c>
      <c r="N48" s="52">
        <v>3</v>
      </c>
      <c r="O48" s="52">
        <v>40</v>
      </c>
      <c r="P48" s="52">
        <v>6</v>
      </c>
      <c r="Q48" s="52">
        <v>6</v>
      </c>
      <c r="R48" s="52">
        <v>50</v>
      </c>
      <c r="S48" s="52">
        <v>30</v>
      </c>
      <c r="T48" s="51">
        <v>42</v>
      </c>
      <c r="U48" s="51" t="s">
        <v>47</v>
      </c>
      <c r="V48" s="51">
        <v>32</v>
      </c>
      <c r="W48" s="51">
        <v>15</v>
      </c>
      <c r="X48" s="51">
        <v>11</v>
      </c>
      <c r="Y48" s="51">
        <v>4</v>
      </c>
      <c r="Z48" s="51">
        <v>5</v>
      </c>
      <c r="AA48" s="51">
        <v>41</v>
      </c>
      <c r="AB48" s="51"/>
      <c r="AC48" s="51"/>
      <c r="AD48" s="51"/>
      <c r="AE48" s="51"/>
      <c r="AF48" s="51"/>
      <c r="AG48" s="51"/>
      <c r="AH48" s="51"/>
      <c r="AI48" s="51"/>
      <c r="AJ48" s="51"/>
      <c r="AK48" s="51"/>
      <c r="AL48" s="51"/>
      <c r="AM48" s="51"/>
      <c r="AN48" s="51"/>
      <c r="AO48" s="51"/>
      <c r="AP48" s="51"/>
      <c r="AQ48" s="51"/>
      <c r="AR48" s="51"/>
      <c r="AS48" s="51"/>
      <c r="AT48" s="51"/>
      <c r="AU48" s="51"/>
      <c r="AV48" s="51"/>
      <c r="AW48" s="51">
        <f>SUM(D48:G48)</f>
        <v>390</v>
      </c>
      <c r="AX48" s="51">
        <f>SUM(H48:K48)</f>
        <v>162</v>
      </c>
      <c r="AY48" s="51">
        <f>SUM(L48:O48)</f>
        <v>59</v>
      </c>
      <c r="AZ48" s="51">
        <f>SUM(P48:S48)</f>
        <v>92</v>
      </c>
      <c r="BA48" s="51">
        <f>SUM(T48:W48)</f>
        <v>89</v>
      </c>
      <c r="BB48" s="51">
        <f>SUM(X48:AI48)</f>
        <v>61</v>
      </c>
      <c r="BC48" s="51">
        <f t="shared" si="0"/>
        <v>0</v>
      </c>
    </row>
    <row r="49" spans="1:55" ht="10.15">
      <c r="A49" s="281" t="s">
        <v>280</v>
      </c>
      <c r="B49" s="12"/>
      <c r="C49" s="12"/>
      <c r="D49" s="52" t="s">
        <v>47</v>
      </c>
      <c r="E49" s="52" t="s">
        <v>47</v>
      </c>
      <c r="F49" s="52" t="s">
        <v>47</v>
      </c>
      <c r="G49" s="52">
        <v>-64</v>
      </c>
      <c r="H49" s="52" t="s">
        <v>47</v>
      </c>
      <c r="I49" s="52">
        <v>-1</v>
      </c>
      <c r="J49" s="52" t="s">
        <v>47</v>
      </c>
      <c r="K49" s="52">
        <v>-35</v>
      </c>
      <c r="L49" s="52">
        <v>-380</v>
      </c>
      <c r="M49" s="52">
        <v>-15</v>
      </c>
      <c r="N49" s="52">
        <v>-6</v>
      </c>
      <c r="O49" s="52">
        <v>190</v>
      </c>
      <c r="P49" s="52">
        <v>-19</v>
      </c>
      <c r="Q49" s="52">
        <v>-2</v>
      </c>
      <c r="R49" s="52" t="s">
        <v>47</v>
      </c>
      <c r="S49" s="52">
        <v>15</v>
      </c>
      <c r="T49" s="51">
        <v>-8</v>
      </c>
      <c r="U49" s="51">
        <v>-2</v>
      </c>
      <c r="V49" s="51">
        <v>-15</v>
      </c>
      <c r="W49" s="51">
        <v>10</v>
      </c>
      <c r="X49" s="51">
        <v>-2</v>
      </c>
      <c r="Y49" s="51">
        <v>-4</v>
      </c>
      <c r="Z49" s="51">
        <v>-15</v>
      </c>
      <c r="AA49" s="51">
        <v>-936</v>
      </c>
      <c r="AB49" s="51"/>
      <c r="AC49" s="51"/>
      <c r="AD49" s="51"/>
      <c r="AE49" s="51"/>
      <c r="AF49" s="51"/>
      <c r="AG49" s="51"/>
      <c r="AH49" s="51"/>
      <c r="AI49" s="51"/>
      <c r="AJ49" s="51"/>
      <c r="AK49" s="51"/>
      <c r="AL49" s="51"/>
      <c r="AM49" s="51"/>
      <c r="AN49" s="51"/>
      <c r="AO49" s="51"/>
      <c r="AP49" s="51"/>
      <c r="AQ49" s="51"/>
      <c r="AR49" s="51"/>
      <c r="AS49" s="51"/>
      <c r="AT49" s="51"/>
      <c r="AU49" s="51"/>
      <c r="AV49" s="51"/>
      <c r="AW49" s="51">
        <f>SUM(D49:G49)</f>
        <v>-64</v>
      </c>
      <c r="AX49" s="51">
        <f>SUM(H49:K49)</f>
        <v>-36</v>
      </c>
      <c r="AY49" s="51">
        <f>SUM(L49:O49)</f>
        <v>-211</v>
      </c>
      <c r="AZ49" s="51">
        <f>SUM(P49:S49)</f>
        <v>-6</v>
      </c>
      <c r="BA49" s="51">
        <f>SUM(T49:W49)</f>
        <v>-15</v>
      </c>
      <c r="BB49" s="51">
        <f>SUM(X49:AI49)</f>
        <v>-957</v>
      </c>
      <c r="BC49" s="51">
        <f t="shared" si="0"/>
        <v>0</v>
      </c>
    </row>
    <row r="50" spans="1:55" ht="20.25">
      <c r="A50" s="408" t="s">
        <v>647</v>
      </c>
      <c r="B50" s="12"/>
      <c r="C50" s="12"/>
      <c r="D50" s="52" t="s">
        <v>47</v>
      </c>
      <c r="E50" s="52">
        <v>-55</v>
      </c>
      <c r="F50" s="52">
        <v>-23</v>
      </c>
      <c r="G50" s="52">
        <v>-43</v>
      </c>
      <c r="H50" s="52" t="s">
        <v>47</v>
      </c>
      <c r="I50" s="52" t="s">
        <v>47</v>
      </c>
      <c r="J50" s="52">
        <v>-12</v>
      </c>
      <c r="K50" s="52">
        <v>-76</v>
      </c>
      <c r="L50" s="52" t="s">
        <v>47</v>
      </c>
      <c r="M50" s="52">
        <v>-38</v>
      </c>
      <c r="N50" s="52">
        <v>-26</v>
      </c>
      <c r="O50" s="52">
        <v>-94</v>
      </c>
      <c r="P50" s="52">
        <v>-11</v>
      </c>
      <c r="Q50" s="52">
        <v>-84</v>
      </c>
      <c r="R50" s="52">
        <v>-193</v>
      </c>
      <c r="S50" s="52">
        <v>-6</v>
      </c>
      <c r="T50" s="51">
        <v>-31</v>
      </c>
      <c r="U50" s="51" t="s">
        <v>47</v>
      </c>
      <c r="V50" s="51">
        <v>-32</v>
      </c>
      <c r="W50" s="51">
        <v>-7</v>
      </c>
      <c r="X50" s="51" t="s">
        <v>47</v>
      </c>
      <c r="Y50" s="51">
        <v>-122</v>
      </c>
      <c r="Z50" s="51">
        <v>-7</v>
      </c>
      <c r="AA50" s="51">
        <v>-5</v>
      </c>
      <c r="AB50" s="51"/>
      <c r="AC50" s="51"/>
      <c r="AD50" s="51"/>
      <c r="AE50" s="51"/>
      <c r="AF50" s="51"/>
      <c r="AG50" s="51"/>
      <c r="AH50" s="51"/>
      <c r="AI50" s="51"/>
      <c r="AJ50" s="51"/>
      <c r="AK50" s="51"/>
      <c r="AL50" s="51"/>
      <c r="AM50" s="51"/>
      <c r="AN50" s="51"/>
      <c r="AO50" s="51"/>
      <c r="AP50" s="51"/>
      <c r="AQ50" s="51"/>
      <c r="AR50" s="51"/>
      <c r="AS50" s="51"/>
      <c r="AT50" s="51"/>
      <c r="AU50" s="51"/>
      <c r="AV50" s="51"/>
      <c r="AW50" s="51">
        <f>SUM(D50:G50)</f>
        <v>-121</v>
      </c>
      <c r="AX50" s="51">
        <f>SUM(H50:K50)</f>
        <v>-88</v>
      </c>
      <c r="AY50" s="51">
        <f>SUM(L50:O50)</f>
        <v>-158</v>
      </c>
      <c r="AZ50" s="51">
        <f>SUM(P50:S50)</f>
        <v>-294</v>
      </c>
      <c r="BA50" s="51">
        <f>SUM(T50:W50)</f>
        <v>-70</v>
      </c>
      <c r="BB50" s="51">
        <f>SUM(X50:AI50)</f>
        <v>-134</v>
      </c>
      <c r="BC50" s="51">
        <f t="shared" si="0"/>
        <v>0</v>
      </c>
    </row>
    <row r="51" spans="1:55" ht="10.15">
      <c r="A51" s="409" t="s">
        <v>268</v>
      </c>
      <c r="B51" s="12"/>
      <c r="C51" s="12"/>
      <c r="D51" s="52" t="s">
        <v>47</v>
      </c>
      <c r="E51" s="52" t="s">
        <v>47</v>
      </c>
      <c r="F51" s="52" t="s">
        <v>47</v>
      </c>
      <c r="G51" s="52" t="s">
        <v>47</v>
      </c>
      <c r="H51" s="51" t="s">
        <v>47</v>
      </c>
      <c r="I51" s="51" t="s">
        <v>47</v>
      </c>
      <c r="J51" s="51" t="s">
        <v>47</v>
      </c>
      <c r="K51" s="51" t="s">
        <v>47</v>
      </c>
      <c r="L51" s="51" t="s">
        <v>47</v>
      </c>
      <c r="M51" s="51" t="s">
        <v>47</v>
      </c>
      <c r="N51" s="51" t="s">
        <v>47</v>
      </c>
      <c r="O51" s="51" t="s">
        <v>47</v>
      </c>
      <c r="P51" s="51" t="s">
        <v>47</v>
      </c>
      <c r="Q51" s="51" t="s">
        <v>47</v>
      </c>
      <c r="R51" s="51" t="s">
        <v>47</v>
      </c>
      <c r="S51" s="51" t="s">
        <v>47</v>
      </c>
      <c r="T51" s="51" t="s">
        <v>47</v>
      </c>
      <c r="U51" s="51" t="s">
        <v>47</v>
      </c>
      <c r="V51" s="51" t="s">
        <v>47</v>
      </c>
      <c r="W51" s="51" t="s">
        <v>47</v>
      </c>
      <c r="X51" s="51" t="s">
        <v>47</v>
      </c>
      <c r="Y51" s="51" t="s">
        <v>47</v>
      </c>
      <c r="Z51" s="51" t="s">
        <v>47</v>
      </c>
      <c r="AA51" s="51" t="s">
        <v>47</v>
      </c>
      <c r="AB51" s="51"/>
      <c r="AC51" s="51"/>
      <c r="AD51" s="51"/>
      <c r="AE51" s="51"/>
      <c r="AF51" s="51"/>
      <c r="AG51" s="51"/>
      <c r="AH51" s="51"/>
      <c r="AI51" s="51"/>
      <c r="AJ51" s="51"/>
      <c r="AK51" s="51"/>
      <c r="AL51" s="51"/>
      <c r="AM51" s="51"/>
      <c r="AN51" s="51"/>
      <c r="AO51" s="51"/>
      <c r="AP51" s="51"/>
      <c r="AQ51" s="51"/>
      <c r="AR51" s="51"/>
      <c r="AS51" s="51"/>
      <c r="AT51" s="51"/>
      <c r="AU51" s="51"/>
      <c r="AV51" s="51"/>
      <c r="AW51" s="51">
        <v>-1</v>
      </c>
      <c r="AX51" s="51">
        <v>34</v>
      </c>
      <c r="AY51" s="51">
        <v>1</v>
      </c>
      <c r="AZ51" s="51">
        <v>-2</v>
      </c>
      <c r="BA51" s="51">
        <v>0</v>
      </c>
      <c r="BB51" s="51">
        <v>0</v>
      </c>
      <c r="BC51" s="51">
        <f t="shared" si="0"/>
        <v>0</v>
      </c>
    </row>
    <row r="52" spans="1:55" ht="10.15">
      <c r="A52" s="15" t="s">
        <v>283</v>
      </c>
      <c r="B52" s="15"/>
      <c r="C52" s="15"/>
      <c r="D52" s="50">
        <f>D44+SUM(D46:D51)</f>
        <v>183</v>
      </c>
      <c r="E52" s="50">
        <f>E44+SUM(E46:E51)</f>
        <v>197</v>
      </c>
      <c r="F52" s="50">
        <f>F44+SUM(F46:F51)</f>
        <v>74</v>
      </c>
      <c r="G52" s="50">
        <f>G44+SUM(G46:G51)</f>
        <v>966</v>
      </c>
      <c r="H52" s="50">
        <f t="shared" ref="H52:Z52" si="20">H44+SUM(H46:H50)</f>
        <v>163</v>
      </c>
      <c r="I52" s="50">
        <f t="shared" si="20"/>
        <v>116</v>
      </c>
      <c r="J52" s="50">
        <f t="shared" si="20"/>
        <v>0</v>
      </c>
      <c r="K52" s="50">
        <f t="shared" si="20"/>
        <v>449</v>
      </c>
      <c r="L52" s="50">
        <f t="shared" si="20"/>
        <v>-4157</v>
      </c>
      <c r="M52" s="50">
        <f t="shared" si="20"/>
        <v>-726</v>
      </c>
      <c r="N52" s="50">
        <f t="shared" si="20"/>
        <v>-217</v>
      </c>
      <c r="O52" s="50">
        <f t="shared" si="20"/>
        <v>315</v>
      </c>
      <c r="P52" s="50">
        <f t="shared" si="20"/>
        <v>140</v>
      </c>
      <c r="Q52" s="50">
        <f t="shared" si="20"/>
        <v>450</v>
      </c>
      <c r="R52" s="50">
        <f t="shared" si="20"/>
        <v>294</v>
      </c>
      <c r="S52" s="50">
        <f t="shared" si="20"/>
        <v>982</v>
      </c>
      <c r="T52" s="50">
        <f t="shared" si="20"/>
        <v>392</v>
      </c>
      <c r="U52" s="50">
        <f t="shared" si="20"/>
        <v>364</v>
      </c>
      <c r="V52" s="50">
        <f t="shared" si="20"/>
        <v>125</v>
      </c>
      <c r="W52" s="50">
        <f t="shared" si="20"/>
        <v>637</v>
      </c>
      <c r="X52" s="50">
        <f t="shared" si="20"/>
        <v>211</v>
      </c>
      <c r="Y52" s="50">
        <f t="shared" si="20"/>
        <v>-30</v>
      </c>
      <c r="Z52" s="50">
        <f t="shared" si="20"/>
        <v>43</v>
      </c>
      <c r="AA52" s="50">
        <f>AA44+SUM(AA46:AA50)</f>
        <v>-180</v>
      </c>
      <c r="AB52" s="50"/>
      <c r="AC52" s="50"/>
      <c r="AD52" s="50"/>
      <c r="AE52" s="50"/>
      <c r="AF52" s="50"/>
      <c r="AG52" s="50"/>
      <c r="AH52" s="50"/>
      <c r="AI52" s="50"/>
      <c r="AJ52" s="50"/>
      <c r="AK52" s="50"/>
      <c r="AL52" s="50"/>
      <c r="AM52" s="50"/>
      <c r="AN52" s="50"/>
      <c r="AO52" s="50"/>
      <c r="AP52" s="50"/>
      <c r="AQ52" s="50"/>
      <c r="AR52" s="50"/>
      <c r="AS52" s="50"/>
      <c r="AT52" s="50"/>
      <c r="AU52" s="50"/>
      <c r="AV52" s="50"/>
      <c r="AW52" s="53">
        <f t="shared" ref="AW52:BB52" si="21">AW44+SUM(AW46:AW51)</f>
        <v>1420</v>
      </c>
      <c r="AX52" s="53">
        <f t="shared" si="21"/>
        <v>728</v>
      </c>
      <c r="AY52" s="53">
        <f t="shared" si="21"/>
        <v>-4790</v>
      </c>
      <c r="AZ52" s="53">
        <f t="shared" si="21"/>
        <v>2699</v>
      </c>
      <c r="BA52" s="53">
        <f t="shared" si="21"/>
        <v>1477</v>
      </c>
      <c r="BB52" s="53">
        <f t="shared" si="21"/>
        <v>-44638.333333333328</v>
      </c>
      <c r="BC52" s="51">
        <f t="shared" si="0"/>
        <v>0</v>
      </c>
    </row>
    <row r="53" spans="1:55" ht="10.15">
      <c r="A53" s="12"/>
      <c r="B53" s="12"/>
      <c r="C53" s="1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1">
        <f t="shared" si="0"/>
        <v>0</v>
      </c>
    </row>
    <row r="54" spans="1:55" ht="10.15">
      <c r="A54" s="12" t="s">
        <v>284</v>
      </c>
      <c r="B54" s="12"/>
      <c r="C54" s="12"/>
      <c r="D54" s="52">
        <v>52</v>
      </c>
      <c r="E54" s="52">
        <v>33</v>
      </c>
      <c r="F54" s="52">
        <v>12</v>
      </c>
      <c r="G54" s="52">
        <v>226</v>
      </c>
      <c r="H54" s="52">
        <v>27</v>
      </c>
      <c r="I54" s="52">
        <v>30</v>
      </c>
      <c r="J54" s="52">
        <v>-2</v>
      </c>
      <c r="K54" s="52">
        <v>109</v>
      </c>
      <c r="L54" s="52">
        <v>-576</v>
      </c>
      <c r="M54" s="52">
        <v>-298</v>
      </c>
      <c r="N54" s="52">
        <v>-126</v>
      </c>
      <c r="O54" s="52">
        <v>154</v>
      </c>
      <c r="P54" s="52">
        <v>37</v>
      </c>
      <c r="Q54" s="52">
        <v>105</v>
      </c>
      <c r="R54" s="52">
        <v>55</v>
      </c>
      <c r="S54" s="52">
        <v>239</v>
      </c>
      <c r="T54" s="51">
        <v>106</v>
      </c>
      <c r="U54" s="51">
        <v>89</v>
      </c>
      <c r="V54" s="51">
        <v>17</v>
      </c>
      <c r="W54" s="51">
        <v>128</v>
      </c>
      <c r="X54" s="51">
        <v>56</v>
      </c>
      <c r="Y54" s="51">
        <v>-8</v>
      </c>
      <c r="Z54" s="51">
        <v>2</v>
      </c>
      <c r="AA54" s="51">
        <v>-52</v>
      </c>
      <c r="AB54" s="51"/>
      <c r="AC54" s="51"/>
      <c r="AD54" s="51"/>
      <c r="AE54" s="51"/>
      <c r="AF54" s="51"/>
      <c r="AG54" s="51"/>
      <c r="AH54" s="51"/>
      <c r="AI54" s="51"/>
      <c r="AJ54" s="51"/>
      <c r="AK54" s="51"/>
      <c r="AL54" s="51"/>
      <c r="AM54" s="51"/>
      <c r="AN54" s="51"/>
      <c r="AO54" s="51"/>
      <c r="AP54" s="51"/>
      <c r="AQ54" s="51"/>
      <c r="AR54" s="51"/>
      <c r="AS54" s="51"/>
      <c r="AT54" s="51"/>
      <c r="AU54" s="51"/>
      <c r="AV54" s="51"/>
      <c r="AW54" s="51">
        <v>322</v>
      </c>
      <c r="AX54" s="51">
        <f>SUM(H54:K54)</f>
        <v>164</v>
      </c>
      <c r="AY54" s="51">
        <f>SUM(L54:O54)</f>
        <v>-846</v>
      </c>
      <c r="AZ54" s="51">
        <f>SUM(P54:S54)</f>
        <v>436</v>
      </c>
      <c r="BA54" s="51">
        <v>331</v>
      </c>
      <c r="BB54" s="51">
        <f>SUM(X54:AI54)</f>
        <v>-2</v>
      </c>
      <c r="BC54" s="51">
        <f t="shared" si="0"/>
        <v>0</v>
      </c>
    </row>
    <row r="55" spans="1:55" ht="10.15">
      <c r="A55" s="15" t="s">
        <v>285</v>
      </c>
      <c r="B55" s="15"/>
      <c r="C55" s="15"/>
      <c r="D55" s="50">
        <f t="shared" ref="D55:G55" si="22">D52-D54</f>
        <v>131</v>
      </c>
      <c r="E55" s="50">
        <f t="shared" si="22"/>
        <v>164</v>
      </c>
      <c r="F55" s="50">
        <f t="shared" si="22"/>
        <v>62</v>
      </c>
      <c r="G55" s="50">
        <f t="shared" si="22"/>
        <v>740</v>
      </c>
      <c r="H55" s="50">
        <f t="shared" ref="H55:BB55" si="23">H52-H54</f>
        <v>136</v>
      </c>
      <c r="I55" s="50">
        <f t="shared" si="23"/>
        <v>86</v>
      </c>
      <c r="J55" s="50">
        <f t="shared" si="23"/>
        <v>2</v>
      </c>
      <c r="K55" s="50">
        <f t="shared" si="23"/>
        <v>340</v>
      </c>
      <c r="L55" s="50">
        <f t="shared" si="23"/>
        <v>-3581</v>
      </c>
      <c r="M55" s="50">
        <f t="shared" si="23"/>
        <v>-428</v>
      </c>
      <c r="N55" s="50">
        <f t="shared" si="23"/>
        <v>-91</v>
      </c>
      <c r="O55" s="50">
        <f t="shared" si="23"/>
        <v>161</v>
      </c>
      <c r="P55" s="50">
        <f t="shared" si="23"/>
        <v>103</v>
      </c>
      <c r="Q55" s="50">
        <f t="shared" si="23"/>
        <v>345</v>
      </c>
      <c r="R55" s="50">
        <f t="shared" si="23"/>
        <v>239</v>
      </c>
      <c r="S55" s="50">
        <f t="shared" si="23"/>
        <v>743</v>
      </c>
      <c r="T55" s="642">
        <f t="shared" si="23"/>
        <v>286</v>
      </c>
      <c r="U55" s="642">
        <f t="shared" si="23"/>
        <v>275</v>
      </c>
      <c r="V55" s="642">
        <f t="shared" si="23"/>
        <v>108</v>
      </c>
      <c r="W55" s="642">
        <f t="shared" si="23"/>
        <v>509</v>
      </c>
      <c r="X55" s="642">
        <f t="shared" si="23"/>
        <v>155</v>
      </c>
      <c r="Y55" s="642">
        <f t="shared" si="23"/>
        <v>-22</v>
      </c>
      <c r="Z55" s="642">
        <f t="shared" si="23"/>
        <v>41</v>
      </c>
      <c r="AA55" s="642">
        <f>AA52-AA54</f>
        <v>-128</v>
      </c>
      <c r="AB55" s="642"/>
      <c r="AC55" s="642"/>
      <c r="AD55" s="642"/>
      <c r="AE55" s="642"/>
      <c r="AF55" s="642"/>
      <c r="AG55" s="642"/>
      <c r="AH55" s="642"/>
      <c r="AI55" s="642"/>
      <c r="AJ55" s="642"/>
      <c r="AK55" s="642"/>
      <c r="AL55" s="642"/>
      <c r="AM55" s="642"/>
      <c r="AN55" s="642"/>
      <c r="AO55" s="642"/>
      <c r="AP55" s="642"/>
      <c r="AQ55" s="642"/>
      <c r="AR55" s="642"/>
      <c r="AS55" s="642"/>
      <c r="AT55" s="642"/>
      <c r="AU55" s="642"/>
      <c r="AV55" s="642"/>
      <c r="AW55" s="642">
        <f t="shared" si="23"/>
        <v>1098</v>
      </c>
      <c r="AX55" s="642">
        <f t="shared" si="23"/>
        <v>564</v>
      </c>
      <c r="AY55" s="642">
        <f t="shared" si="23"/>
        <v>-3944</v>
      </c>
      <c r="AZ55" s="642">
        <f t="shared" si="23"/>
        <v>2263</v>
      </c>
      <c r="BA55" s="642">
        <f t="shared" si="23"/>
        <v>1146</v>
      </c>
      <c r="BB55" s="642">
        <f t="shared" si="23"/>
        <v>-44636.333333333328</v>
      </c>
      <c r="BC55" s="51">
        <f t="shared" si="0"/>
        <v>0</v>
      </c>
    </row>
    <row r="56" spans="1:55" ht="10.15">
      <c r="A56" s="12"/>
      <c r="B56" s="12"/>
      <c r="C56" s="1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1">
        <f t="shared" si="0"/>
        <v>0</v>
      </c>
    </row>
    <row r="57" spans="1:55" ht="10.15">
      <c r="A57" s="12" t="s">
        <v>286</v>
      </c>
      <c r="B57" s="12"/>
      <c r="C57" s="12"/>
      <c r="D57" s="52">
        <v>8</v>
      </c>
      <c r="E57" s="52">
        <v>2</v>
      </c>
      <c r="F57" s="52">
        <v>0</v>
      </c>
      <c r="G57" s="52">
        <v>0</v>
      </c>
      <c r="H57" s="52">
        <v>0</v>
      </c>
      <c r="I57" s="52">
        <v>0</v>
      </c>
      <c r="J57" s="52">
        <v>0</v>
      </c>
      <c r="K57" s="52">
        <v>0</v>
      </c>
      <c r="L57" s="52">
        <v>0</v>
      </c>
      <c r="M57" s="52">
        <v>0</v>
      </c>
      <c r="N57" s="52">
        <v>0</v>
      </c>
      <c r="O57" s="52">
        <v>0</v>
      </c>
      <c r="P57" s="52">
        <v>0</v>
      </c>
      <c r="Q57" s="52">
        <v>0</v>
      </c>
      <c r="R57" s="52">
        <v>0</v>
      </c>
      <c r="S57" s="52">
        <v>0</v>
      </c>
      <c r="T57" s="51">
        <v>0</v>
      </c>
      <c r="U57" s="51">
        <v>0</v>
      </c>
      <c r="V57" s="51">
        <v>0</v>
      </c>
      <c r="W57" s="51">
        <v>0</v>
      </c>
      <c r="X57" s="51">
        <v>0</v>
      </c>
      <c r="Y57" s="51">
        <v>0</v>
      </c>
      <c r="Z57" s="51">
        <v>0</v>
      </c>
      <c r="AA57" s="51">
        <v>0</v>
      </c>
      <c r="AB57" s="51"/>
      <c r="AC57" s="51"/>
      <c r="AD57" s="51"/>
      <c r="AE57" s="51"/>
      <c r="AF57" s="51"/>
      <c r="AG57" s="51"/>
      <c r="AH57" s="51"/>
      <c r="AI57" s="51"/>
      <c r="AJ57" s="51"/>
      <c r="AK57" s="51"/>
      <c r="AL57" s="51"/>
      <c r="AM57" s="51"/>
      <c r="AN57" s="51"/>
      <c r="AO57" s="51"/>
      <c r="AP57" s="51"/>
      <c r="AQ57" s="51"/>
      <c r="AR57" s="51"/>
      <c r="AS57" s="51"/>
      <c r="AT57" s="51"/>
      <c r="AU57" s="51"/>
      <c r="AV57" s="51"/>
      <c r="AW57" s="51">
        <f>SUM(D57:G57)</f>
        <v>10</v>
      </c>
      <c r="AX57" s="51">
        <v>0</v>
      </c>
      <c r="AY57" s="51">
        <v>0</v>
      </c>
      <c r="AZ57" s="51">
        <v>0</v>
      </c>
      <c r="BA57" s="51">
        <v>0</v>
      </c>
      <c r="BB57" s="51">
        <v>0</v>
      </c>
      <c r="BC57" s="51">
        <f t="shared" si="0"/>
        <v>0</v>
      </c>
    </row>
    <row r="58" spans="1:55" ht="10.15">
      <c r="A58" s="15" t="s">
        <v>287</v>
      </c>
      <c r="B58" s="15"/>
      <c r="C58" s="15"/>
      <c r="D58" s="50">
        <f t="shared" ref="D58:G58" si="24">D55+D57</f>
        <v>139</v>
      </c>
      <c r="E58" s="50">
        <f t="shared" si="24"/>
        <v>166</v>
      </c>
      <c r="F58" s="50">
        <f t="shared" si="24"/>
        <v>62</v>
      </c>
      <c r="G58" s="50">
        <f t="shared" si="24"/>
        <v>740</v>
      </c>
      <c r="H58" s="50">
        <f t="shared" ref="H58:BB58" si="25">H55+H57</f>
        <v>136</v>
      </c>
      <c r="I58" s="50">
        <f t="shared" si="25"/>
        <v>86</v>
      </c>
      <c r="J58" s="50">
        <f t="shared" si="25"/>
        <v>2</v>
      </c>
      <c r="K58" s="50">
        <f t="shared" si="25"/>
        <v>340</v>
      </c>
      <c r="L58" s="50">
        <f t="shared" si="25"/>
        <v>-3581</v>
      </c>
      <c r="M58" s="50">
        <f t="shared" si="25"/>
        <v>-428</v>
      </c>
      <c r="N58" s="50">
        <f t="shared" si="25"/>
        <v>-91</v>
      </c>
      <c r="O58" s="50">
        <f t="shared" si="25"/>
        <v>161</v>
      </c>
      <c r="P58" s="50">
        <f t="shared" si="25"/>
        <v>103</v>
      </c>
      <c r="Q58" s="50">
        <f t="shared" si="25"/>
        <v>345</v>
      </c>
      <c r="R58" s="50">
        <f t="shared" si="25"/>
        <v>239</v>
      </c>
      <c r="S58" s="50">
        <f t="shared" si="25"/>
        <v>743</v>
      </c>
      <c r="T58" s="50">
        <f t="shared" si="25"/>
        <v>286</v>
      </c>
      <c r="U58" s="50">
        <f t="shared" si="25"/>
        <v>275</v>
      </c>
      <c r="V58" s="50">
        <f t="shared" si="25"/>
        <v>108</v>
      </c>
      <c r="W58" s="50">
        <f t="shared" si="25"/>
        <v>509</v>
      </c>
      <c r="X58" s="50">
        <f t="shared" si="25"/>
        <v>155</v>
      </c>
      <c r="Y58" s="50">
        <f t="shared" si="25"/>
        <v>-22</v>
      </c>
      <c r="Z58" s="50">
        <f t="shared" si="25"/>
        <v>41</v>
      </c>
      <c r="AA58" s="50">
        <f>AA55+AA57</f>
        <v>-128</v>
      </c>
      <c r="AB58" s="50"/>
      <c r="AC58" s="50"/>
      <c r="AD58" s="50"/>
      <c r="AE58" s="50"/>
      <c r="AF58" s="50"/>
      <c r="AG58" s="50"/>
      <c r="AH58" s="50"/>
      <c r="AI58" s="50"/>
      <c r="AJ58" s="50"/>
      <c r="AK58" s="50"/>
      <c r="AL58" s="50"/>
      <c r="AM58" s="50"/>
      <c r="AN58" s="50"/>
      <c r="AO58" s="50"/>
      <c r="AP58" s="50"/>
      <c r="AQ58" s="50"/>
      <c r="AR58" s="50"/>
      <c r="AS58" s="50"/>
      <c r="AT58" s="50"/>
      <c r="AU58" s="50"/>
      <c r="AV58" s="50"/>
      <c r="AW58" s="626">
        <f t="shared" si="25"/>
        <v>1108</v>
      </c>
      <c r="AX58" s="50">
        <f t="shared" si="25"/>
        <v>564</v>
      </c>
      <c r="AY58" s="50">
        <f t="shared" si="25"/>
        <v>-3944</v>
      </c>
      <c r="AZ58" s="50">
        <f t="shared" si="25"/>
        <v>2263</v>
      </c>
      <c r="BA58" s="50">
        <f t="shared" si="25"/>
        <v>1146</v>
      </c>
      <c r="BB58" s="50">
        <f t="shared" si="25"/>
        <v>-44636.333333333328</v>
      </c>
      <c r="BC58" s="51">
        <f t="shared" si="0"/>
        <v>0</v>
      </c>
    </row>
    <row r="59" spans="1:55" ht="10.15">
      <c r="A59" s="15"/>
      <c r="B59" s="15"/>
      <c r="C59" s="15"/>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51">
        <f t="shared" si="0"/>
        <v>0</v>
      </c>
    </row>
    <row r="60" spans="1:55" s="46" customFormat="1" ht="10.15">
      <c r="A60" s="48"/>
      <c r="B60" s="48"/>
      <c r="C60" s="48"/>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51">
        <f t="shared" si="0"/>
        <v>0</v>
      </c>
    </row>
    <row r="61" spans="1:55" s="41" customFormat="1" ht="10.15">
      <c r="A61" s="44" t="s">
        <v>288</v>
      </c>
      <c r="B61" s="43"/>
      <c r="C61" s="43"/>
      <c r="D61" s="42">
        <v>0.45</v>
      </c>
      <c r="E61" s="42">
        <v>0.54</v>
      </c>
      <c r="F61" s="42">
        <v>0.2</v>
      </c>
      <c r="G61" s="42">
        <v>2.4</v>
      </c>
      <c r="H61" s="22">
        <v>0.44</v>
      </c>
      <c r="I61" s="22">
        <v>0.28000000000000003</v>
      </c>
      <c r="J61" s="22">
        <v>0.01</v>
      </c>
      <c r="K61" s="22">
        <v>1.1000000000000001</v>
      </c>
      <c r="L61" s="22">
        <v>-11.53</v>
      </c>
      <c r="M61" s="22">
        <v>-1.38</v>
      </c>
      <c r="N61" s="22">
        <v>-0.28999999999999998</v>
      </c>
      <c r="O61" s="22">
        <v>0.51</v>
      </c>
      <c r="P61" s="22">
        <v>0.33</v>
      </c>
      <c r="Q61" s="22">
        <v>1.1000000000000001</v>
      </c>
      <c r="R61" s="22">
        <v>0.78</v>
      </c>
      <c r="S61" s="22">
        <v>2.5099999999999998</v>
      </c>
      <c r="T61" s="22">
        <v>1.01</v>
      </c>
      <c r="U61" s="22">
        <v>1.01</v>
      </c>
      <c r="V61" s="22">
        <v>0.4</v>
      </c>
      <c r="W61" s="22">
        <v>1.87</v>
      </c>
      <c r="X61" s="22">
        <v>0.56999999999999995</v>
      </c>
      <c r="Y61" s="22">
        <v>-0.08</v>
      </c>
      <c r="Z61" s="22">
        <v>0.15</v>
      </c>
      <c r="AA61" s="22">
        <v>-0.47</v>
      </c>
      <c r="AB61" s="22"/>
      <c r="AC61" s="22"/>
      <c r="AD61" s="22"/>
      <c r="AE61" s="22"/>
      <c r="AF61" s="22"/>
      <c r="AG61" s="22"/>
      <c r="AH61" s="22"/>
      <c r="AI61" s="22"/>
      <c r="AJ61" s="22"/>
      <c r="AK61" s="22"/>
      <c r="AL61" s="22"/>
      <c r="AM61" s="22"/>
      <c r="AN61" s="22"/>
      <c r="AO61" s="22"/>
      <c r="AP61" s="22"/>
      <c r="AQ61" s="22"/>
      <c r="AR61" s="22"/>
      <c r="AS61" s="22"/>
      <c r="AT61" s="22"/>
      <c r="AU61" s="22"/>
      <c r="AV61" s="22"/>
      <c r="AW61" s="42">
        <v>3.6</v>
      </c>
      <c r="AX61" s="42">
        <v>1.82</v>
      </c>
      <c r="AY61" s="42">
        <v>-12.68</v>
      </c>
      <c r="AZ61" s="42">
        <v>4.66</v>
      </c>
      <c r="BA61" s="42">
        <v>4.17</v>
      </c>
      <c r="BB61" s="42">
        <v>0.16</v>
      </c>
      <c r="BC61" s="51">
        <f t="shared" si="0"/>
        <v>0</v>
      </c>
    </row>
    <row r="62" spans="1:55" s="37" customFormat="1" ht="10.15">
      <c r="A62" s="40" t="s">
        <v>289</v>
      </c>
      <c r="B62" s="39"/>
      <c r="C62" s="39"/>
      <c r="D62" s="38">
        <v>306.60000000000002</v>
      </c>
      <c r="E62" s="38">
        <v>307.7</v>
      </c>
      <c r="F62" s="38">
        <v>308.10000000000002</v>
      </c>
      <c r="G62" s="38">
        <v>308.39999999999998</v>
      </c>
      <c r="H62" s="21">
        <v>309.10000000000002</v>
      </c>
      <c r="I62" s="21">
        <v>309.8</v>
      </c>
      <c r="J62" s="21">
        <v>309.89999999999998</v>
      </c>
      <c r="K62" s="21">
        <v>309.89999999999998</v>
      </c>
      <c r="L62" s="21">
        <v>310.60000000000002</v>
      </c>
      <c r="M62" s="21">
        <v>311.2</v>
      </c>
      <c r="N62" s="21">
        <v>311.2</v>
      </c>
      <c r="O62" s="21">
        <v>311.39999999999998</v>
      </c>
      <c r="P62" s="21">
        <v>311.60000000000002</v>
      </c>
      <c r="Q62" s="21">
        <v>312.39999999999998</v>
      </c>
      <c r="R62" s="21">
        <v>306.89999999999998</v>
      </c>
      <c r="S62" s="21">
        <v>296.5</v>
      </c>
      <c r="T62" s="21">
        <v>283.60000000000002</v>
      </c>
      <c r="U62" s="21">
        <v>271.10000000000002</v>
      </c>
      <c r="V62" s="21">
        <v>272</v>
      </c>
      <c r="W62" s="21">
        <v>272.2</v>
      </c>
      <c r="X62" s="21">
        <v>273.10000000000002</v>
      </c>
      <c r="Y62" s="21">
        <v>273.8</v>
      </c>
      <c r="Z62" s="21">
        <v>274.7</v>
      </c>
      <c r="AA62" s="21">
        <v>275</v>
      </c>
      <c r="AB62" s="21"/>
      <c r="AC62" s="21"/>
      <c r="AD62" s="21"/>
      <c r="AE62" s="21"/>
      <c r="AF62" s="21"/>
      <c r="AG62" s="21"/>
      <c r="AH62" s="21"/>
      <c r="AI62" s="21"/>
      <c r="AJ62" s="21"/>
      <c r="AK62" s="21"/>
      <c r="AL62" s="21"/>
      <c r="AM62" s="21"/>
      <c r="AN62" s="21"/>
      <c r="AO62" s="21"/>
      <c r="AP62" s="21"/>
      <c r="AQ62" s="21"/>
      <c r="AR62" s="21"/>
      <c r="AS62" s="21"/>
      <c r="AT62" s="21"/>
      <c r="AU62" s="21"/>
      <c r="AV62" s="21"/>
      <c r="AW62" s="38">
        <v>307.7</v>
      </c>
      <c r="AX62" s="38">
        <v>309.7</v>
      </c>
      <c r="AY62" s="38">
        <v>311.10000000000002</v>
      </c>
      <c r="AZ62" s="38">
        <v>306.8</v>
      </c>
      <c r="BA62" s="38">
        <v>274.7</v>
      </c>
      <c r="BB62" s="38">
        <v>274.2</v>
      </c>
      <c r="BC62" s="51">
        <f t="shared" si="0"/>
        <v>0</v>
      </c>
    </row>
    <row r="63" spans="1:55" ht="10.15">
      <c r="A63" s="15"/>
      <c r="B63" s="12"/>
      <c r="C63" s="12"/>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36"/>
      <c r="AX63" s="36"/>
      <c r="AY63" s="36"/>
      <c r="AZ63" s="36"/>
      <c r="BA63" s="36"/>
      <c r="BB63" s="36"/>
      <c r="BC63" s="51">
        <f t="shared" si="0"/>
        <v>0</v>
      </c>
    </row>
    <row r="64" spans="1:55" s="41" customFormat="1" ht="10.15">
      <c r="A64" s="44" t="s">
        <v>290</v>
      </c>
      <c r="B64" s="43"/>
      <c r="C64" s="43"/>
      <c r="D64" s="42">
        <v>0.45</v>
      </c>
      <c r="E64" s="42">
        <v>0.53</v>
      </c>
      <c r="F64" s="42">
        <v>0.2</v>
      </c>
      <c r="G64" s="42">
        <v>2.38</v>
      </c>
      <c r="H64" s="22">
        <v>0.44</v>
      </c>
      <c r="I64" s="22">
        <v>0.28000000000000003</v>
      </c>
      <c r="J64" s="22">
        <v>0.01</v>
      </c>
      <c r="K64" s="22">
        <v>1.0900000000000001</v>
      </c>
      <c r="L64" s="22">
        <v>-11.53</v>
      </c>
      <c r="M64" s="22">
        <v>-1.39</v>
      </c>
      <c r="N64" s="22">
        <v>-0.28999999999999998</v>
      </c>
      <c r="O64" s="22">
        <v>0.51</v>
      </c>
      <c r="P64" s="22">
        <v>0.32</v>
      </c>
      <c r="Q64" s="22">
        <v>1.08</v>
      </c>
      <c r="R64" s="22">
        <v>0.76</v>
      </c>
      <c r="S64" s="22">
        <v>2.4300000000000002</v>
      </c>
      <c r="T64" s="22">
        <v>0.98</v>
      </c>
      <c r="U64" s="22">
        <v>0.99</v>
      </c>
      <c r="V64" s="22">
        <v>0.39</v>
      </c>
      <c r="W64" s="22">
        <v>1.83</v>
      </c>
      <c r="X64" s="22">
        <v>0.56000000000000005</v>
      </c>
      <c r="Y64" s="22">
        <v>-0.08</v>
      </c>
      <c r="Z64" s="22">
        <v>0.15</v>
      </c>
      <c r="AA64" s="22">
        <v>-0.47</v>
      </c>
      <c r="AB64" s="22"/>
      <c r="AC64" s="22"/>
      <c r="AD64" s="22"/>
      <c r="AE64" s="22"/>
      <c r="AF64" s="22"/>
      <c r="AG64" s="22"/>
      <c r="AH64" s="22"/>
      <c r="AI64" s="22"/>
      <c r="AJ64" s="22"/>
      <c r="AK64" s="22"/>
      <c r="AL64" s="22"/>
      <c r="AM64" s="22"/>
      <c r="AN64" s="22"/>
      <c r="AO64" s="22"/>
      <c r="AP64" s="22"/>
      <c r="AQ64" s="22"/>
      <c r="AR64" s="22"/>
      <c r="AS64" s="22"/>
      <c r="AT64" s="22"/>
      <c r="AU64" s="22"/>
      <c r="AV64" s="22"/>
      <c r="AW64" s="42">
        <v>3.56</v>
      </c>
      <c r="AX64" s="42">
        <v>1.81</v>
      </c>
      <c r="AY64" s="42">
        <v>-12.68</v>
      </c>
      <c r="AZ64" s="42">
        <v>4.55</v>
      </c>
      <c r="BA64" s="42">
        <v>4.08</v>
      </c>
      <c r="BB64" s="42">
        <v>0.16</v>
      </c>
      <c r="BC64" s="51">
        <f t="shared" si="0"/>
        <v>0</v>
      </c>
    </row>
    <row r="65" spans="1:55" s="37" customFormat="1" ht="10.15">
      <c r="A65" s="40" t="s">
        <v>291</v>
      </c>
      <c r="B65" s="39"/>
      <c r="C65" s="39"/>
      <c r="D65" s="38">
        <v>309.39999999999998</v>
      </c>
      <c r="E65" s="38">
        <v>312</v>
      </c>
      <c r="F65" s="38">
        <v>312.2</v>
      </c>
      <c r="G65" s="38">
        <v>311.89999999999998</v>
      </c>
      <c r="H65" s="21">
        <v>311.39999999999998</v>
      </c>
      <c r="I65" s="21">
        <v>311.60000000000002</v>
      </c>
      <c r="J65" s="21">
        <v>311</v>
      </c>
      <c r="K65" s="21">
        <v>311.5</v>
      </c>
      <c r="L65" s="21">
        <v>310.60000000000002</v>
      </c>
      <c r="M65" s="21">
        <v>311.2</v>
      </c>
      <c r="N65" s="21">
        <v>311.2</v>
      </c>
      <c r="O65" s="21">
        <v>316.60000000000002</v>
      </c>
      <c r="P65" s="21">
        <v>318.60000000000002</v>
      </c>
      <c r="Q65" s="21">
        <v>318.60000000000002</v>
      </c>
      <c r="R65" s="21">
        <v>313.8</v>
      </c>
      <c r="S65" s="21">
        <v>304.8</v>
      </c>
      <c r="T65" s="21">
        <v>290.89999999999998</v>
      </c>
      <c r="U65" s="21">
        <v>277.39999999999998</v>
      </c>
      <c r="V65" s="21">
        <v>277.7</v>
      </c>
      <c r="W65" s="21">
        <v>278.5</v>
      </c>
      <c r="X65" s="21">
        <v>277.8</v>
      </c>
      <c r="Y65" s="21">
        <v>273.8</v>
      </c>
      <c r="Z65" s="21">
        <v>277.60000000000002</v>
      </c>
      <c r="AA65" s="21">
        <v>275</v>
      </c>
      <c r="AB65" s="21"/>
      <c r="AC65" s="21"/>
      <c r="AD65" s="21"/>
      <c r="AE65" s="21"/>
      <c r="AF65" s="21"/>
      <c r="AG65" s="21"/>
      <c r="AH65" s="21"/>
      <c r="AI65" s="21"/>
      <c r="AJ65" s="21"/>
      <c r="AK65" s="21"/>
      <c r="AL65" s="21"/>
      <c r="AM65" s="21"/>
      <c r="AN65" s="21"/>
      <c r="AO65" s="21"/>
      <c r="AP65" s="21"/>
      <c r="AQ65" s="21"/>
      <c r="AR65" s="21"/>
      <c r="AS65" s="21"/>
      <c r="AT65" s="21"/>
      <c r="AU65" s="21"/>
      <c r="AV65" s="21"/>
      <c r="AW65" s="38">
        <v>311.39999999999998</v>
      </c>
      <c r="AX65" s="38">
        <v>311.39999999999998</v>
      </c>
      <c r="AY65" s="38">
        <v>311.10000000000002</v>
      </c>
      <c r="AZ65" s="38">
        <v>314</v>
      </c>
      <c r="BA65" s="38">
        <v>281.10000000000002</v>
      </c>
      <c r="BB65" s="38">
        <v>278.2</v>
      </c>
      <c r="BC65" s="51">
        <f t="shared" si="0"/>
        <v>0</v>
      </c>
    </row>
    <row r="66" spans="1:55" ht="10.15">
      <c r="A66" s="12"/>
      <c r="B66" s="12"/>
      <c r="C66" s="12"/>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row>
    <row r="67" spans="1:55" ht="10.15">
      <c r="A67" s="12"/>
      <c r="B67" s="12"/>
      <c r="C67" s="12"/>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row>
    <row r="68" spans="1:55" ht="10.15">
      <c r="A68" s="12"/>
      <c r="B68" s="12"/>
      <c r="C68" s="12"/>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row>
    <row r="69" spans="1:55" ht="10.15">
      <c r="A69" s="10" t="s">
        <v>96</v>
      </c>
      <c r="B69" s="10"/>
      <c r="C69" s="10"/>
      <c r="D69" s="35"/>
      <c r="E69" s="35"/>
      <c r="F69" s="35"/>
      <c r="G69" s="35"/>
      <c r="H69" s="35"/>
      <c r="I69" s="35"/>
      <c r="J69" s="35"/>
      <c r="K69" s="35"/>
      <c r="L69" s="35"/>
      <c r="M69" s="35"/>
      <c r="N69" s="35"/>
      <c r="O69" s="35"/>
      <c r="P69" s="35"/>
      <c r="Q69" s="35"/>
      <c r="R69" s="35"/>
      <c r="S69" s="35"/>
      <c r="AW69" s="34"/>
      <c r="AX69" s="34"/>
      <c r="AY69" s="34"/>
      <c r="AZ69" s="34"/>
      <c r="BA69" s="34"/>
    </row>
  </sheetData>
  <mergeCells count="1">
    <mergeCell ref="BC14:BG14"/>
  </mergeCells>
  <phoneticPr fontId="65" type="noConversion"/>
  <pageMargins left="0.2" right="0.2" top="0.5" bottom="0.5" header="0.5" footer="0.5"/>
  <pageSetup fitToWidth="0" fitToHeight="0" orientation="landscape" horizontalDpi="0" verticalDpi="0"/>
  <headerFooter alignWithMargins="0"/>
  <ignoredErrors>
    <ignoredError sqref="AR18" formula="1"/>
  </ignoredError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DA9E-C3E3-EF44-B213-5841AAE9FCCF}">
  <sheetPr codeName="Sheet15">
    <tabColor theme="9" tint="0.79998168889431442"/>
    <outlinePr summaryBelow="0" summaryRight="0"/>
    <pageSetUpPr autoPageBreaks="0"/>
  </sheetPr>
  <dimension ref="A1:IT68"/>
  <sheetViews>
    <sheetView topLeftCell="A38" zoomScale="125" zoomScaleNormal="175" workbookViewId="0">
      <pane xSplit="1" topLeftCell="C1" activePane="topRight" state="frozen"/>
      <selection activeCell="A14" sqref="A14"/>
      <selection pane="topRight" activeCell="AG34" sqref="AG34"/>
    </sheetView>
  </sheetViews>
  <sheetFormatPr defaultColWidth="10.8125" defaultRowHeight="15.75" outlineLevelCol="2"/>
  <cols>
    <col min="1" max="1" width="27.5" style="9" customWidth="1"/>
    <col min="2" max="2" width="7.8125" style="9" hidden="1" customWidth="1"/>
    <col min="3" max="5" width="13.8125" style="34" customWidth="1" outlineLevel="1"/>
    <col min="6" max="6" width="11.5" style="34" customWidth="1" outlineLevel="1"/>
    <col min="7" max="10" width="13.8125" style="34" customWidth="1" outlineLevel="1"/>
    <col min="11" max="18" width="13.8125" style="34" customWidth="1" outlineLevel="2"/>
    <col min="19" max="26" width="13.8125" style="34" customWidth="1" outlineLevel="1"/>
    <col min="27" max="27" width="13.5" style="34" customWidth="1"/>
    <col min="28" max="31" width="13.8125" style="34" customWidth="1"/>
    <col min="32" max="32" width="13.8125" style="66" customWidth="1"/>
    <col min="39" max="254" width="8.8125" style="9" customWidth="1"/>
    <col min="255" max="16384" width="10.8125" style="9"/>
  </cols>
  <sheetData>
    <row r="1" spans="1:254" ht="24" hidden="1" customHeight="1">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91"/>
    </row>
    <row r="2" spans="1:254" hidden="1">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91"/>
    </row>
    <row r="3" spans="1:254" hidden="1">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91"/>
    </row>
    <row r="4" spans="1:254" hidden="1">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91"/>
    </row>
    <row r="5" spans="1:254" ht="16.899999999999999" hidden="1">
      <c r="A5" s="33" t="s">
        <v>648</v>
      </c>
      <c r="B5" s="33"/>
      <c r="C5" s="65"/>
      <c r="D5" s="65"/>
      <c r="E5" s="65"/>
      <c r="F5" s="65"/>
      <c r="G5" s="65"/>
      <c r="H5" s="65"/>
      <c r="I5" s="65"/>
      <c r="J5" s="65"/>
      <c r="K5" s="65"/>
      <c r="L5" s="65"/>
      <c r="M5" s="65"/>
      <c r="N5" s="65"/>
      <c r="O5" s="65"/>
      <c r="P5" s="65"/>
      <c r="Q5" s="65"/>
      <c r="R5" s="65"/>
      <c r="S5" s="60"/>
      <c r="T5" s="60"/>
      <c r="U5" s="60"/>
      <c r="V5" s="60"/>
      <c r="W5" s="60"/>
      <c r="X5" s="60"/>
      <c r="Y5" s="60"/>
      <c r="Z5" s="60"/>
      <c r="AA5" s="60"/>
      <c r="AB5" s="60"/>
      <c r="AC5" s="60"/>
      <c r="AD5" s="60"/>
      <c r="AE5" s="60"/>
      <c r="AF5" s="91"/>
    </row>
    <row r="6" spans="1:254" hidden="1">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91"/>
    </row>
    <row r="7" spans="1:254" hidden="1">
      <c r="A7" s="32" t="s">
        <v>21</v>
      </c>
      <c r="C7" s="30" t="s">
        <v>2</v>
      </c>
      <c r="D7" s="9" t="s">
        <v>3</v>
      </c>
      <c r="E7" s="30" t="s">
        <v>4</v>
      </c>
      <c r="F7" s="9" t="s">
        <v>5</v>
      </c>
      <c r="G7" s="64"/>
      <c r="H7" s="64"/>
      <c r="I7" s="64"/>
      <c r="J7" s="64"/>
      <c r="K7" s="64"/>
      <c r="L7" s="64"/>
      <c r="M7" s="64"/>
      <c r="N7" s="64"/>
      <c r="O7" s="64"/>
      <c r="P7" s="64"/>
      <c r="Q7" s="64"/>
      <c r="R7" s="64"/>
      <c r="S7" s="62"/>
      <c r="T7" s="62"/>
      <c r="U7" s="62"/>
      <c r="V7" s="62"/>
      <c r="W7" s="62"/>
      <c r="X7" s="62"/>
      <c r="Y7" s="62"/>
      <c r="Z7" s="62"/>
      <c r="AA7" s="62" t="s">
        <v>2</v>
      </c>
      <c r="AB7" s="60" t="s">
        <v>3</v>
      </c>
      <c r="AC7" s="45" t="s">
        <v>22</v>
      </c>
      <c r="AD7" s="62" t="s">
        <v>4</v>
      </c>
      <c r="AE7" s="60" t="s">
        <v>5</v>
      </c>
      <c r="AF7" s="91"/>
    </row>
    <row r="8" spans="1:254" hidden="1">
      <c r="A8" s="12"/>
      <c r="C8" s="30" t="s">
        <v>6</v>
      </c>
      <c r="D8" s="9" t="s">
        <v>7</v>
      </c>
      <c r="E8" s="30" t="s">
        <v>8</v>
      </c>
      <c r="F8" s="9" t="s">
        <v>9</v>
      </c>
      <c r="G8" s="45"/>
      <c r="H8" s="45"/>
      <c r="I8" s="45"/>
      <c r="J8" s="45"/>
      <c r="K8" s="45"/>
      <c r="L8" s="45"/>
      <c r="M8" s="45"/>
      <c r="N8" s="45"/>
      <c r="O8" s="45"/>
      <c r="P8" s="45"/>
      <c r="Q8" s="45"/>
      <c r="R8" s="45"/>
      <c r="S8" s="62"/>
      <c r="T8" s="62"/>
      <c r="U8" s="62"/>
      <c r="V8" s="62"/>
      <c r="W8" s="62"/>
      <c r="X8" s="62"/>
      <c r="Y8" s="62"/>
      <c r="Z8" s="62"/>
      <c r="AA8" s="62" t="s">
        <v>6</v>
      </c>
      <c r="AB8" s="60" t="s">
        <v>7</v>
      </c>
      <c r="AC8" s="45" t="s">
        <v>22</v>
      </c>
      <c r="AD8" s="62" t="s">
        <v>8</v>
      </c>
      <c r="AE8" s="60" t="s">
        <v>9</v>
      </c>
      <c r="AF8" s="91"/>
    </row>
    <row r="9" spans="1:254" hidden="1">
      <c r="A9" s="12"/>
      <c r="C9" s="30" t="s">
        <v>10</v>
      </c>
      <c r="D9" s="9" t="s">
        <v>11</v>
      </c>
      <c r="E9" s="30" t="s">
        <v>12</v>
      </c>
      <c r="F9" s="9" t="s">
        <v>13</v>
      </c>
      <c r="G9" s="45"/>
      <c r="H9" s="45"/>
      <c r="I9" s="45"/>
      <c r="J9" s="45"/>
      <c r="K9" s="45"/>
      <c r="L9" s="45"/>
      <c r="M9" s="45"/>
      <c r="N9" s="45"/>
      <c r="O9" s="45"/>
      <c r="P9" s="45"/>
      <c r="Q9" s="45"/>
      <c r="R9" s="45"/>
      <c r="S9" s="62"/>
      <c r="T9" s="62"/>
      <c r="U9" s="62"/>
      <c r="V9" s="62"/>
      <c r="W9" s="62"/>
      <c r="X9" s="62"/>
      <c r="Y9" s="62"/>
      <c r="Z9" s="62"/>
      <c r="AA9" s="62" t="s">
        <v>10</v>
      </c>
      <c r="AB9" s="60" t="s">
        <v>11</v>
      </c>
      <c r="AC9" s="45" t="s">
        <v>22</v>
      </c>
      <c r="AD9" s="62" t="s">
        <v>12</v>
      </c>
      <c r="AE9" s="60" t="s">
        <v>13</v>
      </c>
      <c r="AF9" s="91"/>
    </row>
    <row r="10" spans="1:254" hidden="1">
      <c r="A10" s="12"/>
      <c r="C10" s="30" t="s">
        <v>14</v>
      </c>
      <c r="D10" s="9" t="s">
        <v>15</v>
      </c>
      <c r="E10" s="30" t="s">
        <v>16</v>
      </c>
      <c r="F10" s="31" t="s">
        <v>17</v>
      </c>
      <c r="G10" s="45"/>
      <c r="H10" s="45"/>
      <c r="I10" s="45"/>
      <c r="J10" s="45"/>
      <c r="K10" s="45"/>
      <c r="L10" s="45"/>
      <c r="M10" s="45"/>
      <c r="N10" s="45"/>
      <c r="O10" s="45"/>
      <c r="P10" s="45"/>
      <c r="Q10" s="45"/>
      <c r="R10" s="45"/>
      <c r="S10" s="62"/>
      <c r="T10" s="62"/>
      <c r="U10" s="62"/>
      <c r="V10" s="62"/>
      <c r="W10" s="62"/>
      <c r="X10" s="62"/>
      <c r="Y10" s="62"/>
      <c r="Z10" s="62"/>
      <c r="AA10" s="62" t="s">
        <v>14</v>
      </c>
      <c r="AB10" s="60" t="s">
        <v>15</v>
      </c>
      <c r="AC10" s="45" t="s">
        <v>22</v>
      </c>
      <c r="AD10" s="62" t="s">
        <v>16</v>
      </c>
      <c r="AE10" s="63" t="s">
        <v>17</v>
      </c>
      <c r="AF10" s="91"/>
    </row>
    <row r="11" spans="1:254" hidden="1">
      <c r="A11" s="12"/>
      <c r="C11" s="30" t="s">
        <v>18</v>
      </c>
      <c r="D11" s="9" t="s">
        <v>19</v>
      </c>
      <c r="E11" s="92"/>
      <c r="F11" s="92"/>
      <c r="G11" s="45"/>
      <c r="H11" s="45"/>
      <c r="I11" s="45"/>
      <c r="J11" s="45"/>
      <c r="K11" s="45"/>
      <c r="L11" s="45"/>
      <c r="M11" s="45"/>
      <c r="N11" s="45"/>
      <c r="O11" s="45"/>
      <c r="P11" s="45"/>
      <c r="Q11" s="45"/>
      <c r="R11" s="45"/>
      <c r="S11" s="61"/>
      <c r="T11" s="61"/>
      <c r="U11" s="61"/>
      <c r="V11" s="61"/>
      <c r="W11" s="61"/>
      <c r="X11" s="61"/>
      <c r="Y11" s="61"/>
      <c r="Z11" s="61"/>
      <c r="AA11" s="62" t="s">
        <v>18</v>
      </c>
      <c r="AB11" s="60" t="s">
        <v>19</v>
      </c>
      <c r="AC11" s="45" t="s">
        <v>22</v>
      </c>
      <c r="AD11" s="61"/>
      <c r="AE11" s="61"/>
      <c r="AF11" s="91"/>
    </row>
    <row r="12" spans="1:254" hidden="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91"/>
    </row>
    <row r="13" spans="1:254" hidden="1">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91"/>
    </row>
    <row r="14" spans="1:254" s="56" customFormat="1" ht="14.25">
      <c r="A14" s="59" t="s">
        <v>336</v>
      </c>
      <c r="B14" s="59"/>
      <c r="C14" s="58"/>
      <c r="D14" s="58"/>
      <c r="E14" s="58"/>
      <c r="F14" s="58"/>
      <c r="G14" s="58"/>
      <c r="H14" s="58"/>
      <c r="I14" s="58"/>
      <c r="J14" s="58"/>
      <c r="K14" s="58"/>
      <c r="L14" s="58"/>
      <c r="M14" s="58"/>
      <c r="N14" s="58"/>
      <c r="O14" s="58"/>
      <c r="P14" s="58"/>
      <c r="Q14" s="58"/>
      <c r="R14" s="58"/>
      <c r="S14" s="58"/>
      <c r="T14" s="58"/>
      <c r="U14" s="58"/>
      <c r="V14" s="58"/>
      <c r="W14" s="58"/>
      <c r="X14" s="58"/>
      <c r="Y14" s="58"/>
      <c r="Z14" s="58"/>
      <c r="AA14" s="90">
        <v>2019</v>
      </c>
      <c r="AB14" s="90">
        <v>2020</v>
      </c>
      <c r="AC14" s="58">
        <v>2021</v>
      </c>
      <c r="AD14" s="58">
        <v>2022</v>
      </c>
      <c r="AE14" s="58">
        <v>2023</v>
      </c>
      <c r="AF14" s="89">
        <v>2024</v>
      </c>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row>
    <row r="15" spans="1:254" s="111" customFormat="1" ht="26.25">
      <c r="A15" s="109" t="s">
        <v>34</v>
      </c>
      <c r="B15" s="109"/>
      <c r="C15" s="110" t="s">
        <v>169</v>
      </c>
      <c r="D15" s="110" t="s">
        <v>170</v>
      </c>
      <c r="E15" s="110" t="s">
        <v>171</v>
      </c>
      <c r="F15" s="110" t="s">
        <v>172</v>
      </c>
      <c r="G15" s="110" t="s">
        <v>173</v>
      </c>
      <c r="H15" s="110" t="s">
        <v>174</v>
      </c>
      <c r="I15" s="110" t="s">
        <v>175</v>
      </c>
      <c r="J15" s="110" t="s">
        <v>176</v>
      </c>
      <c r="K15" s="110" t="s">
        <v>177</v>
      </c>
      <c r="L15" s="110" t="s">
        <v>178</v>
      </c>
      <c r="M15" s="110" t="s">
        <v>179</v>
      </c>
      <c r="N15" s="110" t="s">
        <v>180</v>
      </c>
      <c r="O15" s="110" t="s">
        <v>181</v>
      </c>
      <c r="P15" s="110" t="s">
        <v>182</v>
      </c>
      <c r="Q15" s="110" t="s">
        <v>183</v>
      </c>
      <c r="R15" s="110" t="s">
        <v>184</v>
      </c>
      <c r="S15" s="110" t="s">
        <v>185</v>
      </c>
      <c r="T15" s="110" t="s">
        <v>186</v>
      </c>
      <c r="U15" s="110" t="s">
        <v>187</v>
      </c>
      <c r="V15" s="110" t="s">
        <v>209</v>
      </c>
      <c r="W15" s="110" t="s">
        <v>189</v>
      </c>
      <c r="X15" s="110" t="s">
        <v>190</v>
      </c>
      <c r="Y15" s="110" t="s">
        <v>191</v>
      </c>
      <c r="Z15" s="110" t="s">
        <v>192</v>
      </c>
      <c r="AA15" s="110" t="s">
        <v>26</v>
      </c>
      <c r="AB15" s="110" t="s">
        <v>27</v>
      </c>
      <c r="AC15" s="110" t="s">
        <v>28</v>
      </c>
      <c r="AD15" s="110" t="s">
        <v>29</v>
      </c>
      <c r="AE15" s="110" t="s">
        <v>30</v>
      </c>
      <c r="AF15" s="117" t="s">
        <v>31</v>
      </c>
    </row>
    <row r="16" spans="1:254" s="114" customFormat="1" ht="10.15">
      <c r="A16" s="112" t="s">
        <v>193</v>
      </c>
      <c r="B16" s="112"/>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8"/>
    </row>
    <row r="17" spans="1:32">
      <c r="A17" s="15"/>
      <c r="B17" s="15"/>
      <c r="C17" s="54"/>
      <c r="D17" s="54"/>
      <c r="E17" s="54"/>
      <c r="F17" s="54"/>
      <c r="G17" s="54"/>
      <c r="H17" s="54"/>
      <c r="I17" s="54"/>
      <c r="J17" s="54"/>
      <c r="K17" s="54"/>
      <c r="L17" s="54"/>
      <c r="M17" s="54"/>
      <c r="N17" s="54"/>
      <c r="O17" s="54"/>
      <c r="P17" s="54"/>
      <c r="Q17" s="54"/>
      <c r="R17" s="54"/>
      <c r="S17" s="45"/>
      <c r="T17" s="45"/>
      <c r="U17" s="45"/>
      <c r="V17" s="45"/>
      <c r="W17" s="45"/>
      <c r="X17" s="45"/>
      <c r="Y17" s="45"/>
      <c r="Z17" s="45"/>
      <c r="AA17" s="45"/>
      <c r="AB17" s="45"/>
      <c r="AC17" s="45"/>
      <c r="AD17" s="45"/>
      <c r="AE17" s="45"/>
      <c r="AF17" s="86"/>
    </row>
    <row r="18" spans="1:32" s="30" customFormat="1" ht="10.15">
      <c r="A18" s="15" t="s">
        <v>53</v>
      </c>
      <c r="B18" s="15"/>
      <c r="C18" s="50">
        <v>139</v>
      </c>
      <c r="D18" s="50">
        <v>167</v>
      </c>
      <c r="E18" s="50">
        <v>62</v>
      </c>
      <c r="F18" s="50">
        <v>740</v>
      </c>
      <c r="G18" s="50">
        <v>136</v>
      </c>
      <c r="H18" s="50">
        <v>87</v>
      </c>
      <c r="I18" s="50">
        <v>1</v>
      </c>
      <c r="J18" s="50">
        <v>340</v>
      </c>
      <c r="K18" s="50">
        <v>-3581</v>
      </c>
      <c r="L18" s="50">
        <v>-431</v>
      </c>
      <c r="M18" s="50">
        <v>-92</v>
      </c>
      <c r="N18" s="50">
        <v>160</v>
      </c>
      <c r="O18" s="50">
        <v>103</v>
      </c>
      <c r="P18" s="50">
        <v>345</v>
      </c>
      <c r="Q18" s="50">
        <v>239</v>
      </c>
      <c r="R18" s="50">
        <v>743</v>
      </c>
      <c r="S18" s="53">
        <v>286</v>
      </c>
      <c r="T18" s="53">
        <v>275</v>
      </c>
      <c r="U18" s="53">
        <v>107</v>
      </c>
      <c r="V18" s="53">
        <v>509</v>
      </c>
      <c r="W18" s="53">
        <v>155</v>
      </c>
      <c r="X18" s="53">
        <v>-22</v>
      </c>
      <c r="Y18" s="53">
        <v>40</v>
      </c>
      <c r="Z18" s="53">
        <v>-128</v>
      </c>
      <c r="AA18" s="53">
        <f>SUM(C18:F18)</f>
        <v>1108</v>
      </c>
      <c r="AB18" s="53">
        <f>SUM(G18:J18)</f>
        <v>564</v>
      </c>
      <c r="AC18" s="53">
        <f>SUM(K18:N18)</f>
        <v>-3944</v>
      </c>
      <c r="AD18" s="53">
        <f>SUM(O18:R18)</f>
        <v>1430</v>
      </c>
      <c r="AE18" s="53">
        <f>SUM(S18:V18)</f>
        <v>1177</v>
      </c>
      <c r="AF18" s="93">
        <f>SUM(W18:Z18)</f>
        <v>45</v>
      </c>
    </row>
    <row r="19" spans="1:32">
      <c r="A19" s="12" t="s">
        <v>266</v>
      </c>
      <c r="B19" s="12"/>
      <c r="C19" s="52">
        <v>235</v>
      </c>
      <c r="D19" s="52">
        <v>235</v>
      </c>
      <c r="E19" s="52">
        <v>248</v>
      </c>
      <c r="F19" s="52">
        <v>-52</v>
      </c>
      <c r="G19" s="52">
        <v>236</v>
      </c>
      <c r="H19" s="52">
        <v>236</v>
      </c>
      <c r="I19" s="52">
        <v>253</v>
      </c>
      <c r="J19" s="52">
        <v>-29</v>
      </c>
      <c r="K19" s="52">
        <v>237</v>
      </c>
      <c r="L19" s="52">
        <v>235</v>
      </c>
      <c r="M19" s="52">
        <v>250</v>
      </c>
      <c r="N19" s="52">
        <v>-31</v>
      </c>
      <c r="O19" s="52">
        <v>224</v>
      </c>
      <c r="P19" s="52">
        <v>220</v>
      </c>
      <c r="Q19" s="52">
        <v>224</v>
      </c>
      <c r="R19" s="52">
        <v>-32</v>
      </c>
      <c r="S19" s="51">
        <v>206</v>
      </c>
      <c r="T19" s="51">
        <v>207</v>
      </c>
      <c r="U19" s="51">
        <v>225</v>
      </c>
      <c r="V19" s="51">
        <v>-16</v>
      </c>
      <c r="W19" s="51">
        <v>218</v>
      </c>
      <c r="X19" s="51">
        <v>215</v>
      </c>
      <c r="Y19" s="51">
        <v>232</v>
      </c>
      <c r="Z19" s="51">
        <v>-37</v>
      </c>
      <c r="AA19" s="51">
        <f>SUM(C19:F19)</f>
        <v>666</v>
      </c>
      <c r="AB19" s="51">
        <f>SUM(G19:J19)</f>
        <v>696</v>
      </c>
      <c r="AC19" s="53">
        <f>SUM(K19:N19)</f>
        <v>691</v>
      </c>
      <c r="AD19" s="51">
        <f>SUM(O19:R19)</f>
        <v>636</v>
      </c>
      <c r="AE19" s="51">
        <f>SUM(S19:V19)</f>
        <v>622</v>
      </c>
      <c r="AF19" s="80">
        <f>SUM(W19:Z19)</f>
        <v>628</v>
      </c>
    </row>
    <row r="20" spans="1:32" s="292" customFormat="1" ht="10.15">
      <c r="A20" s="285" t="s">
        <v>337</v>
      </c>
      <c r="B20" s="285"/>
      <c r="C20" s="286">
        <f t="shared" ref="C20:F20" si="0">C19</f>
        <v>235</v>
      </c>
      <c r="D20" s="286">
        <f t="shared" si="0"/>
        <v>235</v>
      </c>
      <c r="E20" s="286">
        <f t="shared" si="0"/>
        <v>248</v>
      </c>
      <c r="F20" s="286">
        <f t="shared" si="0"/>
        <v>-52</v>
      </c>
      <c r="G20" s="286">
        <f t="shared" ref="G20:AF20" si="1">G19</f>
        <v>236</v>
      </c>
      <c r="H20" s="286">
        <f t="shared" si="1"/>
        <v>236</v>
      </c>
      <c r="I20" s="286">
        <f t="shared" si="1"/>
        <v>253</v>
      </c>
      <c r="J20" s="286">
        <f t="shared" si="1"/>
        <v>-29</v>
      </c>
      <c r="K20" s="286">
        <f t="shared" si="1"/>
        <v>237</v>
      </c>
      <c r="L20" s="286">
        <f t="shared" si="1"/>
        <v>235</v>
      </c>
      <c r="M20" s="286">
        <f t="shared" si="1"/>
        <v>250</v>
      </c>
      <c r="N20" s="286">
        <f t="shared" si="1"/>
        <v>-31</v>
      </c>
      <c r="O20" s="286">
        <f t="shared" si="1"/>
        <v>224</v>
      </c>
      <c r="P20" s="286">
        <f t="shared" si="1"/>
        <v>220</v>
      </c>
      <c r="Q20" s="286">
        <f t="shared" si="1"/>
        <v>224</v>
      </c>
      <c r="R20" s="286">
        <f t="shared" si="1"/>
        <v>-32</v>
      </c>
      <c r="S20" s="291">
        <f t="shared" si="1"/>
        <v>206</v>
      </c>
      <c r="T20" s="291">
        <f t="shared" si="1"/>
        <v>207</v>
      </c>
      <c r="U20" s="291">
        <f t="shared" si="1"/>
        <v>225</v>
      </c>
      <c r="V20" s="291">
        <f t="shared" si="1"/>
        <v>-16</v>
      </c>
      <c r="W20" s="291">
        <f t="shared" si="1"/>
        <v>218</v>
      </c>
      <c r="X20" s="291">
        <f t="shared" si="1"/>
        <v>215</v>
      </c>
      <c r="Y20" s="291">
        <f t="shared" si="1"/>
        <v>232</v>
      </c>
      <c r="Z20" s="291">
        <f t="shared" si="1"/>
        <v>-37</v>
      </c>
      <c r="AA20" s="713">
        <f t="shared" si="1"/>
        <v>666</v>
      </c>
      <c r="AB20" s="713">
        <f t="shared" si="1"/>
        <v>696</v>
      </c>
      <c r="AC20" s="713">
        <f t="shared" si="1"/>
        <v>691</v>
      </c>
      <c r="AD20" s="713">
        <f t="shared" si="1"/>
        <v>636</v>
      </c>
      <c r="AE20" s="713">
        <f t="shared" si="1"/>
        <v>622</v>
      </c>
      <c r="AF20" s="714">
        <f t="shared" si="1"/>
        <v>628</v>
      </c>
    </row>
    <row r="21" spans="1:32">
      <c r="A21" s="12"/>
      <c r="B21" s="12"/>
      <c r="C21" s="52"/>
      <c r="D21" s="52"/>
      <c r="E21" s="52"/>
      <c r="F21" s="52"/>
      <c r="G21" s="52"/>
      <c r="H21" s="52"/>
      <c r="I21" s="52"/>
      <c r="J21" s="52"/>
      <c r="K21" s="52"/>
      <c r="L21" s="52"/>
      <c r="M21" s="52"/>
      <c r="N21" s="52"/>
      <c r="O21" s="52"/>
      <c r="P21" s="52"/>
      <c r="Q21" s="52"/>
      <c r="R21" s="52"/>
      <c r="S21" s="52"/>
      <c r="T21" s="52"/>
      <c r="U21" s="52"/>
      <c r="V21" s="52"/>
      <c r="W21" s="52"/>
      <c r="X21" s="52"/>
      <c r="Y21" s="52"/>
      <c r="Z21" s="52"/>
      <c r="AA21" s="51"/>
      <c r="AB21" s="51"/>
      <c r="AC21" s="51"/>
      <c r="AD21" s="51"/>
      <c r="AE21" s="51"/>
      <c r="AF21" s="9"/>
    </row>
    <row r="22" spans="1:32">
      <c r="A22" s="12" t="s">
        <v>338</v>
      </c>
      <c r="B22" s="12"/>
      <c r="C22" s="52" t="s">
        <v>47</v>
      </c>
      <c r="D22" s="52">
        <v>-5</v>
      </c>
      <c r="E22" s="52">
        <v>0</v>
      </c>
      <c r="F22" s="52">
        <v>286</v>
      </c>
      <c r="G22" s="52" t="s">
        <v>47</v>
      </c>
      <c r="H22" s="52">
        <v>1</v>
      </c>
      <c r="I22" s="52">
        <v>0</v>
      </c>
      <c r="J22" s="52">
        <v>288</v>
      </c>
      <c r="K22" s="52" t="s">
        <v>47</v>
      </c>
      <c r="L22" s="52">
        <v>4</v>
      </c>
      <c r="M22" s="52">
        <v>7</v>
      </c>
      <c r="N22" s="52">
        <v>275</v>
      </c>
      <c r="O22" s="52">
        <v>8</v>
      </c>
      <c r="P22" s="52">
        <v>6</v>
      </c>
      <c r="Q22" s="52">
        <v>52</v>
      </c>
      <c r="R22" s="52">
        <v>242</v>
      </c>
      <c r="S22" s="51">
        <v>2</v>
      </c>
      <c r="T22" s="51">
        <v>3</v>
      </c>
      <c r="U22" s="51">
        <v>3</v>
      </c>
      <c r="V22" s="51">
        <v>238</v>
      </c>
      <c r="W22" s="51">
        <v>3</v>
      </c>
      <c r="X22" s="51">
        <v>2</v>
      </c>
      <c r="Y22" s="51">
        <v>3</v>
      </c>
      <c r="Z22" s="51">
        <v>271</v>
      </c>
      <c r="AA22" s="51">
        <f t="shared" ref="AA22:AA31" si="2">SUM(C22:F22)</f>
        <v>281</v>
      </c>
      <c r="AB22" s="51">
        <f t="shared" ref="AB22:AB31" si="3">SUM(G22:J22)</f>
        <v>289</v>
      </c>
      <c r="AC22" s="51">
        <f t="shared" ref="AC22:AC31" si="4">SUM(K22:N22)</f>
        <v>286</v>
      </c>
      <c r="AD22" s="51">
        <f t="shared" ref="AD22:AD31" si="5">SUM(O22:R22)</f>
        <v>308</v>
      </c>
      <c r="AE22" s="51">
        <f t="shared" ref="AE22:AE31" si="6">SUM(S22:V22)</f>
        <v>246</v>
      </c>
      <c r="AF22" s="80">
        <f t="shared" ref="AF22:AF31" si="7">SUM(W22:Z22)</f>
        <v>279</v>
      </c>
    </row>
    <row r="23" spans="1:32">
      <c r="A23" s="12" t="s">
        <v>339</v>
      </c>
      <c r="B23" s="12"/>
      <c r="C23" s="52">
        <v>-24</v>
      </c>
      <c r="D23" s="52">
        <v>-46</v>
      </c>
      <c r="E23" s="52">
        <v>-41</v>
      </c>
      <c r="F23" s="52">
        <v>-278</v>
      </c>
      <c r="G23" s="52">
        <v>-43</v>
      </c>
      <c r="H23" s="52">
        <v>-6</v>
      </c>
      <c r="I23" s="52">
        <v>-18</v>
      </c>
      <c r="J23" s="52">
        <v>-95</v>
      </c>
      <c r="K23" s="52">
        <v>-16</v>
      </c>
      <c r="L23" s="52">
        <v>0</v>
      </c>
      <c r="M23" s="52">
        <v>-4</v>
      </c>
      <c r="N23" s="52">
        <v>-40</v>
      </c>
      <c r="O23" s="52">
        <v>-6</v>
      </c>
      <c r="P23" s="52">
        <v>-6</v>
      </c>
      <c r="Q23" s="52">
        <v>-49</v>
      </c>
      <c r="R23" s="52">
        <v>-30</v>
      </c>
      <c r="S23" s="51">
        <v>-42</v>
      </c>
      <c r="T23" s="51">
        <v>0</v>
      </c>
      <c r="U23" s="51">
        <v>-32</v>
      </c>
      <c r="V23" s="51">
        <v>-15</v>
      </c>
      <c r="W23" s="51">
        <v>-11</v>
      </c>
      <c r="X23" s="51">
        <v>-4</v>
      </c>
      <c r="Y23" s="51">
        <v>-5</v>
      </c>
      <c r="Z23" s="51">
        <v>-41</v>
      </c>
      <c r="AA23" s="51">
        <f t="shared" si="2"/>
        <v>-389</v>
      </c>
      <c r="AB23" s="51">
        <f t="shared" si="3"/>
        <v>-162</v>
      </c>
      <c r="AC23" s="51">
        <f t="shared" si="4"/>
        <v>-60</v>
      </c>
      <c r="AD23" s="51">
        <f t="shared" si="5"/>
        <v>-91</v>
      </c>
      <c r="AE23" s="51">
        <f t="shared" si="6"/>
        <v>-89</v>
      </c>
      <c r="AF23" s="80">
        <f t="shared" si="7"/>
        <v>-61</v>
      </c>
    </row>
    <row r="24" spans="1:32">
      <c r="A24" s="12" t="s">
        <v>340</v>
      </c>
      <c r="B24" s="12"/>
      <c r="C24" s="52">
        <v>19</v>
      </c>
      <c r="D24" s="52">
        <v>17</v>
      </c>
      <c r="E24" s="52">
        <v>3</v>
      </c>
      <c r="F24" s="52">
        <v>105</v>
      </c>
      <c r="G24" s="52" t="s">
        <v>47</v>
      </c>
      <c r="H24" s="52">
        <v>1</v>
      </c>
      <c r="I24" s="52">
        <v>5</v>
      </c>
      <c r="J24" s="52">
        <v>348</v>
      </c>
      <c r="K24" s="52">
        <v>3175</v>
      </c>
      <c r="L24" s="52">
        <v>183</v>
      </c>
      <c r="M24" s="52">
        <v>8</v>
      </c>
      <c r="N24" s="52">
        <v>138</v>
      </c>
      <c r="O24" s="52">
        <v>19</v>
      </c>
      <c r="P24" s="52">
        <v>2</v>
      </c>
      <c r="Q24" s="52">
        <v>0</v>
      </c>
      <c r="R24" s="52">
        <v>-12</v>
      </c>
      <c r="S24" s="52">
        <v>8</v>
      </c>
      <c r="T24" s="52">
        <v>2</v>
      </c>
      <c r="U24" s="52">
        <v>15</v>
      </c>
      <c r="V24" s="52">
        <v>-5</v>
      </c>
      <c r="W24" s="52">
        <v>2</v>
      </c>
      <c r="X24" s="52">
        <v>4</v>
      </c>
      <c r="Y24" s="52">
        <v>15</v>
      </c>
      <c r="Z24" s="52">
        <v>991</v>
      </c>
      <c r="AA24" s="51">
        <f t="shared" si="2"/>
        <v>144</v>
      </c>
      <c r="AB24" s="51">
        <f t="shared" si="3"/>
        <v>354</v>
      </c>
      <c r="AC24" s="51">
        <f t="shared" si="4"/>
        <v>3504</v>
      </c>
      <c r="AD24" s="51">
        <f t="shared" si="5"/>
        <v>9</v>
      </c>
      <c r="AE24" s="51">
        <f t="shared" si="6"/>
        <v>20</v>
      </c>
      <c r="AF24" s="80">
        <f t="shared" si="7"/>
        <v>1012</v>
      </c>
    </row>
    <row r="25" spans="1:32">
      <c r="A25" s="12" t="s">
        <v>341</v>
      </c>
      <c r="B25" s="12"/>
      <c r="C25" s="52">
        <v>17</v>
      </c>
      <c r="D25" s="52">
        <v>14</v>
      </c>
      <c r="E25" s="52">
        <v>17</v>
      </c>
      <c r="F25" s="52">
        <v>15</v>
      </c>
      <c r="G25" s="52">
        <v>14</v>
      </c>
      <c r="H25" s="52">
        <v>14</v>
      </c>
      <c r="I25" s="52">
        <v>12</v>
      </c>
      <c r="J25" s="52">
        <v>-2</v>
      </c>
      <c r="K25" s="52">
        <v>6</v>
      </c>
      <c r="L25" s="52">
        <v>7</v>
      </c>
      <c r="M25" s="52">
        <v>8</v>
      </c>
      <c r="N25" s="52">
        <v>10</v>
      </c>
      <c r="O25" s="52">
        <v>11</v>
      </c>
      <c r="P25" s="52">
        <v>11</v>
      </c>
      <c r="Q25" s="52">
        <v>10</v>
      </c>
      <c r="R25" s="52">
        <v>23</v>
      </c>
      <c r="S25" s="51">
        <v>13</v>
      </c>
      <c r="T25" s="51">
        <v>17</v>
      </c>
      <c r="U25" s="51">
        <v>14</v>
      </c>
      <c r="V25" s="51">
        <v>10</v>
      </c>
      <c r="W25" s="51">
        <v>14</v>
      </c>
      <c r="X25" s="51">
        <v>16</v>
      </c>
      <c r="Y25" s="51">
        <v>15</v>
      </c>
      <c r="Z25" s="51">
        <v>2</v>
      </c>
      <c r="AA25" s="51">
        <f t="shared" si="2"/>
        <v>63</v>
      </c>
      <c r="AB25" s="51">
        <f t="shared" si="3"/>
        <v>38</v>
      </c>
      <c r="AC25" s="51">
        <f t="shared" si="4"/>
        <v>31</v>
      </c>
      <c r="AD25" s="51">
        <f t="shared" si="5"/>
        <v>55</v>
      </c>
      <c r="AE25" s="51">
        <f t="shared" si="6"/>
        <v>54</v>
      </c>
      <c r="AF25" s="80">
        <f t="shared" si="7"/>
        <v>47</v>
      </c>
    </row>
    <row r="26" spans="1:32">
      <c r="A26" s="12" t="s">
        <v>342</v>
      </c>
      <c r="B26" s="12"/>
      <c r="C26" s="52">
        <v>20</v>
      </c>
      <c r="D26" s="52">
        <v>74</v>
      </c>
      <c r="E26" s="52">
        <v>56</v>
      </c>
      <c r="F26" s="52">
        <v>62</v>
      </c>
      <c r="G26" s="52">
        <v>16</v>
      </c>
      <c r="H26" s="52">
        <v>18</v>
      </c>
      <c r="I26" s="52">
        <v>36</v>
      </c>
      <c r="J26" s="52">
        <v>13</v>
      </c>
      <c r="K26" s="52">
        <v>-204</v>
      </c>
      <c r="L26" s="52">
        <v>68</v>
      </c>
      <c r="M26" s="52">
        <v>46</v>
      </c>
      <c r="N26" s="52">
        <v>-31</v>
      </c>
      <c r="O26" s="52">
        <v>-33</v>
      </c>
      <c r="P26" s="52">
        <v>97</v>
      </c>
      <c r="Q26" s="52">
        <v>72</v>
      </c>
      <c r="R26" s="52">
        <v>34</v>
      </c>
      <c r="S26" s="51">
        <v>-12</v>
      </c>
      <c r="T26" s="51">
        <v>-16</v>
      </c>
      <c r="U26" s="51">
        <v>5</v>
      </c>
      <c r="V26" s="51">
        <v>62</v>
      </c>
      <c r="W26" s="51">
        <v>-30</v>
      </c>
      <c r="X26" s="51">
        <v>109</v>
      </c>
      <c r="Y26" s="51">
        <v>11</v>
      </c>
      <c r="Z26" s="51">
        <v>-181</v>
      </c>
      <c r="AA26" s="51">
        <f t="shared" si="2"/>
        <v>212</v>
      </c>
      <c r="AB26" s="51">
        <f t="shared" si="3"/>
        <v>83</v>
      </c>
      <c r="AC26" s="51">
        <f t="shared" si="4"/>
        <v>-121</v>
      </c>
      <c r="AD26" s="51">
        <f t="shared" si="5"/>
        <v>170</v>
      </c>
      <c r="AE26" s="51">
        <f t="shared" si="6"/>
        <v>39</v>
      </c>
      <c r="AF26" s="80">
        <f t="shared" si="7"/>
        <v>-91</v>
      </c>
    </row>
    <row r="27" spans="1:32">
      <c r="A27" s="12" t="s">
        <v>343</v>
      </c>
      <c r="B27" s="12"/>
      <c r="C27" s="52">
        <v>105</v>
      </c>
      <c r="D27" s="52">
        <v>-17</v>
      </c>
      <c r="E27" s="52">
        <v>75</v>
      </c>
      <c r="F27" s="52">
        <v>-224</v>
      </c>
      <c r="G27" s="52">
        <v>163</v>
      </c>
      <c r="H27" s="52">
        <v>-3</v>
      </c>
      <c r="I27" s="52">
        <v>64</v>
      </c>
      <c r="J27" s="52">
        <v>-233</v>
      </c>
      <c r="K27" s="52">
        <v>236</v>
      </c>
      <c r="L27" s="52">
        <v>-14</v>
      </c>
      <c r="M27" s="52">
        <v>1</v>
      </c>
      <c r="N27" s="52">
        <v>-91</v>
      </c>
      <c r="O27" s="52">
        <v>71</v>
      </c>
      <c r="P27" s="52">
        <v>-16</v>
      </c>
      <c r="Q27" s="52">
        <v>9</v>
      </c>
      <c r="R27" s="52">
        <v>-85</v>
      </c>
      <c r="S27" s="51">
        <v>65</v>
      </c>
      <c r="T27" s="51">
        <v>13</v>
      </c>
      <c r="U27" s="51">
        <v>15</v>
      </c>
      <c r="V27" s="51">
        <v>-96</v>
      </c>
      <c r="W27" s="51">
        <v>45</v>
      </c>
      <c r="X27" s="51">
        <v>32</v>
      </c>
      <c r="Y27" s="51">
        <v>5</v>
      </c>
      <c r="Z27" s="51">
        <v>-75</v>
      </c>
      <c r="AA27" s="51">
        <f t="shared" si="2"/>
        <v>-61</v>
      </c>
      <c r="AB27" s="51">
        <f t="shared" si="3"/>
        <v>-9</v>
      </c>
      <c r="AC27" s="51">
        <f t="shared" si="4"/>
        <v>132</v>
      </c>
      <c r="AD27" s="51">
        <f t="shared" si="5"/>
        <v>-21</v>
      </c>
      <c r="AE27" s="51">
        <f t="shared" si="6"/>
        <v>-3</v>
      </c>
      <c r="AF27" s="80">
        <f t="shared" si="7"/>
        <v>7</v>
      </c>
    </row>
    <row r="28" spans="1:32">
      <c r="A28" s="12" t="s">
        <v>344</v>
      </c>
      <c r="B28" s="12"/>
      <c r="C28" s="52">
        <v>-115</v>
      </c>
      <c r="D28" s="52">
        <v>336</v>
      </c>
      <c r="E28" s="52">
        <v>-2190</v>
      </c>
      <c r="F28" s="52">
        <v>1882</v>
      </c>
      <c r="G28" s="52">
        <v>-235</v>
      </c>
      <c r="H28" s="52">
        <v>469</v>
      </c>
      <c r="I28" s="52">
        <v>-2227</v>
      </c>
      <c r="J28" s="52">
        <v>2068</v>
      </c>
      <c r="K28" s="52">
        <v>265</v>
      </c>
      <c r="L28" s="52">
        <v>1333</v>
      </c>
      <c r="M28" s="52">
        <v>-1564</v>
      </c>
      <c r="N28" s="52">
        <v>1372</v>
      </c>
      <c r="O28" s="52">
        <v>-457</v>
      </c>
      <c r="P28" s="52">
        <v>-68</v>
      </c>
      <c r="Q28" s="52">
        <v>-1842</v>
      </c>
      <c r="R28" s="52">
        <v>1757</v>
      </c>
      <c r="S28" s="51">
        <v>-573</v>
      </c>
      <c r="T28" s="51">
        <v>346</v>
      </c>
      <c r="U28" s="51">
        <v>-1792</v>
      </c>
      <c r="V28" s="51">
        <v>2135</v>
      </c>
      <c r="W28" s="51">
        <v>-340</v>
      </c>
      <c r="X28" s="51">
        <v>478</v>
      </c>
      <c r="Y28" s="51">
        <v>-1895</v>
      </c>
      <c r="Z28" s="51">
        <v>1658</v>
      </c>
      <c r="AA28" s="51">
        <f t="shared" si="2"/>
        <v>-87</v>
      </c>
      <c r="AB28" s="51">
        <f t="shared" si="3"/>
        <v>75</v>
      </c>
      <c r="AC28" s="51">
        <f t="shared" si="4"/>
        <v>1406</v>
      </c>
      <c r="AD28" s="51">
        <f t="shared" si="5"/>
        <v>-610</v>
      </c>
      <c r="AE28" s="51">
        <f t="shared" si="6"/>
        <v>116</v>
      </c>
      <c r="AF28" s="80">
        <f t="shared" si="7"/>
        <v>-99</v>
      </c>
    </row>
    <row r="29" spans="1:32">
      <c r="A29" s="12" t="s">
        <v>345</v>
      </c>
      <c r="B29" s="12"/>
      <c r="C29" s="52">
        <v>415</v>
      </c>
      <c r="D29" s="52">
        <v>-196</v>
      </c>
      <c r="E29" s="52">
        <v>1445</v>
      </c>
      <c r="F29" s="52">
        <v>-1609</v>
      </c>
      <c r="G29" s="52">
        <v>247</v>
      </c>
      <c r="H29" s="52">
        <v>-192</v>
      </c>
      <c r="I29" s="52">
        <v>1593</v>
      </c>
      <c r="J29" s="52">
        <v>-1608</v>
      </c>
      <c r="K29" s="52">
        <v>629</v>
      </c>
      <c r="L29" s="52">
        <v>-817</v>
      </c>
      <c r="M29" s="52">
        <v>1800</v>
      </c>
      <c r="N29" s="52">
        <v>-2134</v>
      </c>
      <c r="O29" s="52">
        <v>674</v>
      </c>
      <c r="P29" s="52">
        <v>-27</v>
      </c>
      <c r="Q29" s="52">
        <v>1111</v>
      </c>
      <c r="R29" s="52">
        <v>-1295</v>
      </c>
      <c r="S29" s="52">
        <v>639</v>
      </c>
      <c r="T29" s="52">
        <v>-994</v>
      </c>
      <c r="U29" s="52">
        <v>1691</v>
      </c>
      <c r="V29" s="52">
        <v>-1639</v>
      </c>
      <c r="W29" s="52">
        <v>-41</v>
      </c>
      <c r="X29" s="52">
        <v>-430</v>
      </c>
      <c r="Y29" s="52">
        <v>1503</v>
      </c>
      <c r="Z29" s="52">
        <v>-1411</v>
      </c>
      <c r="AA29" s="51">
        <f t="shared" si="2"/>
        <v>55</v>
      </c>
      <c r="AB29" s="51">
        <f t="shared" si="3"/>
        <v>40</v>
      </c>
      <c r="AC29" s="51">
        <f t="shared" si="4"/>
        <v>-522</v>
      </c>
      <c r="AD29" s="51">
        <f t="shared" si="5"/>
        <v>463</v>
      </c>
      <c r="AE29" s="51">
        <f t="shared" si="6"/>
        <v>-303</v>
      </c>
      <c r="AF29" s="80">
        <f t="shared" si="7"/>
        <v>-379</v>
      </c>
    </row>
    <row r="30" spans="1:32">
      <c r="A30" s="12" t="s">
        <v>346</v>
      </c>
      <c r="B30" s="12"/>
      <c r="C30" s="52">
        <v>25</v>
      </c>
      <c r="D30" s="52">
        <v>-296</v>
      </c>
      <c r="E30" s="52">
        <v>-30</v>
      </c>
      <c r="F30" s="52">
        <v>165</v>
      </c>
      <c r="G30" s="52">
        <v>8</v>
      </c>
      <c r="H30" s="52">
        <v>-157</v>
      </c>
      <c r="I30" s="52">
        <v>-19</v>
      </c>
      <c r="J30" s="52">
        <v>108</v>
      </c>
      <c r="K30" s="52">
        <v>-353</v>
      </c>
      <c r="L30" s="52">
        <v>-342</v>
      </c>
      <c r="M30" s="52">
        <v>-123</v>
      </c>
      <c r="N30" s="52">
        <v>201</v>
      </c>
      <c r="O30" s="52">
        <v>75</v>
      </c>
      <c r="P30" s="52">
        <v>-63</v>
      </c>
      <c r="Q30" s="52">
        <v>-62</v>
      </c>
      <c r="R30" s="52">
        <v>638</v>
      </c>
      <c r="S30" s="51">
        <v>122</v>
      </c>
      <c r="T30" s="51">
        <v>-194</v>
      </c>
      <c r="U30" s="51">
        <v>-1</v>
      </c>
      <c r="V30" s="51">
        <v>-2</v>
      </c>
      <c r="W30" s="51">
        <v>82</v>
      </c>
      <c r="X30" s="51">
        <v>-203</v>
      </c>
      <c r="Y30" s="51">
        <v>-3</v>
      </c>
      <c r="Z30" s="51">
        <v>127</v>
      </c>
      <c r="AA30" s="51">
        <f t="shared" si="2"/>
        <v>-136</v>
      </c>
      <c r="AB30" s="51">
        <f t="shared" si="3"/>
        <v>-60</v>
      </c>
      <c r="AC30" s="51">
        <f t="shared" si="4"/>
        <v>-617</v>
      </c>
      <c r="AD30" s="51">
        <f t="shared" si="5"/>
        <v>588</v>
      </c>
      <c r="AE30" s="51">
        <f t="shared" si="6"/>
        <v>-75</v>
      </c>
      <c r="AF30" s="80">
        <f t="shared" si="7"/>
        <v>3</v>
      </c>
    </row>
    <row r="31" spans="1:32">
      <c r="A31" s="12" t="s">
        <v>347</v>
      </c>
      <c r="B31" s="12"/>
      <c r="C31" s="52">
        <v>-514</v>
      </c>
      <c r="D31" s="52">
        <v>-61</v>
      </c>
      <c r="E31" s="52">
        <v>240</v>
      </c>
      <c r="F31" s="52">
        <v>214</v>
      </c>
      <c r="G31" s="52">
        <v>-580</v>
      </c>
      <c r="H31" s="52">
        <v>-80</v>
      </c>
      <c r="I31" s="52">
        <v>122</v>
      </c>
      <c r="J31" s="52">
        <v>238</v>
      </c>
      <c r="K31" s="52">
        <v>-558</v>
      </c>
      <c r="L31" s="52">
        <v>-69</v>
      </c>
      <c r="M31" s="52">
        <v>-86</v>
      </c>
      <c r="N31" s="52">
        <v>576</v>
      </c>
      <c r="O31" s="52">
        <v>-195</v>
      </c>
      <c r="P31" s="52">
        <v>-30</v>
      </c>
      <c r="Q31" s="52">
        <v>112</v>
      </c>
      <c r="R31" s="52">
        <v>-112</v>
      </c>
      <c r="S31" s="52">
        <v>-466</v>
      </c>
      <c r="T31" s="52">
        <v>396</v>
      </c>
      <c r="U31" s="52">
        <v>-65</v>
      </c>
      <c r="V31" s="52">
        <v>-54</v>
      </c>
      <c r="W31" s="52">
        <v>8</v>
      </c>
      <c r="X31" s="52">
        <v>-31</v>
      </c>
      <c r="Y31" s="52">
        <v>-34</v>
      </c>
      <c r="Z31" s="52">
        <v>-29</v>
      </c>
      <c r="AA31" s="51">
        <f t="shared" si="2"/>
        <v>-121</v>
      </c>
      <c r="AB31" s="51">
        <f t="shared" si="3"/>
        <v>-300</v>
      </c>
      <c r="AC31" s="51">
        <f t="shared" si="4"/>
        <v>-137</v>
      </c>
      <c r="AD31" s="51">
        <f t="shared" si="5"/>
        <v>-225</v>
      </c>
      <c r="AE31" s="51">
        <f t="shared" si="6"/>
        <v>-189</v>
      </c>
      <c r="AF31" s="80">
        <f t="shared" si="7"/>
        <v>-86</v>
      </c>
    </row>
    <row r="32" spans="1:32" s="280" customFormat="1" ht="10.15">
      <c r="A32" s="715" t="s">
        <v>348</v>
      </c>
      <c r="B32" s="715"/>
      <c r="C32" s="716">
        <f t="shared" ref="C32:F32" si="8">SUM(C22:C31)+C20+C18</f>
        <v>322</v>
      </c>
      <c r="D32" s="716">
        <f t="shared" si="8"/>
        <v>222</v>
      </c>
      <c r="E32" s="716">
        <f t="shared" si="8"/>
        <v>-115</v>
      </c>
      <c r="F32" s="716">
        <f t="shared" si="8"/>
        <v>1306</v>
      </c>
      <c r="G32" s="716">
        <f t="shared" ref="G32:AF32" si="9">SUM(G22:G31)+G20+G18</f>
        <v>-38</v>
      </c>
      <c r="H32" s="716">
        <f t="shared" si="9"/>
        <v>388</v>
      </c>
      <c r="I32" s="716">
        <f t="shared" si="9"/>
        <v>-178</v>
      </c>
      <c r="J32" s="716">
        <f t="shared" si="9"/>
        <v>1436</v>
      </c>
      <c r="K32" s="716">
        <f t="shared" si="9"/>
        <v>-164</v>
      </c>
      <c r="L32" s="716">
        <f t="shared" si="9"/>
        <v>157</v>
      </c>
      <c r="M32" s="716">
        <f t="shared" si="9"/>
        <v>251</v>
      </c>
      <c r="N32" s="716">
        <f t="shared" si="9"/>
        <v>405</v>
      </c>
      <c r="O32" s="716">
        <f t="shared" si="9"/>
        <v>494</v>
      </c>
      <c r="P32" s="716">
        <f t="shared" si="9"/>
        <v>471</v>
      </c>
      <c r="Q32" s="716">
        <f t="shared" si="9"/>
        <v>-124</v>
      </c>
      <c r="R32" s="716">
        <f t="shared" si="9"/>
        <v>1871</v>
      </c>
      <c r="S32" s="716">
        <f t="shared" si="9"/>
        <v>248</v>
      </c>
      <c r="T32" s="716">
        <f t="shared" si="9"/>
        <v>55</v>
      </c>
      <c r="U32" s="716">
        <f t="shared" si="9"/>
        <v>185</v>
      </c>
      <c r="V32" s="716">
        <f t="shared" si="9"/>
        <v>1127</v>
      </c>
      <c r="W32" s="716">
        <f t="shared" si="9"/>
        <v>105</v>
      </c>
      <c r="X32" s="716">
        <f t="shared" si="9"/>
        <v>166</v>
      </c>
      <c r="Y32" s="716">
        <f t="shared" si="9"/>
        <v>-113</v>
      </c>
      <c r="Z32" s="716">
        <f t="shared" si="9"/>
        <v>1147</v>
      </c>
      <c r="AA32" s="716">
        <f t="shared" si="9"/>
        <v>1735</v>
      </c>
      <c r="AB32" s="716">
        <f t="shared" si="9"/>
        <v>1608</v>
      </c>
      <c r="AC32" s="716">
        <f t="shared" si="9"/>
        <v>649</v>
      </c>
      <c r="AD32" s="716">
        <f t="shared" si="9"/>
        <v>2712</v>
      </c>
      <c r="AE32" s="716">
        <f t="shared" si="9"/>
        <v>1615</v>
      </c>
      <c r="AF32" s="716">
        <f t="shared" si="9"/>
        <v>1305</v>
      </c>
    </row>
    <row r="33" spans="1:38">
      <c r="A33" s="12"/>
      <c r="B33" s="12"/>
      <c r="C33" s="52"/>
      <c r="D33" s="52"/>
      <c r="E33" s="52"/>
      <c r="F33" s="52"/>
      <c r="G33" s="52"/>
      <c r="H33" s="52"/>
      <c r="I33" s="52"/>
      <c r="J33" s="52"/>
      <c r="K33" s="52"/>
      <c r="L33" s="52"/>
      <c r="M33" s="52"/>
      <c r="N33" s="52"/>
      <c r="O33" s="52"/>
      <c r="P33" s="52"/>
      <c r="Q33" s="52"/>
      <c r="R33" s="52"/>
      <c r="S33" s="52"/>
      <c r="T33" s="52"/>
      <c r="U33" s="52"/>
      <c r="V33" s="52"/>
      <c r="W33" s="52"/>
      <c r="X33" s="52"/>
      <c r="Y33" s="52"/>
      <c r="Z33" s="52"/>
      <c r="AA33" s="51"/>
      <c r="AB33" s="52"/>
      <c r="AC33" s="52"/>
      <c r="AD33" s="52"/>
      <c r="AE33" s="52"/>
      <c r="AF33" s="9"/>
    </row>
    <row r="34" spans="1:38" s="185" customFormat="1">
      <c r="A34" s="281" t="s">
        <v>349</v>
      </c>
      <c r="B34" s="281"/>
      <c r="C34" s="282">
        <v>-132</v>
      </c>
      <c r="D34" s="282">
        <v>-143</v>
      </c>
      <c r="E34" s="282">
        <v>-193</v>
      </c>
      <c r="F34" s="282">
        <v>-189</v>
      </c>
      <c r="G34" s="282">
        <v>-204</v>
      </c>
      <c r="H34" s="282">
        <v>-174</v>
      </c>
      <c r="I34" s="282">
        <v>-245</v>
      </c>
      <c r="J34" s="282">
        <v>-279</v>
      </c>
      <c r="K34" s="282">
        <v>-122</v>
      </c>
      <c r="L34" s="282">
        <v>-106</v>
      </c>
      <c r="M34" s="282">
        <v>-62</v>
      </c>
      <c r="N34" s="282">
        <v>-48</v>
      </c>
      <c r="O34" s="282">
        <v>-61</v>
      </c>
      <c r="P34" s="282">
        <v>-81</v>
      </c>
      <c r="Q34" s="282">
        <v>-88</v>
      </c>
      <c r="R34" s="282">
        <v>-124</v>
      </c>
      <c r="S34" s="283">
        <v>-171</v>
      </c>
      <c r="T34" s="283">
        <v>-207</v>
      </c>
      <c r="U34" s="283">
        <v>-277</v>
      </c>
      <c r="V34" s="283">
        <v>-233</v>
      </c>
      <c r="W34" s="283">
        <v>-215</v>
      </c>
      <c r="X34" s="283">
        <v>-175</v>
      </c>
      <c r="Y34" s="283">
        <v>-95</v>
      </c>
      <c r="Z34" s="283">
        <v>-146</v>
      </c>
      <c r="AA34" s="282">
        <f t="shared" ref="AA34:AA41" si="10">SUM(C34:F34)</f>
        <v>-657</v>
      </c>
      <c r="AB34" s="282">
        <f t="shared" ref="AB34:AB41" si="11">SUM(G34:J34)</f>
        <v>-902</v>
      </c>
      <c r="AC34" s="282">
        <f t="shared" ref="AC34:AC41" si="12">SUM(K34:N34)</f>
        <v>-338</v>
      </c>
      <c r="AD34" s="282">
        <f t="shared" ref="AD34:AD41" si="13">SUM(O34:R34)</f>
        <v>-354</v>
      </c>
      <c r="AE34" s="282">
        <f t="shared" ref="AE34:AE41" si="14">SUM(S34:V34)</f>
        <v>-888</v>
      </c>
      <c r="AF34" s="284">
        <f t="shared" ref="AF34:AF41" si="15">SUM(W34:Z34)</f>
        <v>-631</v>
      </c>
      <c r="AG34" s="279"/>
      <c r="AH34" s="279"/>
      <c r="AI34" s="279"/>
      <c r="AJ34" s="279"/>
      <c r="AK34" s="279"/>
      <c r="AL34" s="279"/>
    </row>
    <row r="35" spans="1:38" s="84" customFormat="1" ht="10.15">
      <c r="A35" s="12" t="s">
        <v>350</v>
      </c>
      <c r="B35" s="12"/>
      <c r="C35" s="52">
        <v>23</v>
      </c>
      <c r="D35" s="52">
        <v>65</v>
      </c>
      <c r="E35" s="52">
        <v>33</v>
      </c>
      <c r="F35" s="52">
        <v>353</v>
      </c>
      <c r="G35" s="52">
        <v>34</v>
      </c>
      <c r="H35" s="52">
        <v>25</v>
      </c>
      <c r="I35" s="52">
        <v>14</v>
      </c>
      <c r="J35" s="52">
        <v>112</v>
      </c>
      <c r="K35" s="52">
        <v>21</v>
      </c>
      <c r="L35" s="52">
        <v>10</v>
      </c>
      <c r="M35" s="52">
        <v>8</v>
      </c>
      <c r="N35" s="52">
        <v>74</v>
      </c>
      <c r="O35" s="52">
        <v>8</v>
      </c>
      <c r="P35" s="52">
        <v>26</v>
      </c>
      <c r="Q35" s="52">
        <v>84</v>
      </c>
      <c r="R35" s="52">
        <v>46</v>
      </c>
      <c r="S35" s="51">
        <v>73</v>
      </c>
      <c r="T35" s="51">
        <v>0</v>
      </c>
      <c r="U35" s="51">
        <v>49</v>
      </c>
      <c r="V35" s="51">
        <v>15</v>
      </c>
      <c r="W35" s="51">
        <v>25</v>
      </c>
      <c r="X35" s="51">
        <v>7</v>
      </c>
      <c r="Y35" s="51">
        <v>4</v>
      </c>
      <c r="Z35" s="51">
        <v>50</v>
      </c>
      <c r="AA35" s="52">
        <f t="shared" si="10"/>
        <v>474</v>
      </c>
      <c r="AB35" s="52">
        <f t="shared" si="11"/>
        <v>185</v>
      </c>
      <c r="AC35" s="52">
        <f t="shared" si="12"/>
        <v>113</v>
      </c>
      <c r="AD35" s="52">
        <f t="shared" si="13"/>
        <v>164</v>
      </c>
      <c r="AE35" s="52">
        <f t="shared" si="14"/>
        <v>137</v>
      </c>
      <c r="AF35" s="80">
        <f t="shared" si="15"/>
        <v>86</v>
      </c>
    </row>
    <row r="36" spans="1:38" s="84" customFormat="1" ht="10.15">
      <c r="A36" s="12" t="s">
        <v>351</v>
      </c>
      <c r="B36" s="12"/>
      <c r="C36" s="52" t="s">
        <v>47</v>
      </c>
      <c r="D36" s="52" t="s">
        <v>47</v>
      </c>
      <c r="E36" s="52" t="s">
        <v>47</v>
      </c>
      <c r="F36" s="52" t="s">
        <v>47</v>
      </c>
      <c r="G36" s="51" t="s">
        <v>47</v>
      </c>
      <c r="H36" s="51" t="s">
        <v>47</v>
      </c>
      <c r="I36" s="51" t="s">
        <v>47</v>
      </c>
      <c r="J36" s="51" t="s">
        <v>47</v>
      </c>
      <c r="K36" s="52" t="s">
        <v>47</v>
      </c>
      <c r="L36" s="52" t="s">
        <v>47</v>
      </c>
      <c r="M36" s="52" t="s">
        <v>47</v>
      </c>
      <c r="N36" s="52" t="s">
        <v>47</v>
      </c>
      <c r="O36" s="52" t="s">
        <v>47</v>
      </c>
      <c r="P36" s="52" t="s">
        <v>47</v>
      </c>
      <c r="Q36" s="52" t="s">
        <v>47</v>
      </c>
      <c r="R36" s="52" t="s">
        <v>47</v>
      </c>
      <c r="S36" s="51" t="s">
        <v>47</v>
      </c>
      <c r="T36" s="51" t="s">
        <v>47</v>
      </c>
      <c r="U36" s="51" t="s">
        <v>47</v>
      </c>
      <c r="V36" s="51" t="s">
        <v>47</v>
      </c>
      <c r="W36" s="51" t="s">
        <v>47</v>
      </c>
      <c r="X36" s="51" t="s">
        <v>47</v>
      </c>
      <c r="Y36" s="51" t="s">
        <v>47</v>
      </c>
      <c r="Z36" s="51" t="s">
        <v>47</v>
      </c>
      <c r="AA36" s="52">
        <f t="shared" si="10"/>
        <v>0</v>
      </c>
      <c r="AB36" s="52">
        <f t="shared" si="11"/>
        <v>0</v>
      </c>
      <c r="AC36" s="52">
        <f t="shared" si="12"/>
        <v>0</v>
      </c>
      <c r="AD36" s="52">
        <f t="shared" si="13"/>
        <v>0</v>
      </c>
      <c r="AE36" s="52">
        <f t="shared" si="14"/>
        <v>0</v>
      </c>
      <c r="AF36" s="80">
        <f t="shared" si="15"/>
        <v>0</v>
      </c>
    </row>
    <row r="37" spans="1:38">
      <c r="A37" s="12" t="s">
        <v>352</v>
      </c>
      <c r="B37" s="12"/>
      <c r="C37" s="52" t="s">
        <v>47</v>
      </c>
      <c r="D37" s="52" t="s">
        <v>47</v>
      </c>
      <c r="E37" s="52" t="s">
        <v>47</v>
      </c>
      <c r="F37" s="52" t="s">
        <v>47</v>
      </c>
      <c r="G37" s="52" t="s">
        <v>47</v>
      </c>
      <c r="H37" s="52" t="s">
        <v>47</v>
      </c>
      <c r="I37" s="52" t="s">
        <v>47</v>
      </c>
      <c r="J37" s="52" t="s">
        <v>47</v>
      </c>
      <c r="K37" s="52" t="s">
        <v>47</v>
      </c>
      <c r="L37" s="52" t="s">
        <v>47</v>
      </c>
      <c r="M37" s="52" t="s">
        <v>47</v>
      </c>
      <c r="N37" s="52" t="s">
        <v>47</v>
      </c>
      <c r="O37" s="52" t="s">
        <v>47</v>
      </c>
      <c r="P37" s="52" t="s">
        <v>47</v>
      </c>
      <c r="Q37" s="52" t="s">
        <v>47</v>
      </c>
      <c r="R37" s="52" t="s">
        <v>47</v>
      </c>
      <c r="S37" s="52" t="s">
        <v>47</v>
      </c>
      <c r="T37" s="52" t="s">
        <v>47</v>
      </c>
      <c r="U37" s="52" t="s">
        <v>47</v>
      </c>
      <c r="V37" s="52" t="s">
        <v>47</v>
      </c>
      <c r="W37" s="52" t="s">
        <v>47</v>
      </c>
      <c r="X37" s="52" t="s">
        <v>47</v>
      </c>
      <c r="Y37" s="52" t="s">
        <v>47</v>
      </c>
      <c r="Z37" s="52" t="s">
        <v>47</v>
      </c>
      <c r="AA37" s="52">
        <f t="shared" si="10"/>
        <v>0</v>
      </c>
      <c r="AB37" s="52">
        <f t="shared" si="11"/>
        <v>0</v>
      </c>
      <c r="AC37" s="52">
        <f t="shared" si="12"/>
        <v>0</v>
      </c>
      <c r="AD37" s="52">
        <f t="shared" si="13"/>
        <v>0</v>
      </c>
      <c r="AE37" s="52">
        <f t="shared" si="14"/>
        <v>0</v>
      </c>
      <c r="AF37" s="80">
        <f t="shared" si="15"/>
        <v>0</v>
      </c>
    </row>
    <row r="38" spans="1:38">
      <c r="A38" s="12" t="s">
        <v>353</v>
      </c>
      <c r="B38" s="12"/>
      <c r="C38" s="52">
        <v>-58</v>
      </c>
      <c r="D38" s="52">
        <v>-75</v>
      </c>
      <c r="E38" s="52">
        <v>-76</v>
      </c>
      <c r="F38" s="52">
        <v>-66</v>
      </c>
      <c r="G38" s="52">
        <v>-60</v>
      </c>
      <c r="H38" s="52">
        <v>-63</v>
      </c>
      <c r="I38" s="52">
        <v>-66</v>
      </c>
      <c r="J38" s="52">
        <v>-66</v>
      </c>
      <c r="K38" s="52">
        <v>-38</v>
      </c>
      <c r="L38" s="52">
        <v>-23</v>
      </c>
      <c r="M38" s="52">
        <v>-35</v>
      </c>
      <c r="N38" s="52">
        <v>-32</v>
      </c>
      <c r="O38" s="52">
        <v>-38</v>
      </c>
      <c r="P38" s="52">
        <v>-50</v>
      </c>
      <c r="Q38" s="52">
        <v>-67</v>
      </c>
      <c r="R38" s="52">
        <v>-88</v>
      </c>
      <c r="S38" s="52">
        <v>-90</v>
      </c>
      <c r="T38" s="52">
        <v>-114</v>
      </c>
      <c r="U38" s="52">
        <v>-124</v>
      </c>
      <c r="V38" s="52">
        <v>-79</v>
      </c>
      <c r="W38" s="52">
        <v>-81</v>
      </c>
      <c r="X38" s="52">
        <v>-93</v>
      </c>
      <c r="Y38" s="52">
        <v>-90</v>
      </c>
      <c r="Z38" s="52">
        <v>-98</v>
      </c>
      <c r="AA38" s="52">
        <f t="shared" si="10"/>
        <v>-275</v>
      </c>
      <c r="AB38" s="52">
        <f t="shared" si="11"/>
        <v>-255</v>
      </c>
      <c r="AC38" s="52">
        <f t="shared" si="12"/>
        <v>-128</v>
      </c>
      <c r="AD38" s="52">
        <f t="shared" si="13"/>
        <v>-243</v>
      </c>
      <c r="AE38" s="52">
        <f t="shared" si="14"/>
        <v>-407</v>
      </c>
      <c r="AF38" s="80">
        <f t="shared" si="15"/>
        <v>-362</v>
      </c>
    </row>
    <row r="39" spans="1:38">
      <c r="A39" s="12" t="s">
        <v>354</v>
      </c>
      <c r="B39" s="12"/>
      <c r="C39" s="52" t="s">
        <v>47</v>
      </c>
      <c r="D39" s="52" t="s">
        <v>47</v>
      </c>
      <c r="E39" s="52" t="s">
        <v>47</v>
      </c>
      <c r="F39" s="52" t="s">
        <v>47</v>
      </c>
      <c r="G39" s="52" t="s">
        <v>47</v>
      </c>
      <c r="H39" s="52" t="s">
        <v>47</v>
      </c>
      <c r="I39" s="52" t="s">
        <v>47</v>
      </c>
      <c r="J39" s="52" t="s">
        <v>47</v>
      </c>
      <c r="K39" s="52" t="s">
        <v>47</v>
      </c>
      <c r="L39" s="52" t="s">
        <v>47</v>
      </c>
      <c r="M39" s="52" t="s">
        <v>47</v>
      </c>
      <c r="N39" s="52" t="s">
        <v>47</v>
      </c>
      <c r="O39" s="52" t="s">
        <v>47</v>
      </c>
      <c r="P39" s="52" t="s">
        <v>47</v>
      </c>
      <c r="Q39" s="52" t="s">
        <v>47</v>
      </c>
      <c r="R39" s="52" t="s">
        <v>47</v>
      </c>
      <c r="S39" s="52" t="s">
        <v>47</v>
      </c>
      <c r="T39" s="52" t="s">
        <v>47</v>
      </c>
      <c r="U39" s="52" t="s">
        <v>47</v>
      </c>
      <c r="V39" s="52" t="s">
        <v>47</v>
      </c>
      <c r="W39" s="52" t="s">
        <v>47</v>
      </c>
      <c r="X39" s="52" t="s">
        <v>47</v>
      </c>
      <c r="Y39" s="52" t="s">
        <v>47</v>
      </c>
      <c r="Z39" s="52" t="s">
        <v>47</v>
      </c>
      <c r="AA39" s="52">
        <f t="shared" si="10"/>
        <v>0</v>
      </c>
      <c r="AB39" s="52">
        <f t="shared" si="11"/>
        <v>0</v>
      </c>
      <c r="AC39" s="52">
        <f t="shared" si="12"/>
        <v>0</v>
      </c>
      <c r="AD39" s="52">
        <f t="shared" si="13"/>
        <v>0</v>
      </c>
      <c r="AE39" s="52">
        <f t="shared" si="14"/>
        <v>0</v>
      </c>
      <c r="AF39" s="80">
        <f t="shared" si="15"/>
        <v>0</v>
      </c>
    </row>
    <row r="40" spans="1:38">
      <c r="A40" s="12" t="s">
        <v>355</v>
      </c>
      <c r="B40" s="12"/>
      <c r="C40" s="52" t="s">
        <v>47</v>
      </c>
      <c r="D40" s="52" t="s">
        <v>47</v>
      </c>
      <c r="E40" s="52" t="s">
        <v>47</v>
      </c>
      <c r="F40" s="52" t="s">
        <v>47</v>
      </c>
      <c r="G40" s="52" t="s">
        <v>47</v>
      </c>
      <c r="H40" s="52" t="s">
        <v>47</v>
      </c>
      <c r="I40" s="52" t="s">
        <v>47</v>
      </c>
      <c r="J40" s="52" t="s">
        <v>47</v>
      </c>
      <c r="K40" s="52" t="s">
        <v>47</v>
      </c>
      <c r="L40" s="52" t="s">
        <v>47</v>
      </c>
      <c r="M40" s="52" t="s">
        <v>47</v>
      </c>
      <c r="N40" s="52" t="s">
        <v>47</v>
      </c>
      <c r="O40" s="52" t="s">
        <v>47</v>
      </c>
      <c r="P40" s="52" t="s">
        <v>47</v>
      </c>
      <c r="Q40" s="52" t="s">
        <v>47</v>
      </c>
      <c r="R40" s="52" t="s">
        <v>47</v>
      </c>
      <c r="S40" s="51" t="s">
        <v>47</v>
      </c>
      <c r="T40" s="51" t="s">
        <v>47</v>
      </c>
      <c r="U40" s="51" t="s">
        <v>47</v>
      </c>
      <c r="V40" s="51" t="s">
        <v>47</v>
      </c>
      <c r="W40" s="51" t="s">
        <v>47</v>
      </c>
      <c r="X40" s="51" t="s">
        <v>47</v>
      </c>
      <c r="Y40" s="51" t="s">
        <v>47</v>
      </c>
      <c r="Z40" s="51" t="s">
        <v>47</v>
      </c>
      <c r="AA40" s="52">
        <f t="shared" si="10"/>
        <v>0</v>
      </c>
      <c r="AB40" s="52">
        <f t="shared" si="11"/>
        <v>0</v>
      </c>
      <c r="AC40" s="52">
        <f t="shared" si="12"/>
        <v>0</v>
      </c>
      <c r="AD40" s="52">
        <f t="shared" si="13"/>
        <v>0</v>
      </c>
      <c r="AE40" s="52">
        <f t="shared" si="14"/>
        <v>0</v>
      </c>
      <c r="AF40" s="80">
        <f t="shared" si="15"/>
        <v>0</v>
      </c>
    </row>
    <row r="41" spans="1:38">
      <c r="A41" s="12" t="s">
        <v>356</v>
      </c>
      <c r="B41" s="12"/>
      <c r="C41" s="52">
        <v>11</v>
      </c>
      <c r="D41" s="52">
        <v>-3</v>
      </c>
      <c r="E41" s="52">
        <v>-1</v>
      </c>
      <c r="F41" s="52">
        <v>-5</v>
      </c>
      <c r="G41" s="52">
        <v>-7</v>
      </c>
      <c r="H41" s="52">
        <v>-5</v>
      </c>
      <c r="I41" s="52">
        <v>22</v>
      </c>
      <c r="J41" s="52">
        <v>-40</v>
      </c>
      <c r="K41" s="52">
        <v>26</v>
      </c>
      <c r="L41" s="52">
        <v>-40</v>
      </c>
      <c r="M41" s="52">
        <v>47</v>
      </c>
      <c r="N41" s="52">
        <v>-5</v>
      </c>
      <c r="O41" s="52">
        <v>17</v>
      </c>
      <c r="P41" s="52">
        <v>35</v>
      </c>
      <c r="Q41" s="52">
        <v>12</v>
      </c>
      <c r="R41" s="52">
        <v>-1</v>
      </c>
      <c r="S41" s="52">
        <v>-6</v>
      </c>
      <c r="T41" s="52">
        <v>0</v>
      </c>
      <c r="U41" s="52">
        <v>-2</v>
      </c>
      <c r="V41" s="52">
        <v>-3</v>
      </c>
      <c r="W41" s="52">
        <v>1</v>
      </c>
      <c r="X41" s="52">
        <v>0</v>
      </c>
      <c r="Y41" s="52">
        <v>-4</v>
      </c>
      <c r="Z41" s="52">
        <v>-3</v>
      </c>
      <c r="AA41" s="52">
        <f t="shared" si="10"/>
        <v>2</v>
      </c>
      <c r="AB41" s="52">
        <f t="shared" si="11"/>
        <v>-30</v>
      </c>
      <c r="AC41" s="52">
        <f t="shared" si="12"/>
        <v>28</v>
      </c>
      <c r="AD41" s="52">
        <f t="shared" si="13"/>
        <v>63</v>
      </c>
      <c r="AE41" s="52">
        <f t="shared" si="14"/>
        <v>-11</v>
      </c>
      <c r="AF41" s="80">
        <f t="shared" si="15"/>
        <v>-6</v>
      </c>
    </row>
    <row r="42" spans="1:38" s="280" customFormat="1" ht="10.15">
      <c r="A42" s="717" t="s">
        <v>357</v>
      </c>
      <c r="B42" s="715"/>
      <c r="C42" s="718">
        <f t="shared" ref="C42:F42" si="16">SUM(C34:C41)</f>
        <v>-156</v>
      </c>
      <c r="D42" s="718">
        <f t="shared" si="16"/>
        <v>-156</v>
      </c>
      <c r="E42" s="718">
        <f t="shared" si="16"/>
        <v>-237</v>
      </c>
      <c r="F42" s="718">
        <f t="shared" si="16"/>
        <v>93</v>
      </c>
      <c r="G42" s="718">
        <f t="shared" ref="G42:AF42" si="17">SUM(G34:G41)</f>
        <v>-237</v>
      </c>
      <c r="H42" s="718">
        <f t="shared" si="17"/>
        <v>-217</v>
      </c>
      <c r="I42" s="718">
        <f t="shared" si="17"/>
        <v>-275</v>
      </c>
      <c r="J42" s="718">
        <f t="shared" si="17"/>
        <v>-273</v>
      </c>
      <c r="K42" s="718">
        <f t="shared" si="17"/>
        <v>-113</v>
      </c>
      <c r="L42" s="718">
        <f t="shared" si="17"/>
        <v>-159</v>
      </c>
      <c r="M42" s="718">
        <f t="shared" si="17"/>
        <v>-42</v>
      </c>
      <c r="N42" s="718">
        <f t="shared" si="17"/>
        <v>-11</v>
      </c>
      <c r="O42" s="718">
        <f t="shared" si="17"/>
        <v>-74</v>
      </c>
      <c r="P42" s="718">
        <f t="shared" si="17"/>
        <v>-70</v>
      </c>
      <c r="Q42" s="718">
        <f t="shared" si="17"/>
        <v>-59</v>
      </c>
      <c r="R42" s="718">
        <f t="shared" si="17"/>
        <v>-167</v>
      </c>
      <c r="S42" s="718">
        <f t="shared" si="17"/>
        <v>-194</v>
      </c>
      <c r="T42" s="718">
        <f t="shared" si="17"/>
        <v>-321</v>
      </c>
      <c r="U42" s="718">
        <f t="shared" si="17"/>
        <v>-354</v>
      </c>
      <c r="V42" s="718">
        <f t="shared" si="17"/>
        <v>-300</v>
      </c>
      <c r="W42" s="718">
        <f t="shared" si="17"/>
        <v>-270</v>
      </c>
      <c r="X42" s="718">
        <f t="shared" si="17"/>
        <v>-261</v>
      </c>
      <c r="Y42" s="718">
        <f t="shared" si="17"/>
        <v>-185</v>
      </c>
      <c r="Z42" s="718">
        <f t="shared" si="17"/>
        <v>-197</v>
      </c>
      <c r="AA42" s="718">
        <f t="shared" si="17"/>
        <v>-456</v>
      </c>
      <c r="AB42" s="718">
        <f t="shared" si="17"/>
        <v>-1002</v>
      </c>
      <c r="AC42" s="718">
        <f t="shared" si="17"/>
        <v>-325</v>
      </c>
      <c r="AD42" s="718">
        <f t="shared" si="17"/>
        <v>-370</v>
      </c>
      <c r="AE42" s="718">
        <f t="shared" si="17"/>
        <v>-1169</v>
      </c>
      <c r="AF42" s="718">
        <f t="shared" si="17"/>
        <v>-913</v>
      </c>
      <c r="AG42" s="719"/>
      <c r="AH42" s="719"/>
      <c r="AI42" s="719"/>
      <c r="AJ42" s="719"/>
      <c r="AK42" s="719"/>
      <c r="AL42" s="719"/>
    </row>
    <row r="43" spans="1:38">
      <c r="A43" s="12"/>
      <c r="B43" s="12"/>
      <c r="C43" s="52"/>
      <c r="D43" s="52"/>
      <c r="E43" s="52"/>
      <c r="F43" s="52"/>
      <c r="G43" s="52"/>
      <c r="H43" s="52"/>
      <c r="I43" s="52"/>
      <c r="J43" s="52"/>
      <c r="K43" s="52"/>
      <c r="L43" s="52"/>
      <c r="M43" s="52"/>
      <c r="N43" s="52"/>
      <c r="O43" s="52"/>
      <c r="P43" s="52"/>
      <c r="Q43" s="52"/>
      <c r="R43" s="52"/>
      <c r="S43" s="51"/>
      <c r="T43" s="51"/>
      <c r="U43" s="51"/>
      <c r="V43" s="51"/>
      <c r="W43" s="51"/>
      <c r="X43" s="51"/>
      <c r="Y43" s="51"/>
      <c r="Z43" s="51"/>
      <c r="AA43" s="51"/>
      <c r="AB43" s="51"/>
      <c r="AC43" s="51"/>
      <c r="AD43" s="51"/>
      <c r="AE43" s="51"/>
      <c r="AF43" s="9"/>
    </row>
    <row r="44" spans="1:38" s="30" customFormat="1" ht="10.15">
      <c r="A44" s="15" t="s">
        <v>358</v>
      </c>
      <c r="B44" s="15"/>
      <c r="C44" s="50" t="s">
        <v>47</v>
      </c>
      <c r="D44" s="50" t="s">
        <v>47</v>
      </c>
      <c r="E44" s="50">
        <v>44</v>
      </c>
      <c r="F44" s="50">
        <v>-28</v>
      </c>
      <c r="G44" s="50" t="s">
        <v>47</v>
      </c>
      <c r="H44" s="50" t="s">
        <v>47</v>
      </c>
      <c r="I44" s="50">
        <v>49</v>
      </c>
      <c r="J44" s="50">
        <v>-49</v>
      </c>
      <c r="K44" s="50">
        <v>1500</v>
      </c>
      <c r="L44" s="50">
        <v>1280</v>
      </c>
      <c r="M44" s="50">
        <v>0</v>
      </c>
      <c r="N44" s="50">
        <v>181</v>
      </c>
      <c r="O44" s="50">
        <v>500</v>
      </c>
      <c r="P44" s="50">
        <v>0</v>
      </c>
      <c r="Q44" s="50">
        <v>475</v>
      </c>
      <c r="R44" s="50">
        <v>110</v>
      </c>
      <c r="S44" s="53">
        <v>850</v>
      </c>
      <c r="T44" s="53">
        <v>0</v>
      </c>
      <c r="U44" s="53">
        <v>1041</v>
      </c>
      <c r="V44" s="53">
        <v>918</v>
      </c>
      <c r="W44" s="53" t="s">
        <v>47</v>
      </c>
      <c r="X44" s="53" t="s">
        <v>47</v>
      </c>
      <c r="Y44" s="53">
        <v>387</v>
      </c>
      <c r="Z44" s="53">
        <v>576</v>
      </c>
      <c r="AA44" s="53">
        <f>SUM(C44:F44)</f>
        <v>16</v>
      </c>
      <c r="AB44" s="53">
        <f>SUM(G44:J44)</f>
        <v>0</v>
      </c>
      <c r="AC44" s="53">
        <f>SUM(K44:N44)</f>
        <v>2961</v>
      </c>
      <c r="AD44" s="53">
        <f>SUM(O44:R44)</f>
        <v>1085</v>
      </c>
      <c r="AE44" s="53">
        <f>SUM(S44:V44)</f>
        <v>2809</v>
      </c>
      <c r="AF44" s="93">
        <f>SUM(W44:Z44)</f>
        <v>963</v>
      </c>
    </row>
    <row r="45" spans="1:38" s="30" customFormat="1" ht="10.15">
      <c r="A45" s="15" t="s">
        <v>359</v>
      </c>
      <c r="B45" s="15"/>
      <c r="C45" s="50">
        <v>-13</v>
      </c>
      <c r="D45" s="50">
        <v>-434</v>
      </c>
      <c r="E45" s="50">
        <v>86</v>
      </c>
      <c r="F45" s="50">
        <v>-788</v>
      </c>
      <c r="G45" s="50">
        <v>-48</v>
      </c>
      <c r="H45" s="50">
        <v>-119</v>
      </c>
      <c r="I45" s="50">
        <v>125</v>
      </c>
      <c r="J45" s="50">
        <v>-617</v>
      </c>
      <c r="K45" s="50">
        <v>-235</v>
      </c>
      <c r="L45" s="50">
        <v>-1380</v>
      </c>
      <c r="M45" s="50">
        <v>17</v>
      </c>
      <c r="N45" s="50">
        <v>-444</v>
      </c>
      <c r="O45" s="50">
        <v>-779</v>
      </c>
      <c r="P45" s="50">
        <v>-57</v>
      </c>
      <c r="Q45" s="50">
        <v>-1709</v>
      </c>
      <c r="R45" s="50">
        <v>-177</v>
      </c>
      <c r="S45" s="53">
        <v>-1265</v>
      </c>
      <c r="T45" s="53">
        <v>-47</v>
      </c>
      <c r="U45" s="53">
        <v>-803</v>
      </c>
      <c r="V45" s="53">
        <v>-1166</v>
      </c>
      <c r="W45" s="53">
        <v>-14</v>
      </c>
      <c r="X45" s="53">
        <v>-22</v>
      </c>
      <c r="Y45" s="53">
        <v>-117</v>
      </c>
      <c r="Z45" s="53">
        <v>-810</v>
      </c>
      <c r="AA45" s="53">
        <f>SUM(C45:F45)</f>
        <v>-1149</v>
      </c>
      <c r="AB45" s="53">
        <f>SUM(G45:J45)</f>
        <v>-659</v>
      </c>
      <c r="AC45" s="53">
        <f>SUM(K45:N45)</f>
        <v>-2042</v>
      </c>
      <c r="AD45" s="53">
        <f>SUM(O45:R45)</f>
        <v>-2722</v>
      </c>
      <c r="AE45" s="53">
        <f>SUM(S45:V45)</f>
        <v>-3281</v>
      </c>
      <c r="AF45" s="93">
        <f>SUM(W45:Z45)</f>
        <v>-963</v>
      </c>
    </row>
    <row r="46" spans="1:38">
      <c r="A46" s="12"/>
      <c r="B46" s="1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1"/>
      <c r="AC46" s="52"/>
      <c r="AD46" s="52"/>
      <c r="AE46" s="52"/>
      <c r="AF46" s="9"/>
    </row>
    <row r="47" spans="1:38">
      <c r="A47" s="12" t="s">
        <v>360</v>
      </c>
      <c r="B47" s="12"/>
      <c r="C47" s="52">
        <v>28</v>
      </c>
      <c r="D47" s="52">
        <v>10</v>
      </c>
      <c r="E47" s="52">
        <v>3</v>
      </c>
      <c r="F47" s="52">
        <v>4</v>
      </c>
      <c r="G47" s="52">
        <v>6</v>
      </c>
      <c r="H47" s="52">
        <v>0</v>
      </c>
      <c r="I47" s="52">
        <v>0</v>
      </c>
      <c r="J47" s="52">
        <v>0</v>
      </c>
      <c r="K47" s="52" t="s">
        <v>47</v>
      </c>
      <c r="L47" s="52" t="s">
        <v>47</v>
      </c>
      <c r="M47" s="52" t="s">
        <v>47</v>
      </c>
      <c r="N47" s="52" t="s">
        <v>47</v>
      </c>
      <c r="O47" s="52" t="s">
        <v>47</v>
      </c>
      <c r="P47" s="52" t="s">
        <v>47</v>
      </c>
      <c r="Q47" s="52" t="s">
        <v>47</v>
      </c>
      <c r="R47" s="52">
        <v>7</v>
      </c>
      <c r="S47" s="52" t="s">
        <v>47</v>
      </c>
      <c r="T47" s="52" t="s">
        <v>47</v>
      </c>
      <c r="U47" s="52" t="s">
        <v>47</v>
      </c>
      <c r="V47" s="52" t="s">
        <v>47</v>
      </c>
      <c r="W47" s="52" t="s">
        <v>47</v>
      </c>
      <c r="X47" s="52" t="s">
        <v>47</v>
      </c>
      <c r="Y47" s="52" t="s">
        <v>47</v>
      </c>
      <c r="Z47" s="52" t="s">
        <v>47</v>
      </c>
      <c r="AA47" s="53">
        <f>SUM(C47:F47)</f>
        <v>45</v>
      </c>
      <c r="AB47" s="53">
        <f>SUM(G47:J47)</f>
        <v>6</v>
      </c>
      <c r="AC47" s="53">
        <f>SUM(K47:N47)</f>
        <v>0</v>
      </c>
      <c r="AD47" s="53">
        <f>SUM(O47:R47)</f>
        <v>7</v>
      </c>
      <c r="AE47" s="53">
        <f>SUM(S47:V47)</f>
        <v>0</v>
      </c>
      <c r="AF47" s="93">
        <f>SUM(W47:Z47)</f>
        <v>0</v>
      </c>
    </row>
    <row r="48" spans="1:38" s="67" customFormat="1" ht="10.15">
      <c r="A48" s="12" t="s">
        <v>361</v>
      </c>
      <c r="B48" s="12"/>
      <c r="C48" s="52" t="s">
        <v>47</v>
      </c>
      <c r="D48" s="52" t="s">
        <v>47</v>
      </c>
      <c r="E48" s="52" t="s">
        <v>47</v>
      </c>
      <c r="F48" s="52" t="s">
        <v>47</v>
      </c>
      <c r="G48" s="52" t="s">
        <v>47</v>
      </c>
      <c r="H48" s="52" t="s">
        <v>47</v>
      </c>
      <c r="I48" s="52">
        <v>-1</v>
      </c>
      <c r="J48" s="52">
        <v>0</v>
      </c>
      <c r="K48" s="52" t="s">
        <v>47</v>
      </c>
      <c r="L48" s="52" t="s">
        <v>47</v>
      </c>
      <c r="M48" s="52" t="s">
        <v>47</v>
      </c>
      <c r="N48" s="52">
        <v>-1</v>
      </c>
      <c r="O48" s="52" t="s">
        <v>47</v>
      </c>
      <c r="P48" s="52" t="s">
        <v>47</v>
      </c>
      <c r="Q48" s="52">
        <v>-294</v>
      </c>
      <c r="R48" s="52">
        <v>-206</v>
      </c>
      <c r="S48" s="51">
        <v>-584</v>
      </c>
      <c r="T48" s="51">
        <v>-17</v>
      </c>
      <c r="U48" s="51">
        <v>0</v>
      </c>
      <c r="V48" s="51">
        <v>0</v>
      </c>
      <c r="W48" s="51">
        <v>-35</v>
      </c>
      <c r="X48" s="51">
        <v>-3</v>
      </c>
      <c r="Y48" s="51">
        <v>0</v>
      </c>
      <c r="Z48" s="51">
        <v>0</v>
      </c>
      <c r="AA48" s="53">
        <f>SUM(C48:F48)</f>
        <v>0</v>
      </c>
      <c r="AB48" s="53">
        <f>SUM(G48:J48)</f>
        <v>-1</v>
      </c>
      <c r="AC48" s="53">
        <f>SUM(K48:N48)</f>
        <v>-1</v>
      </c>
      <c r="AD48" s="53">
        <f>SUM(O48:R48)</f>
        <v>-500</v>
      </c>
      <c r="AE48" s="53">
        <f>SUM(S48:V48)</f>
        <v>-601</v>
      </c>
      <c r="AF48" s="93">
        <f>SUM(W48:Z48)</f>
        <v>-38</v>
      </c>
    </row>
    <row r="49" spans="1:32" s="67" customFormat="1" ht="10.15">
      <c r="A49" s="12"/>
      <c r="B49" s="12"/>
      <c r="C49" s="52"/>
      <c r="D49" s="52"/>
      <c r="E49" s="52"/>
      <c r="F49" s="52"/>
      <c r="G49" s="52"/>
      <c r="H49" s="52"/>
      <c r="I49" s="52"/>
      <c r="J49" s="52"/>
      <c r="K49" s="52"/>
      <c r="L49" s="52"/>
      <c r="M49" s="52"/>
      <c r="N49" s="52"/>
      <c r="O49" s="52"/>
      <c r="P49" s="52"/>
      <c r="Q49" s="52"/>
      <c r="R49" s="52"/>
      <c r="S49" s="52"/>
      <c r="T49" s="52"/>
      <c r="U49" s="52"/>
      <c r="V49" s="52"/>
      <c r="W49" s="52"/>
      <c r="X49" s="52"/>
      <c r="Y49" s="52"/>
      <c r="Z49" s="52"/>
      <c r="AA49" s="51"/>
      <c r="AB49" s="51"/>
      <c r="AC49" s="51"/>
      <c r="AD49" s="51"/>
      <c r="AE49" s="51"/>
    </row>
    <row r="50" spans="1:32" s="67" customFormat="1" ht="10.15">
      <c r="A50" s="12" t="s">
        <v>362</v>
      </c>
      <c r="B50" s="12"/>
      <c r="C50" s="52">
        <v>-116</v>
      </c>
      <c r="D50" s="52">
        <v>-116</v>
      </c>
      <c r="E50" s="52">
        <v>-115</v>
      </c>
      <c r="F50" s="52">
        <v>-116</v>
      </c>
      <c r="G50" s="52">
        <v>-116</v>
      </c>
      <c r="H50" s="52">
        <v>-117</v>
      </c>
      <c r="I50" s="52">
        <v>-116</v>
      </c>
      <c r="J50" s="52">
        <v>-117</v>
      </c>
      <c r="K50" s="52">
        <v>-117</v>
      </c>
      <c r="L50" s="52">
        <v>0</v>
      </c>
      <c r="M50" s="52">
        <v>0</v>
      </c>
      <c r="N50" s="52">
        <v>0</v>
      </c>
      <c r="O50" s="52">
        <v>0</v>
      </c>
      <c r="P50" s="52">
        <v>0</v>
      </c>
      <c r="Q50" s="52">
        <v>-46</v>
      </c>
      <c r="R50" s="52">
        <v>-44</v>
      </c>
      <c r="S50" s="52">
        <v>-45</v>
      </c>
      <c r="T50" s="52">
        <v>-42</v>
      </c>
      <c r="U50" s="52">
        <v>-43</v>
      </c>
      <c r="V50" s="52">
        <v>-43</v>
      </c>
      <c r="W50" s="52">
        <v>-45</v>
      </c>
      <c r="X50" s="52">
        <v>-45</v>
      </c>
      <c r="Y50" s="52">
        <v>-45</v>
      </c>
      <c r="Z50" s="52">
        <v>-46</v>
      </c>
      <c r="AA50" s="51">
        <f>SUM(C50:F50)</f>
        <v>-463</v>
      </c>
      <c r="AB50" s="51">
        <f>SUM(G50:J50)</f>
        <v>-466</v>
      </c>
      <c r="AC50" s="51">
        <f>SUM(K50:N50)</f>
        <v>-117</v>
      </c>
      <c r="AD50" s="51">
        <f>SUM(O50:R50)</f>
        <v>-90</v>
      </c>
      <c r="AE50" s="51">
        <f>SUM(S50:V50)</f>
        <v>-173</v>
      </c>
      <c r="AF50" s="80">
        <f>SUM(W50:Z50)</f>
        <v>-181</v>
      </c>
    </row>
    <row r="51" spans="1:32" s="75" customFormat="1" ht="10.15">
      <c r="A51" s="15" t="s">
        <v>363</v>
      </c>
      <c r="B51" s="44"/>
      <c r="C51" s="53">
        <f t="shared" ref="C51:F51" si="18">C50</f>
        <v>-116</v>
      </c>
      <c r="D51" s="53">
        <f t="shared" si="18"/>
        <v>-116</v>
      </c>
      <c r="E51" s="53">
        <f t="shared" si="18"/>
        <v>-115</v>
      </c>
      <c r="F51" s="53">
        <f t="shared" si="18"/>
        <v>-116</v>
      </c>
      <c r="G51" s="53">
        <f t="shared" ref="G51:AF51" si="19">G50</f>
        <v>-116</v>
      </c>
      <c r="H51" s="53">
        <f t="shared" si="19"/>
        <v>-117</v>
      </c>
      <c r="I51" s="53">
        <f t="shared" si="19"/>
        <v>-116</v>
      </c>
      <c r="J51" s="53">
        <f t="shared" si="19"/>
        <v>-117</v>
      </c>
      <c r="K51" s="53">
        <f t="shared" si="19"/>
        <v>-117</v>
      </c>
      <c r="L51" s="53">
        <f t="shared" si="19"/>
        <v>0</v>
      </c>
      <c r="M51" s="53">
        <f t="shared" si="19"/>
        <v>0</v>
      </c>
      <c r="N51" s="53">
        <f t="shared" si="19"/>
        <v>0</v>
      </c>
      <c r="O51" s="53">
        <f t="shared" si="19"/>
        <v>0</v>
      </c>
      <c r="P51" s="53">
        <f t="shared" si="19"/>
        <v>0</v>
      </c>
      <c r="Q51" s="53">
        <f t="shared" si="19"/>
        <v>-46</v>
      </c>
      <c r="R51" s="53">
        <f t="shared" si="19"/>
        <v>-44</v>
      </c>
      <c r="S51" s="53">
        <f t="shared" si="19"/>
        <v>-45</v>
      </c>
      <c r="T51" s="53">
        <f t="shared" si="19"/>
        <v>-42</v>
      </c>
      <c r="U51" s="53">
        <f t="shared" si="19"/>
        <v>-43</v>
      </c>
      <c r="V51" s="53">
        <f t="shared" si="19"/>
        <v>-43</v>
      </c>
      <c r="W51" s="53">
        <f t="shared" si="19"/>
        <v>-45</v>
      </c>
      <c r="X51" s="53">
        <f t="shared" si="19"/>
        <v>-45</v>
      </c>
      <c r="Y51" s="53">
        <f t="shared" si="19"/>
        <v>-45</v>
      </c>
      <c r="Z51" s="53">
        <f t="shared" si="19"/>
        <v>-46</v>
      </c>
      <c r="AA51" s="53">
        <f t="shared" si="19"/>
        <v>-463</v>
      </c>
      <c r="AB51" s="53">
        <f t="shared" si="19"/>
        <v>-466</v>
      </c>
      <c r="AC51" s="53">
        <f t="shared" si="19"/>
        <v>-117</v>
      </c>
      <c r="AD51" s="53">
        <f t="shared" si="19"/>
        <v>-90</v>
      </c>
      <c r="AE51" s="53">
        <f t="shared" si="19"/>
        <v>-173</v>
      </c>
      <c r="AF51" s="53">
        <f t="shared" si="19"/>
        <v>-181</v>
      </c>
    </row>
    <row r="52" spans="1:32" s="67" customFormat="1" ht="10.15">
      <c r="A52" s="12"/>
      <c r="B52" s="39"/>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row>
    <row r="53" spans="1:32" s="67" customFormat="1" ht="10.15">
      <c r="A53" s="12" t="s">
        <v>364</v>
      </c>
      <c r="B53" s="39"/>
      <c r="C53" s="52" t="s">
        <v>47</v>
      </c>
      <c r="D53" s="52" t="s">
        <v>47</v>
      </c>
      <c r="E53" s="52" t="s">
        <v>47</v>
      </c>
      <c r="F53" s="52" t="s">
        <v>47</v>
      </c>
      <c r="G53" s="52" t="s">
        <v>47</v>
      </c>
      <c r="H53" s="52" t="s">
        <v>47</v>
      </c>
      <c r="I53" s="52" t="s">
        <v>47</v>
      </c>
      <c r="J53" s="52" t="s">
        <v>47</v>
      </c>
      <c r="K53" s="52" t="s">
        <v>47</v>
      </c>
      <c r="L53" s="52" t="s">
        <v>47</v>
      </c>
      <c r="M53" s="52" t="s">
        <v>47</v>
      </c>
      <c r="N53" s="52" t="s">
        <v>47</v>
      </c>
      <c r="O53" s="52" t="s">
        <v>47</v>
      </c>
      <c r="P53" s="52" t="s">
        <v>47</v>
      </c>
      <c r="Q53" s="52" t="s">
        <v>47</v>
      </c>
      <c r="R53" s="52" t="s">
        <v>47</v>
      </c>
      <c r="S53" s="52" t="s">
        <v>47</v>
      </c>
      <c r="T53" s="52" t="s">
        <v>47</v>
      </c>
      <c r="U53" s="52" t="s">
        <v>47</v>
      </c>
      <c r="V53" s="52" t="s">
        <v>47</v>
      </c>
      <c r="W53" s="52" t="s">
        <v>47</v>
      </c>
      <c r="X53" s="52" t="s">
        <v>47</v>
      </c>
      <c r="Y53" s="52" t="s">
        <v>47</v>
      </c>
      <c r="Z53" s="52" t="s">
        <v>47</v>
      </c>
      <c r="AA53" s="52">
        <f>SUM(C53:F53)</f>
        <v>0</v>
      </c>
      <c r="AB53" s="52">
        <f>SUM(G53:J53)</f>
        <v>0</v>
      </c>
      <c r="AC53" s="52">
        <f>SUM(K53:N53)</f>
        <v>0</v>
      </c>
      <c r="AD53" s="52">
        <f>SUM(O53:R53)</f>
        <v>0</v>
      </c>
      <c r="AE53" s="51">
        <f>SUM(S53:V53)</f>
        <v>0</v>
      </c>
      <c r="AF53" s="67">
        <f>SUM(W53:Z53)</f>
        <v>0</v>
      </c>
    </row>
    <row r="54" spans="1:32" s="67" customFormat="1" ht="10.15">
      <c r="A54" s="12" t="s">
        <v>365</v>
      </c>
      <c r="B54" s="39"/>
      <c r="C54" s="52">
        <v>2</v>
      </c>
      <c r="D54" s="51">
        <v>3</v>
      </c>
      <c r="E54" s="51">
        <v>2</v>
      </c>
      <c r="F54" s="51">
        <v>0</v>
      </c>
      <c r="G54" s="51" t="s">
        <v>47</v>
      </c>
      <c r="H54" s="51">
        <v>-3</v>
      </c>
      <c r="I54" s="51">
        <v>0</v>
      </c>
      <c r="J54" s="51">
        <v>0</v>
      </c>
      <c r="K54" s="51" t="s">
        <v>47</v>
      </c>
      <c r="L54" s="51">
        <v>-98</v>
      </c>
      <c r="M54" s="51">
        <v>-4</v>
      </c>
      <c r="N54" s="51">
        <v>0</v>
      </c>
      <c r="O54" s="51">
        <v>-21</v>
      </c>
      <c r="P54" s="51">
        <v>-3</v>
      </c>
      <c r="Q54" s="51">
        <v>-137</v>
      </c>
      <c r="R54" s="51">
        <v>0</v>
      </c>
      <c r="S54" s="51">
        <v>-50</v>
      </c>
      <c r="T54" s="51">
        <v>0</v>
      </c>
      <c r="U54" s="51">
        <v>0</v>
      </c>
      <c r="V54" s="51">
        <v>0</v>
      </c>
      <c r="W54" s="51" t="s">
        <v>47</v>
      </c>
      <c r="X54" s="51" t="s">
        <v>47</v>
      </c>
      <c r="Y54" s="51">
        <v>-1</v>
      </c>
      <c r="Z54" s="51">
        <v>0</v>
      </c>
      <c r="AA54" s="52">
        <f>SUM(C54:F54)</f>
        <v>7</v>
      </c>
      <c r="AB54" s="52">
        <f>SUM(G54:J54)</f>
        <v>-3</v>
      </c>
      <c r="AC54" s="52">
        <f>SUM(K54:N54)</f>
        <v>-102</v>
      </c>
      <c r="AD54" s="52">
        <f>SUM(O54:R54)</f>
        <v>-161</v>
      </c>
      <c r="AE54" s="51">
        <f>SUM(S54:V54)</f>
        <v>-50</v>
      </c>
      <c r="AF54" s="67">
        <f>SUM(W54:Z54)</f>
        <v>-1</v>
      </c>
    </row>
    <row r="55" spans="1:32" s="75" customFormat="1" ht="10.15">
      <c r="A55" s="15" t="s">
        <v>366</v>
      </c>
      <c r="B55" s="15"/>
      <c r="C55" s="93">
        <f t="shared" ref="C55:F55" si="20">SUM(C44:C45)+SUM(C47:C48)+C51+SUM(C53:C54)</f>
        <v>-99</v>
      </c>
      <c r="D55" s="93">
        <f t="shared" si="20"/>
        <v>-537</v>
      </c>
      <c r="E55" s="93">
        <f t="shared" si="20"/>
        <v>20</v>
      </c>
      <c r="F55" s="93">
        <f t="shared" si="20"/>
        <v>-928</v>
      </c>
      <c r="G55" s="93">
        <f t="shared" ref="G55:AF55" si="21">SUM(G44:G45)+SUM(G47:G48)+G51+SUM(G53:G54)</f>
        <v>-158</v>
      </c>
      <c r="H55" s="93">
        <f t="shared" si="21"/>
        <v>-239</v>
      </c>
      <c r="I55" s="93">
        <f t="shared" si="21"/>
        <v>57</v>
      </c>
      <c r="J55" s="93">
        <f t="shared" si="21"/>
        <v>-783</v>
      </c>
      <c r="K55" s="93">
        <f t="shared" si="21"/>
        <v>1148</v>
      </c>
      <c r="L55" s="93">
        <f t="shared" si="21"/>
        <v>-198</v>
      </c>
      <c r="M55" s="93">
        <f t="shared" si="21"/>
        <v>13</v>
      </c>
      <c r="N55" s="93">
        <f t="shared" si="21"/>
        <v>-264</v>
      </c>
      <c r="O55" s="93">
        <f t="shared" si="21"/>
        <v>-300</v>
      </c>
      <c r="P55" s="93">
        <f t="shared" si="21"/>
        <v>-60</v>
      </c>
      <c r="Q55" s="93">
        <f t="shared" si="21"/>
        <v>-1711</v>
      </c>
      <c r="R55" s="93">
        <f t="shared" si="21"/>
        <v>-310</v>
      </c>
      <c r="S55" s="93">
        <f t="shared" si="21"/>
        <v>-1094</v>
      </c>
      <c r="T55" s="93">
        <f t="shared" si="21"/>
        <v>-106</v>
      </c>
      <c r="U55" s="93">
        <f t="shared" si="21"/>
        <v>195</v>
      </c>
      <c r="V55" s="93">
        <f t="shared" si="21"/>
        <v>-291</v>
      </c>
      <c r="W55" s="93">
        <f t="shared" si="21"/>
        <v>-94</v>
      </c>
      <c r="X55" s="93">
        <f t="shared" si="21"/>
        <v>-70</v>
      </c>
      <c r="Y55" s="93">
        <f t="shared" si="21"/>
        <v>224</v>
      </c>
      <c r="Z55" s="93">
        <f t="shared" si="21"/>
        <v>-280</v>
      </c>
      <c r="AA55" s="633">
        <f t="shared" si="21"/>
        <v>-1544</v>
      </c>
      <c r="AB55" s="633">
        <f t="shared" si="21"/>
        <v>-1123</v>
      </c>
      <c r="AC55" s="633">
        <f t="shared" si="21"/>
        <v>699</v>
      </c>
      <c r="AD55" s="633">
        <f t="shared" si="21"/>
        <v>-2381</v>
      </c>
      <c r="AE55" s="633">
        <f t="shared" si="21"/>
        <v>-1296</v>
      </c>
      <c r="AF55" s="633">
        <f t="shared" si="21"/>
        <v>-220</v>
      </c>
    </row>
    <row r="56" spans="1:32" s="67" customFormat="1" ht="10.15">
      <c r="A56" s="12"/>
      <c r="B56" s="43"/>
      <c r="C56" s="51"/>
      <c r="D56" s="51"/>
      <c r="E56" s="51"/>
      <c r="F56" s="51"/>
      <c r="G56" s="51"/>
      <c r="H56" s="51"/>
      <c r="I56" s="51"/>
      <c r="J56" s="51"/>
      <c r="K56" s="51"/>
      <c r="L56" s="51"/>
      <c r="M56" s="51"/>
      <c r="N56" s="51"/>
      <c r="O56" s="51"/>
      <c r="P56" s="51"/>
      <c r="Q56" s="51"/>
      <c r="R56" s="51"/>
      <c r="S56" s="51"/>
      <c r="T56" s="51"/>
      <c r="U56" s="51"/>
      <c r="V56" s="51"/>
      <c r="W56" s="51"/>
      <c r="X56" s="51"/>
      <c r="Y56" s="51"/>
      <c r="Z56" s="51"/>
      <c r="AA56" s="80"/>
      <c r="AB56" s="51"/>
      <c r="AC56" s="51"/>
      <c r="AD56" s="51"/>
      <c r="AE56" s="51"/>
    </row>
    <row r="57" spans="1:32" s="75" customFormat="1" ht="10.5" thickBot="1">
      <c r="A57" s="15" t="s">
        <v>367</v>
      </c>
      <c r="B57" s="40"/>
      <c r="C57" s="53">
        <f t="shared" ref="C57:F57" si="22">C32+C42+C55</f>
        <v>67</v>
      </c>
      <c r="D57" s="53">
        <f t="shared" si="22"/>
        <v>-471</v>
      </c>
      <c r="E57" s="53">
        <f t="shared" si="22"/>
        <v>-332</v>
      </c>
      <c r="F57" s="53">
        <f t="shared" si="22"/>
        <v>471</v>
      </c>
      <c r="G57" s="53">
        <f t="shared" ref="G57:AF57" si="23">G32+G42+G55</f>
        <v>-433</v>
      </c>
      <c r="H57" s="53">
        <f t="shared" si="23"/>
        <v>-68</v>
      </c>
      <c r="I57" s="53">
        <f t="shared" si="23"/>
        <v>-396</v>
      </c>
      <c r="J57" s="53">
        <f t="shared" si="23"/>
        <v>380</v>
      </c>
      <c r="K57" s="53">
        <f t="shared" si="23"/>
        <v>871</v>
      </c>
      <c r="L57" s="53">
        <f t="shared" si="23"/>
        <v>-200</v>
      </c>
      <c r="M57" s="53">
        <f t="shared" si="23"/>
        <v>222</v>
      </c>
      <c r="N57" s="53">
        <f t="shared" si="23"/>
        <v>130</v>
      </c>
      <c r="O57" s="53">
        <f t="shared" si="23"/>
        <v>120</v>
      </c>
      <c r="P57" s="53">
        <f t="shared" si="23"/>
        <v>341</v>
      </c>
      <c r="Q57" s="53">
        <f t="shared" si="23"/>
        <v>-1894</v>
      </c>
      <c r="R57" s="53">
        <f t="shared" si="23"/>
        <v>1394</v>
      </c>
      <c r="S57" s="53">
        <f t="shared" si="23"/>
        <v>-1040</v>
      </c>
      <c r="T57" s="53">
        <f t="shared" si="23"/>
        <v>-372</v>
      </c>
      <c r="U57" s="53">
        <f t="shared" si="23"/>
        <v>26</v>
      </c>
      <c r="V57" s="53">
        <f t="shared" si="23"/>
        <v>536</v>
      </c>
      <c r="W57" s="53">
        <f t="shared" si="23"/>
        <v>-259</v>
      </c>
      <c r="X57" s="53">
        <f t="shared" si="23"/>
        <v>-165</v>
      </c>
      <c r="Y57" s="53">
        <f t="shared" si="23"/>
        <v>-74</v>
      </c>
      <c r="Z57" s="53">
        <f t="shared" si="23"/>
        <v>670</v>
      </c>
      <c r="AA57" s="640">
        <f t="shared" si="23"/>
        <v>-265</v>
      </c>
      <c r="AB57" s="640">
        <f t="shared" si="23"/>
        <v>-517</v>
      </c>
      <c r="AC57" s="640">
        <f t="shared" si="23"/>
        <v>1023</v>
      </c>
      <c r="AD57" s="640">
        <f t="shared" si="23"/>
        <v>-39</v>
      </c>
      <c r="AE57" s="640">
        <f t="shared" si="23"/>
        <v>-850</v>
      </c>
      <c r="AF57" s="640">
        <f t="shared" si="23"/>
        <v>172</v>
      </c>
    </row>
    <row r="58" spans="1:32" s="67" customFormat="1" ht="10.5" thickTop="1">
      <c r="A58" s="12"/>
      <c r="B58" s="12"/>
      <c r="C58" s="52"/>
      <c r="D58" s="52"/>
      <c r="E58" s="52"/>
      <c r="F58" s="52"/>
      <c r="G58" s="52"/>
      <c r="H58" s="52"/>
      <c r="I58" s="52"/>
      <c r="J58" s="52"/>
      <c r="K58" s="52"/>
      <c r="L58" s="52"/>
      <c r="M58" s="52"/>
      <c r="N58" s="52"/>
      <c r="O58" s="52"/>
      <c r="P58" s="52"/>
      <c r="Q58" s="52"/>
      <c r="R58" s="52"/>
      <c r="S58" s="52"/>
      <c r="T58" s="52"/>
      <c r="U58" s="52"/>
      <c r="V58" s="52"/>
      <c r="W58" s="52"/>
      <c r="X58" s="52"/>
      <c r="Y58" s="52"/>
      <c r="Z58" s="52"/>
      <c r="AA58" s="51"/>
      <c r="AB58" s="51"/>
      <c r="AC58" s="51"/>
      <c r="AD58" s="51"/>
      <c r="AE58" s="51"/>
      <c r="AF58" s="78"/>
    </row>
    <row r="59" spans="1:32" s="67" customFormat="1" ht="10.15">
      <c r="A59" s="12"/>
      <c r="B59" s="12"/>
      <c r="C59" s="52"/>
      <c r="D59" s="52"/>
      <c r="E59" s="52"/>
      <c r="F59" s="52"/>
      <c r="G59" s="52"/>
      <c r="H59" s="52"/>
      <c r="I59" s="52"/>
      <c r="J59" s="52"/>
      <c r="K59" s="52"/>
      <c r="L59" s="52"/>
      <c r="M59" s="52"/>
      <c r="N59" s="52"/>
      <c r="O59" s="52"/>
      <c r="P59" s="52"/>
      <c r="Q59" s="52"/>
      <c r="R59" s="52"/>
      <c r="S59" s="52"/>
      <c r="T59" s="52"/>
      <c r="U59" s="52"/>
      <c r="V59" s="52"/>
      <c r="W59" s="52"/>
      <c r="X59" s="52"/>
      <c r="Y59" s="52"/>
      <c r="Z59" s="52"/>
      <c r="AA59" s="51"/>
      <c r="AB59" s="51"/>
      <c r="AC59" s="51"/>
      <c r="AD59" s="51"/>
      <c r="AE59" s="51"/>
      <c r="AF59" s="78"/>
    </row>
    <row r="60" spans="1:32" s="67" customFormat="1" ht="10.15">
      <c r="A60" s="12"/>
      <c r="B60" s="12"/>
      <c r="C60" s="52"/>
      <c r="D60" s="52"/>
      <c r="E60" s="52"/>
      <c r="F60" s="52"/>
      <c r="G60" s="52"/>
      <c r="H60" s="52"/>
      <c r="I60" s="52"/>
      <c r="J60" s="52"/>
      <c r="K60" s="52"/>
      <c r="L60" s="52"/>
      <c r="M60" s="52"/>
      <c r="N60" s="52"/>
      <c r="O60" s="52"/>
      <c r="P60" s="52"/>
      <c r="Q60" s="52"/>
      <c r="R60" s="52"/>
      <c r="S60" s="52"/>
      <c r="T60" s="52"/>
      <c r="U60" s="52"/>
      <c r="V60" s="52"/>
      <c r="W60" s="52"/>
      <c r="X60" s="52"/>
      <c r="Y60" s="52"/>
      <c r="Z60" s="52"/>
      <c r="AA60" s="51"/>
      <c r="AB60" s="51"/>
      <c r="AC60" s="51"/>
      <c r="AD60" s="51"/>
      <c r="AE60" s="51"/>
      <c r="AF60" s="78"/>
    </row>
    <row r="61" spans="1:32" s="67" customFormat="1" ht="10.15">
      <c r="A61" s="12"/>
      <c r="B61" s="10"/>
      <c r="C61" s="79"/>
      <c r="D61" s="79"/>
      <c r="E61" s="79"/>
      <c r="F61" s="79"/>
      <c r="G61" s="79"/>
      <c r="H61" s="79"/>
      <c r="I61" s="79"/>
      <c r="J61" s="79"/>
      <c r="K61" s="79"/>
      <c r="L61" s="79"/>
      <c r="M61" s="79"/>
      <c r="N61" s="79"/>
      <c r="O61" s="79"/>
      <c r="P61" s="79"/>
      <c r="Q61" s="79"/>
      <c r="R61" s="79"/>
      <c r="S61" s="70"/>
      <c r="T61" s="70"/>
      <c r="U61" s="70"/>
      <c r="V61" s="70"/>
      <c r="W61" s="70"/>
      <c r="X61" s="70"/>
      <c r="Y61" s="70"/>
      <c r="Z61" s="70"/>
      <c r="AA61" s="51"/>
      <c r="AB61" s="51"/>
      <c r="AC61" s="51"/>
      <c r="AD61" s="51"/>
      <c r="AE61" s="51"/>
      <c r="AF61" s="78"/>
    </row>
    <row r="62" spans="1:32" s="75" customFormat="1" ht="10.15">
      <c r="A62" s="15"/>
      <c r="B62" s="30"/>
      <c r="C62" s="77"/>
      <c r="D62" s="77"/>
      <c r="E62" s="77"/>
      <c r="F62" s="77"/>
      <c r="G62" s="77"/>
      <c r="H62" s="77"/>
      <c r="I62" s="77"/>
      <c r="J62" s="77"/>
      <c r="K62" s="77"/>
      <c r="L62" s="77"/>
      <c r="M62" s="77"/>
      <c r="N62" s="77"/>
      <c r="O62" s="77"/>
      <c r="P62" s="77"/>
      <c r="Q62" s="77"/>
      <c r="R62" s="77"/>
      <c r="S62" s="77"/>
      <c r="T62" s="77"/>
      <c r="U62" s="77"/>
      <c r="V62" s="77"/>
      <c r="W62" s="77"/>
      <c r="X62" s="77"/>
      <c r="Y62" s="77"/>
      <c r="Z62" s="77"/>
      <c r="AA62" s="627"/>
      <c r="AB62" s="627"/>
      <c r="AC62" s="627"/>
      <c r="AD62" s="629"/>
      <c r="AE62" s="627"/>
      <c r="AF62" s="637"/>
    </row>
    <row r="63" spans="1:32" s="67" customFormat="1" ht="10.15">
      <c r="A63" s="15"/>
      <c r="B63" s="9"/>
      <c r="C63" s="70"/>
      <c r="D63" s="70"/>
      <c r="E63" s="70"/>
      <c r="F63" s="70"/>
      <c r="G63" s="70"/>
      <c r="H63" s="70"/>
      <c r="I63" s="70"/>
      <c r="J63" s="70"/>
      <c r="K63" s="70"/>
      <c r="L63" s="70"/>
      <c r="M63" s="70"/>
      <c r="N63" s="70"/>
      <c r="O63" s="70"/>
      <c r="P63" s="70"/>
      <c r="Q63" s="70"/>
      <c r="R63" s="70"/>
      <c r="S63" s="70"/>
      <c r="T63" s="70"/>
      <c r="U63" s="70"/>
      <c r="V63" s="70"/>
      <c r="W63" s="70"/>
      <c r="X63" s="70"/>
      <c r="Y63" s="70"/>
      <c r="Z63" s="70"/>
      <c r="AA63" s="53"/>
      <c r="AB63" s="53"/>
      <c r="AC63" s="53"/>
      <c r="AD63" s="53"/>
      <c r="AE63" s="53"/>
      <c r="AF63" s="74"/>
    </row>
    <row r="64" spans="1:32" s="67" customFormat="1" ht="10.15">
      <c r="A64" s="12"/>
      <c r="B64" s="9"/>
      <c r="C64" s="70"/>
      <c r="D64" s="70"/>
      <c r="E64" s="70"/>
      <c r="F64" s="70"/>
      <c r="G64" s="70"/>
      <c r="H64" s="70"/>
      <c r="I64" s="70"/>
      <c r="J64" s="70"/>
      <c r="K64" s="70"/>
      <c r="L64" s="70"/>
      <c r="M64" s="70"/>
      <c r="N64" s="70"/>
      <c r="O64" s="70"/>
      <c r="P64" s="70"/>
      <c r="Q64" s="70"/>
      <c r="R64" s="70"/>
      <c r="S64" s="70"/>
      <c r="T64" s="70"/>
      <c r="U64" s="70"/>
      <c r="V64" s="70"/>
      <c r="W64" s="70"/>
      <c r="X64" s="70"/>
      <c r="Y64" s="70"/>
      <c r="Z64" s="70"/>
      <c r="AA64" s="51"/>
      <c r="AB64" s="70"/>
      <c r="AC64" s="70"/>
      <c r="AD64" s="70"/>
      <c r="AE64" s="70"/>
      <c r="AF64" s="70"/>
    </row>
    <row r="65" spans="1:32" s="67" customFormat="1" ht="10.15">
      <c r="A65" s="15"/>
      <c r="B65" s="9"/>
      <c r="C65" s="70"/>
      <c r="D65" s="70"/>
      <c r="E65" s="70"/>
      <c r="F65" s="70"/>
      <c r="G65" s="70"/>
      <c r="H65" s="70"/>
      <c r="I65" s="70"/>
      <c r="J65" s="70"/>
      <c r="K65" s="70"/>
      <c r="L65" s="70"/>
      <c r="M65" s="70"/>
      <c r="N65" s="70"/>
      <c r="O65" s="70"/>
      <c r="P65" s="70"/>
      <c r="Q65" s="70"/>
      <c r="R65" s="70"/>
      <c r="S65" s="70"/>
      <c r="T65" s="70"/>
      <c r="U65" s="70"/>
      <c r="V65" s="70"/>
      <c r="W65" s="70"/>
      <c r="X65" s="70"/>
      <c r="Y65" s="70"/>
      <c r="Z65" s="70"/>
      <c r="AA65" s="73"/>
      <c r="AB65" s="73"/>
      <c r="AC65" s="73"/>
      <c r="AD65" s="73"/>
      <c r="AE65" s="73"/>
      <c r="AF65" s="72"/>
    </row>
    <row r="66" spans="1:32" s="124" customFormat="1" ht="13.15">
      <c r="A66" s="121"/>
      <c r="B66" s="125"/>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row>
    <row r="67" spans="1:32" s="67" customFormat="1" ht="10.15">
      <c r="A67" s="12"/>
      <c r="B67" s="9"/>
      <c r="C67" s="70"/>
      <c r="D67" s="70"/>
      <c r="E67" s="70"/>
      <c r="F67" s="70"/>
      <c r="G67" s="70"/>
      <c r="H67" s="70"/>
      <c r="I67" s="70"/>
      <c r="J67" s="70"/>
      <c r="K67" s="70"/>
      <c r="L67" s="70"/>
      <c r="M67" s="70"/>
      <c r="N67" s="70"/>
      <c r="O67" s="70"/>
      <c r="P67" s="70"/>
      <c r="Q67" s="70"/>
      <c r="R67" s="70"/>
      <c r="S67" s="70"/>
      <c r="T67" s="70"/>
      <c r="U67" s="70"/>
      <c r="V67" s="70"/>
      <c r="W67" s="70"/>
      <c r="X67" s="70"/>
      <c r="Y67" s="70"/>
      <c r="Z67" s="70"/>
      <c r="AA67" s="71"/>
      <c r="AB67" s="71"/>
      <c r="AC67" s="71"/>
      <c r="AD67" s="71"/>
      <c r="AE67" s="71"/>
      <c r="AF67" s="69"/>
    </row>
    <row r="68" spans="1:32" s="124" customFormat="1" ht="13.15">
      <c r="A68" s="121"/>
      <c r="B68" s="125"/>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row>
  </sheetData>
  <pageMargins left="0.2" right="0.2" top="0.5" bottom="0.5" header="0.5" footer="0.5"/>
  <pageSetup fitToWidth="0" fitToHeight="0"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DE52-A90A-7047-9E89-BB039C3E955F}">
  <sheetPr codeName="Sheet16">
    <tabColor rgb="FFFFC000"/>
  </sheetPr>
  <dimension ref="B2:K29"/>
  <sheetViews>
    <sheetView zoomScale="135" workbookViewId="0">
      <selection activeCell="D7" sqref="D7"/>
    </sheetView>
  </sheetViews>
  <sheetFormatPr defaultColWidth="11.5" defaultRowHeight="10.15"/>
  <cols>
    <col min="1" max="1" width="11.5" style="9"/>
    <col min="2" max="2" width="21.5" style="9" customWidth="1"/>
    <col min="3" max="3" width="15.8125" style="9" customWidth="1"/>
    <col min="4" max="4" width="13" style="9" customWidth="1"/>
    <col min="5" max="5" width="11.5" style="9"/>
    <col min="6" max="6" width="13.8125" style="9" customWidth="1"/>
    <col min="7" max="7" width="15" style="9" customWidth="1"/>
    <col min="8" max="16384" width="11.5" style="9"/>
  </cols>
  <sheetData>
    <row r="2" spans="2:11">
      <c r="F2" s="461"/>
    </row>
    <row r="3" spans="2:11" ht="20.25">
      <c r="B3" s="467" t="s">
        <v>649</v>
      </c>
      <c r="C3" s="467" t="s">
        <v>650</v>
      </c>
      <c r="D3" s="467" t="s">
        <v>651</v>
      </c>
      <c r="E3" s="467" t="s">
        <v>652</v>
      </c>
      <c r="F3" s="474" t="s">
        <v>653</v>
      </c>
      <c r="G3" s="474" t="s">
        <v>654</v>
      </c>
      <c r="H3" s="30"/>
      <c r="I3" s="30"/>
      <c r="J3" s="30"/>
      <c r="K3" s="30"/>
    </row>
    <row r="4" spans="2:11" ht="20.25">
      <c r="B4" s="466" t="s">
        <v>655</v>
      </c>
      <c r="C4" s="295">
        <v>2.5231919801277503</v>
      </c>
      <c r="D4" s="295">
        <v>19.201606805293007</v>
      </c>
      <c r="E4" s="295">
        <v>22.565391939066963</v>
      </c>
      <c r="F4" s="16">
        <v>2.41</v>
      </c>
      <c r="G4" s="16">
        <v>18.149999999999999</v>
      </c>
      <c r="H4" s="295"/>
      <c r="I4" s="295"/>
      <c r="J4" s="295"/>
    </row>
    <row r="5" spans="2:11">
      <c r="B5" s="466" t="s">
        <v>656</v>
      </c>
      <c r="C5" s="295">
        <v>0.49587571666358427</v>
      </c>
      <c r="D5" s="295">
        <v>6.4815471394037072</v>
      </c>
      <c r="E5" s="295">
        <v>16.151807228915665</v>
      </c>
      <c r="F5" s="16">
        <v>0.55000000000000004</v>
      </c>
      <c r="G5" s="16">
        <v>7.31</v>
      </c>
      <c r="H5" s="295"/>
      <c r="I5" s="295"/>
      <c r="J5" s="295"/>
    </row>
    <row r="6" spans="2:11">
      <c r="B6" s="466" t="s">
        <v>657</v>
      </c>
      <c r="C6" s="295">
        <v>0.72715762959034869</v>
      </c>
      <c r="D6" s="295">
        <v>6.7925077399380802</v>
      </c>
      <c r="E6" s="295">
        <v>9.838475336322869</v>
      </c>
      <c r="F6" s="16">
        <v>0.72</v>
      </c>
      <c r="G6" s="16">
        <v>6.32</v>
      </c>
      <c r="H6" s="295"/>
      <c r="I6" s="295"/>
      <c r="J6" s="295"/>
    </row>
    <row r="7" spans="2:11">
      <c r="B7" s="466" t="s">
        <v>658</v>
      </c>
      <c r="C7" s="295">
        <v>0.48716702184336708</v>
      </c>
      <c r="D7" s="295">
        <v>6.3666666666666671</v>
      </c>
      <c r="E7" s="295">
        <v>13.397985347985347</v>
      </c>
      <c r="F7" s="16">
        <v>0.48</v>
      </c>
      <c r="G7" s="16">
        <v>6.27</v>
      </c>
      <c r="H7" s="295"/>
      <c r="I7" s="295"/>
      <c r="J7" s="295"/>
    </row>
    <row r="8" spans="2:11">
      <c r="B8" s="466" t="s">
        <v>659</v>
      </c>
      <c r="C8" s="295">
        <v>0.81276744256623479</v>
      </c>
      <c r="D8" s="295">
        <v>5.8341139309443415</v>
      </c>
      <c r="E8" s="295">
        <v>7.2362874898676033</v>
      </c>
      <c r="F8" s="16">
        <v>0.83</v>
      </c>
      <c r="G8" s="16">
        <v>7.08</v>
      </c>
      <c r="H8" s="295"/>
      <c r="I8" s="295"/>
      <c r="J8" s="295"/>
    </row>
    <row r="9" spans="2:11">
      <c r="B9" s="465" t="s">
        <v>660</v>
      </c>
      <c r="C9" s="464">
        <v>0.37113796400938887</v>
      </c>
      <c r="D9" s="464">
        <v>5.7536388140161723</v>
      </c>
      <c r="E9" s="464">
        <v>9.352026286966046</v>
      </c>
      <c r="F9" s="463">
        <v>0.4</v>
      </c>
      <c r="G9" s="463">
        <v>4.6900000000000004</v>
      </c>
      <c r="H9" s="295"/>
      <c r="I9" s="295"/>
      <c r="J9" s="295"/>
    </row>
    <row r="10" spans="2:11">
      <c r="B10" s="462"/>
      <c r="C10" s="295"/>
      <c r="D10" s="295"/>
      <c r="E10" s="295"/>
      <c r="F10" s="16"/>
      <c r="G10" s="16"/>
      <c r="H10" s="295"/>
      <c r="I10" s="295"/>
      <c r="J10" s="295"/>
    </row>
    <row r="11" spans="2:11">
      <c r="B11" s="30" t="s">
        <v>661</v>
      </c>
      <c r="C11" s="475">
        <f>AVERAGE(C4:C9)</f>
        <v>0.90288295913344585</v>
      </c>
      <c r="D11" s="475">
        <f>AVERAGE(D4:D9)</f>
        <v>8.4050135160436614</v>
      </c>
      <c r="E11" s="475">
        <f>AVERAGE(E4:E9)</f>
        <v>13.090328938187417</v>
      </c>
      <c r="F11" s="475">
        <f>AVERAGE(F4:F9)</f>
        <v>0.89833333333333343</v>
      </c>
      <c r="G11" s="475">
        <f>AVERAGE(G4:G9)</f>
        <v>8.3033333333333328</v>
      </c>
      <c r="H11" s="295"/>
      <c r="I11" s="295"/>
      <c r="J11" s="295"/>
    </row>
    <row r="12" spans="2:11">
      <c r="B12" s="9" t="s">
        <v>662</v>
      </c>
      <c r="C12" s="295">
        <f>MEDIAN(C4:C9)</f>
        <v>0.61151667312696645</v>
      </c>
      <c r="D12" s="295">
        <f>MEDIAN(D4:D9)</f>
        <v>6.4241069030351872</v>
      </c>
      <c r="E12" s="295">
        <f>MEDIAN(E4:E9)</f>
        <v>11.618230342154108</v>
      </c>
      <c r="F12" s="295">
        <f>MEDIAN(F4:F9)</f>
        <v>0.63500000000000001</v>
      </c>
      <c r="G12" s="295">
        <f>MEDIAN(G4:G9)</f>
        <v>6.7</v>
      </c>
      <c r="H12" s="295"/>
      <c r="I12" s="295"/>
      <c r="J12" s="295"/>
    </row>
    <row r="13" spans="2:11">
      <c r="B13" s="9" t="s">
        <v>663</v>
      </c>
      <c r="C13" s="295">
        <f>QUARTILE(C4:C9,1)</f>
        <v>0.48934419554842135</v>
      </c>
      <c r="D13" s="295">
        <f>QUARTILE(D4:D9,1)</f>
        <v>5.9672521148749231</v>
      </c>
      <c r="E13" s="295">
        <f>QUARTILE(E4:E9,1)</f>
        <v>9.4736385493052513</v>
      </c>
      <c r="F13" s="295">
        <f>QUARTILE(F4:F9,1)</f>
        <v>0.4975</v>
      </c>
      <c r="G13" s="295">
        <f>QUARTILE(G4:G9,1)</f>
        <v>6.2824999999999998</v>
      </c>
      <c r="H13" s="295"/>
      <c r="I13" s="295"/>
      <c r="J13" s="295"/>
    </row>
    <row r="14" spans="2:11">
      <c r="B14" s="9" t="s">
        <v>664</v>
      </c>
      <c r="C14" s="295">
        <f>QUARTILE(C5:C10,3)</f>
        <v>0.72715762959034869</v>
      </c>
      <c r="D14" s="295">
        <f>QUARTILE(D5:D10,3)</f>
        <v>6.4815471394037072</v>
      </c>
      <c r="E14" s="295">
        <f>QUARTILE(E5:E10,3)</f>
        <v>13.397985347985347</v>
      </c>
      <c r="F14" s="295">
        <f>QUARTILE(F5:F10,3)</f>
        <v>0.72</v>
      </c>
      <c r="G14" s="295">
        <f>QUARTILE(G5:G10,3)</f>
        <v>7.08</v>
      </c>
      <c r="H14" s="295"/>
      <c r="I14" s="295"/>
      <c r="J14" s="295"/>
    </row>
    <row r="15" spans="2:11">
      <c r="B15" s="462"/>
      <c r="C15" s="295"/>
      <c r="D15" s="295"/>
      <c r="E15" s="295"/>
      <c r="F15" s="16"/>
      <c r="G15" s="16"/>
      <c r="H15" s="295"/>
      <c r="I15" s="295"/>
      <c r="J15" s="295"/>
    </row>
    <row r="16" spans="2:11">
      <c r="B16" s="462"/>
      <c r="C16" s="295"/>
      <c r="D16" s="295"/>
      <c r="E16" s="295"/>
      <c r="F16" s="16"/>
      <c r="G16" s="16"/>
      <c r="H16" s="295"/>
      <c r="I16" s="295"/>
      <c r="J16" s="295"/>
    </row>
    <row r="18" spans="2:9" ht="20" customHeight="1">
      <c r="B18" s="467" t="s">
        <v>649</v>
      </c>
      <c r="C18" s="467" t="s">
        <v>665</v>
      </c>
      <c r="D18" s="468" t="s">
        <v>666</v>
      </c>
      <c r="E18" s="467" t="s">
        <v>667</v>
      </c>
      <c r="F18" s="474" t="s">
        <v>668</v>
      </c>
      <c r="G18" s="467" t="s">
        <v>669</v>
      </c>
      <c r="H18" s="30"/>
      <c r="I18" s="30"/>
    </row>
    <row r="19" spans="2:9" ht="20.25">
      <c r="B19" s="466" t="s">
        <v>655</v>
      </c>
      <c r="C19" s="9">
        <v>4.3</v>
      </c>
      <c r="D19" s="9">
        <v>119.88</v>
      </c>
      <c r="E19" s="295">
        <v>27.879069767441859</v>
      </c>
      <c r="F19" s="16">
        <v>26.6</v>
      </c>
      <c r="G19" s="9">
        <v>0.96</v>
      </c>
    </row>
    <row r="20" spans="2:9">
      <c r="B20" s="466" t="s">
        <v>656</v>
      </c>
      <c r="C20" s="9">
        <v>1.5</v>
      </c>
      <c r="D20" s="9">
        <v>9.15</v>
      </c>
      <c r="E20" s="295">
        <v>6.1000000000000005</v>
      </c>
      <c r="F20" s="16">
        <v>23.07</v>
      </c>
      <c r="G20" s="9">
        <v>1.96</v>
      </c>
    </row>
    <row r="21" spans="2:9">
      <c r="B21" s="466" t="s">
        <v>657</v>
      </c>
      <c r="C21" s="9">
        <v>2.2000000000000002</v>
      </c>
      <c r="D21" s="9">
        <v>21.56</v>
      </c>
      <c r="E21" s="295">
        <v>9.7999999999999989</v>
      </c>
      <c r="F21" s="16">
        <v>8.9700000000000006</v>
      </c>
      <c r="G21" s="9">
        <v>2.37</v>
      </c>
    </row>
    <row r="22" spans="2:9">
      <c r="B22" s="466" t="s">
        <v>658</v>
      </c>
      <c r="C22" s="9">
        <v>2.1</v>
      </c>
      <c r="D22" s="9">
        <v>24.37</v>
      </c>
      <c r="E22" s="295">
        <v>11.604761904761904</v>
      </c>
      <c r="F22" s="16">
        <v>11.11</v>
      </c>
      <c r="G22" s="9">
        <v>2.61</v>
      </c>
    </row>
    <row r="23" spans="2:9">
      <c r="B23" s="466" t="s">
        <v>659</v>
      </c>
      <c r="C23" s="9">
        <v>36.799999999999997</v>
      </c>
      <c r="D23" s="9">
        <v>367.49</v>
      </c>
      <c r="E23" s="295">
        <v>9.9861413043478269</v>
      </c>
      <c r="F23" s="16">
        <v>12.85</v>
      </c>
      <c r="G23" s="9">
        <v>0.93</v>
      </c>
    </row>
    <row r="24" spans="2:9">
      <c r="B24" s="465" t="s">
        <v>660</v>
      </c>
      <c r="C24" s="292">
        <v>2.2999999999999998</v>
      </c>
      <c r="D24" s="292">
        <v>13.58</v>
      </c>
      <c r="E24" s="464">
        <v>5.9043478260869566</v>
      </c>
      <c r="F24" s="463">
        <v>6.42</v>
      </c>
      <c r="G24" s="292">
        <v>1.47</v>
      </c>
    </row>
    <row r="25" spans="2:9">
      <c r="B25" s="462"/>
      <c r="F25" s="461"/>
    </row>
    <row r="26" spans="2:9">
      <c r="B26" s="30" t="s">
        <v>661</v>
      </c>
      <c r="E26" s="475">
        <f>AVERAGE(E19:E24)</f>
        <v>11.879053467106424</v>
      </c>
      <c r="F26" s="475">
        <f>AVERAGE(F19:F24)</f>
        <v>14.836666666666666</v>
      </c>
      <c r="G26" s="475">
        <f>AVERAGE(G19:G24)</f>
        <v>1.7166666666666668</v>
      </c>
    </row>
    <row r="27" spans="2:9">
      <c r="B27" s="9" t="s">
        <v>662</v>
      </c>
      <c r="E27" s="295">
        <f>MEDIAN(E19:E24)</f>
        <v>9.8930706521739129</v>
      </c>
      <c r="F27" s="295">
        <f>MEDIAN(F19:F24)</f>
        <v>11.98</v>
      </c>
      <c r="G27" s="295">
        <f>MEDIAN(G19:G24)</f>
        <v>1.7149999999999999</v>
      </c>
    </row>
    <row r="28" spans="2:9">
      <c r="B28" s="9" t="s">
        <v>663</v>
      </c>
      <c r="E28" s="295">
        <f>QUARTILE(E19:E24,1)</f>
        <v>7.0250000000000004</v>
      </c>
      <c r="F28" s="295">
        <f>QUARTILE(F19:F24,1)</f>
        <v>9.5050000000000008</v>
      </c>
      <c r="G28" s="295">
        <f>QUARTILE(G19:G24,1)</f>
        <v>1.0874999999999999</v>
      </c>
    </row>
    <row r="29" spans="2:9">
      <c r="B29" s="9" t="s">
        <v>664</v>
      </c>
      <c r="E29" s="295">
        <f>QUARTILE(E20:E25,3)</f>
        <v>9.9861413043478269</v>
      </c>
      <c r="F29" s="295">
        <f>QUARTILE(F20:F25,3)</f>
        <v>12.85</v>
      </c>
      <c r="G29" s="295">
        <f>QUARTILE(G20:G25,3)</f>
        <v>2.37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3A630-526B-B245-AA01-4594A0E4DFB8}">
  <sheetPr codeName="Sheet17">
    <tabColor rgb="FFFFC000"/>
    <outlinePr summaryBelow="0" summaryRight="0"/>
    <pageSetUpPr autoPageBreaks="0"/>
  </sheetPr>
  <dimension ref="A4:IU39"/>
  <sheetViews>
    <sheetView topLeftCell="A3" zoomScale="167" workbookViewId="0">
      <selection activeCell="C30" sqref="C30"/>
    </sheetView>
  </sheetViews>
  <sheetFormatPr defaultColWidth="11.5" defaultRowHeight="10.15"/>
  <cols>
    <col min="1" max="1" width="47.8125" style="9" customWidth="1"/>
    <col min="2" max="3" width="25.8125" style="9" customWidth="1"/>
    <col min="4" max="9" width="9.3125" style="9" customWidth="1"/>
    <col min="10" max="256" width="8.8125" style="9" customWidth="1"/>
    <col min="257" max="16384" width="11.5" style="9"/>
  </cols>
  <sheetData>
    <row r="4" spans="1:255" ht="16.149999999999999">
      <c r="A4" s="33" t="s">
        <v>670</v>
      </c>
    </row>
    <row r="7" spans="1:255">
      <c r="A7" s="18" t="s">
        <v>671</v>
      </c>
      <c r="B7" s="18"/>
      <c r="C7" s="18"/>
      <c r="D7" s="470"/>
      <c r="E7" s="470"/>
      <c r="F7" s="470"/>
      <c r="G7" s="470"/>
      <c r="H7" s="470"/>
      <c r="I7" s="470"/>
      <c r="J7" s="470"/>
      <c r="K7" s="470"/>
      <c r="L7" s="470"/>
      <c r="M7" s="470"/>
      <c r="N7" s="470"/>
      <c r="O7" s="470"/>
      <c r="P7" s="470"/>
      <c r="Q7" s="470"/>
      <c r="R7" s="470"/>
      <c r="S7" s="470"/>
      <c r="T7" s="470"/>
      <c r="U7" s="470"/>
      <c r="V7" s="470"/>
      <c r="W7" s="470"/>
      <c r="X7" s="470"/>
      <c r="Y7" s="470"/>
      <c r="Z7" s="470"/>
      <c r="AA7" s="470"/>
      <c r="AB7" s="470"/>
      <c r="AC7" s="470"/>
      <c r="AD7" s="470"/>
      <c r="AE7" s="470"/>
      <c r="AF7" s="470"/>
      <c r="AG7" s="470"/>
      <c r="AH7" s="470"/>
      <c r="AI7" s="470"/>
      <c r="AJ7" s="470"/>
      <c r="AK7" s="470"/>
      <c r="AL7" s="470"/>
      <c r="AM7" s="470"/>
      <c r="AN7" s="470"/>
      <c r="AO7" s="470"/>
      <c r="AP7" s="470"/>
      <c r="AQ7" s="470"/>
      <c r="AR7" s="470"/>
      <c r="AS7" s="470"/>
      <c r="AT7" s="470"/>
      <c r="AU7" s="470"/>
      <c r="AV7" s="470"/>
      <c r="AW7" s="470"/>
      <c r="AX7" s="470"/>
      <c r="AY7" s="470"/>
      <c r="AZ7" s="470"/>
      <c r="BA7" s="470"/>
      <c r="BB7" s="470"/>
      <c r="BC7" s="470"/>
      <c r="BD7" s="470"/>
      <c r="BE7" s="470"/>
      <c r="BF7" s="470"/>
      <c r="BG7" s="470"/>
      <c r="BH7" s="470"/>
      <c r="BI7" s="470"/>
      <c r="BJ7" s="470"/>
      <c r="BK7" s="470"/>
      <c r="BL7" s="470"/>
      <c r="BM7" s="470"/>
      <c r="BN7" s="470"/>
      <c r="BO7" s="470"/>
      <c r="BP7" s="470"/>
      <c r="BQ7" s="470"/>
      <c r="BR7" s="470"/>
      <c r="BS7" s="470"/>
      <c r="BT7" s="470"/>
      <c r="BU7" s="470"/>
      <c r="BV7" s="470"/>
      <c r="BW7" s="470"/>
      <c r="BX7" s="470"/>
      <c r="BY7" s="470"/>
      <c r="BZ7" s="470"/>
      <c r="CA7" s="470"/>
      <c r="CB7" s="470"/>
      <c r="CC7" s="470"/>
      <c r="CD7" s="470"/>
      <c r="CE7" s="470"/>
      <c r="CF7" s="470"/>
      <c r="CG7" s="470"/>
      <c r="CH7" s="470"/>
      <c r="CI7" s="470"/>
      <c r="CJ7" s="470"/>
      <c r="CK7" s="470"/>
      <c r="CL7" s="470"/>
      <c r="CM7" s="470"/>
      <c r="CN7" s="470"/>
      <c r="CO7" s="470"/>
      <c r="CP7" s="470"/>
      <c r="CQ7" s="470"/>
      <c r="CR7" s="470"/>
      <c r="CS7" s="470"/>
      <c r="CT7" s="470"/>
      <c r="CU7" s="470"/>
      <c r="CV7" s="470"/>
      <c r="CW7" s="470"/>
      <c r="CX7" s="470"/>
      <c r="CY7" s="470"/>
      <c r="CZ7" s="470"/>
      <c r="DA7" s="470"/>
      <c r="DB7" s="470"/>
      <c r="DC7" s="470"/>
      <c r="DD7" s="470"/>
      <c r="DE7" s="470"/>
      <c r="DF7" s="470"/>
      <c r="DG7" s="470"/>
      <c r="DH7" s="470"/>
      <c r="DI7" s="470"/>
      <c r="DJ7" s="470"/>
      <c r="DK7" s="470"/>
      <c r="DL7" s="470"/>
      <c r="DM7" s="470"/>
      <c r="DN7" s="470"/>
      <c r="DO7" s="470"/>
      <c r="DP7" s="470"/>
      <c r="DQ7" s="470"/>
      <c r="DR7" s="470"/>
      <c r="DS7" s="470"/>
      <c r="DT7" s="470"/>
      <c r="DU7" s="470"/>
      <c r="DV7" s="470"/>
      <c r="DW7" s="470"/>
      <c r="DX7" s="470"/>
      <c r="DY7" s="470"/>
      <c r="DZ7" s="470"/>
      <c r="EA7" s="470"/>
      <c r="EB7" s="470"/>
      <c r="EC7" s="470"/>
      <c r="ED7" s="470"/>
      <c r="EE7" s="470"/>
      <c r="EF7" s="470"/>
      <c r="EG7" s="470"/>
      <c r="EH7" s="470"/>
      <c r="EI7" s="470"/>
      <c r="EJ7" s="470"/>
      <c r="EK7" s="470"/>
      <c r="EL7" s="470"/>
      <c r="EM7" s="470"/>
      <c r="EN7" s="470"/>
      <c r="EO7" s="470"/>
      <c r="EP7" s="470"/>
      <c r="EQ7" s="470"/>
      <c r="ER7" s="470"/>
      <c r="ES7" s="470"/>
      <c r="ET7" s="470"/>
      <c r="EU7" s="470"/>
      <c r="EV7" s="470"/>
      <c r="EW7" s="470"/>
      <c r="EX7" s="470"/>
      <c r="EY7" s="470"/>
      <c r="EZ7" s="470"/>
      <c r="FA7" s="470"/>
      <c r="FB7" s="470"/>
      <c r="FC7" s="470"/>
      <c r="FD7" s="470"/>
      <c r="FE7" s="470"/>
      <c r="FF7" s="470"/>
      <c r="FG7" s="470"/>
      <c r="FH7" s="470"/>
      <c r="FI7" s="470"/>
      <c r="FJ7" s="470"/>
      <c r="FK7" s="470"/>
      <c r="FL7" s="470"/>
      <c r="FM7" s="470"/>
      <c r="FN7" s="470"/>
      <c r="FO7" s="470"/>
      <c r="FP7" s="470"/>
      <c r="FQ7" s="470"/>
      <c r="FR7" s="470"/>
      <c r="FS7" s="470"/>
      <c r="FT7" s="470"/>
      <c r="FU7" s="470"/>
      <c r="FV7" s="470"/>
      <c r="FW7" s="470"/>
      <c r="FX7" s="470"/>
      <c r="FY7" s="470"/>
      <c r="FZ7" s="470"/>
      <c r="GA7" s="470"/>
      <c r="GB7" s="470"/>
      <c r="GC7" s="470"/>
      <c r="GD7" s="470"/>
      <c r="GE7" s="470"/>
      <c r="GF7" s="470"/>
      <c r="GG7" s="470"/>
      <c r="GH7" s="470"/>
      <c r="GI7" s="470"/>
      <c r="GJ7" s="470"/>
      <c r="GK7" s="470"/>
      <c r="GL7" s="470"/>
      <c r="GM7" s="470"/>
      <c r="GN7" s="470"/>
      <c r="GO7" s="470"/>
      <c r="GP7" s="470"/>
      <c r="GQ7" s="470"/>
      <c r="GR7" s="470"/>
      <c r="GS7" s="470"/>
      <c r="GT7" s="470"/>
      <c r="GU7" s="470"/>
      <c r="GV7" s="470"/>
      <c r="GW7" s="470"/>
      <c r="GX7" s="470"/>
      <c r="GY7" s="470"/>
      <c r="GZ7" s="470"/>
      <c r="HA7" s="470"/>
      <c r="HB7" s="470"/>
      <c r="HC7" s="470"/>
      <c r="HD7" s="470"/>
      <c r="HE7" s="470"/>
      <c r="HF7" s="470"/>
      <c r="HG7" s="470"/>
      <c r="HH7" s="470"/>
      <c r="HI7" s="470"/>
      <c r="HJ7" s="470"/>
      <c r="HK7" s="470"/>
      <c r="HL7" s="470"/>
      <c r="HM7" s="470"/>
      <c r="HN7" s="470"/>
      <c r="HO7" s="470"/>
      <c r="HP7" s="470"/>
      <c r="HQ7" s="470"/>
      <c r="HR7" s="470"/>
      <c r="HS7" s="470"/>
      <c r="HT7" s="470"/>
      <c r="HU7" s="470"/>
      <c r="HV7" s="470"/>
      <c r="HW7" s="470"/>
      <c r="HX7" s="470"/>
      <c r="HY7" s="470"/>
      <c r="HZ7" s="470"/>
      <c r="IA7" s="470"/>
      <c r="IB7" s="470"/>
      <c r="IC7" s="470"/>
      <c r="ID7" s="470"/>
      <c r="IE7" s="470"/>
      <c r="IF7" s="470"/>
      <c r="IG7" s="470"/>
      <c r="IH7" s="470"/>
      <c r="II7" s="470"/>
      <c r="IJ7" s="470"/>
      <c r="IK7" s="470"/>
      <c r="IL7" s="470"/>
      <c r="IM7" s="470"/>
      <c r="IN7" s="470"/>
      <c r="IO7" s="470"/>
      <c r="IP7" s="470"/>
      <c r="IQ7" s="470"/>
      <c r="IR7" s="470"/>
      <c r="IS7" s="470"/>
      <c r="IT7" s="470"/>
      <c r="IU7" s="470"/>
    </row>
    <row r="8" spans="1:255">
      <c r="A8" s="30" t="s">
        <v>2</v>
      </c>
      <c r="B8" s="84" t="s">
        <v>672</v>
      </c>
    </row>
    <row r="9" spans="1:255">
      <c r="A9" s="30" t="s">
        <v>10</v>
      </c>
      <c r="B9" s="84" t="s">
        <v>11</v>
      </c>
    </row>
    <row r="10" spans="1:255">
      <c r="A10" s="30" t="s">
        <v>673</v>
      </c>
      <c r="B10" s="471">
        <v>45742</v>
      </c>
    </row>
    <row r="11" spans="1:255">
      <c r="A11" s="12"/>
    </row>
    <row r="13" spans="1:255">
      <c r="A13" s="18" t="s">
        <v>674</v>
      </c>
      <c r="B13" s="18"/>
      <c r="C13" s="18"/>
      <c r="D13" s="470"/>
      <c r="E13" s="470"/>
      <c r="F13" s="470"/>
      <c r="G13" s="470"/>
      <c r="H13" s="470"/>
      <c r="I13" s="470"/>
      <c r="J13" s="470"/>
      <c r="K13" s="470"/>
      <c r="L13" s="470"/>
      <c r="M13" s="470"/>
      <c r="N13" s="470"/>
      <c r="O13" s="470"/>
      <c r="P13" s="470"/>
      <c r="Q13" s="470"/>
      <c r="R13" s="470"/>
      <c r="S13" s="470"/>
      <c r="T13" s="470"/>
      <c r="U13" s="470"/>
      <c r="V13" s="470"/>
      <c r="W13" s="470"/>
      <c r="X13" s="470"/>
      <c r="Y13" s="470"/>
      <c r="Z13" s="470"/>
      <c r="AA13" s="470"/>
      <c r="AB13" s="470"/>
      <c r="AC13" s="470"/>
      <c r="AD13" s="470"/>
      <c r="AE13" s="470"/>
      <c r="AF13" s="470"/>
      <c r="AG13" s="470"/>
      <c r="AH13" s="470"/>
      <c r="AI13" s="470"/>
      <c r="AJ13" s="470"/>
      <c r="AK13" s="470"/>
      <c r="AL13" s="470"/>
      <c r="AM13" s="470"/>
      <c r="AN13" s="470"/>
      <c r="AO13" s="470"/>
      <c r="AP13" s="470"/>
      <c r="AQ13" s="470"/>
      <c r="AR13" s="470"/>
      <c r="AS13" s="470"/>
      <c r="AT13" s="470"/>
      <c r="AU13" s="470"/>
      <c r="AV13" s="470"/>
      <c r="AW13" s="470"/>
      <c r="AX13" s="470"/>
      <c r="AY13" s="470"/>
      <c r="AZ13" s="470"/>
      <c r="BA13" s="470"/>
      <c r="BB13" s="470"/>
      <c r="BC13" s="470"/>
      <c r="BD13" s="470"/>
      <c r="BE13" s="470"/>
      <c r="BF13" s="470"/>
      <c r="BG13" s="470"/>
      <c r="BH13" s="470"/>
      <c r="BI13" s="470"/>
      <c r="BJ13" s="470"/>
      <c r="BK13" s="470"/>
      <c r="BL13" s="470"/>
      <c r="BM13" s="470"/>
      <c r="BN13" s="470"/>
      <c r="BO13" s="470"/>
      <c r="BP13" s="470"/>
      <c r="BQ13" s="470"/>
      <c r="BR13" s="470"/>
      <c r="BS13" s="470"/>
      <c r="BT13" s="470"/>
      <c r="BU13" s="470"/>
      <c r="BV13" s="470"/>
      <c r="BW13" s="470"/>
      <c r="BX13" s="470"/>
      <c r="BY13" s="470"/>
      <c r="BZ13" s="470"/>
      <c r="CA13" s="470"/>
      <c r="CB13" s="470"/>
      <c r="CC13" s="470"/>
      <c r="CD13" s="470"/>
      <c r="CE13" s="470"/>
      <c r="CF13" s="470"/>
      <c r="CG13" s="470"/>
      <c r="CH13" s="470"/>
      <c r="CI13" s="470"/>
      <c r="CJ13" s="470"/>
      <c r="CK13" s="470"/>
      <c r="CL13" s="470"/>
      <c r="CM13" s="470"/>
      <c r="CN13" s="470"/>
      <c r="CO13" s="470"/>
      <c r="CP13" s="470"/>
      <c r="CQ13" s="470"/>
      <c r="CR13" s="470"/>
      <c r="CS13" s="470"/>
      <c r="CT13" s="470"/>
      <c r="CU13" s="470"/>
      <c r="CV13" s="470"/>
      <c r="CW13" s="470"/>
      <c r="CX13" s="470"/>
      <c r="CY13" s="470"/>
      <c r="CZ13" s="470"/>
      <c r="DA13" s="470"/>
      <c r="DB13" s="470"/>
      <c r="DC13" s="470"/>
      <c r="DD13" s="470"/>
      <c r="DE13" s="470"/>
      <c r="DF13" s="470"/>
      <c r="DG13" s="470"/>
      <c r="DH13" s="470"/>
      <c r="DI13" s="470"/>
      <c r="DJ13" s="470"/>
      <c r="DK13" s="470"/>
      <c r="DL13" s="470"/>
      <c r="DM13" s="470"/>
      <c r="DN13" s="470"/>
      <c r="DO13" s="470"/>
      <c r="DP13" s="470"/>
      <c r="DQ13" s="470"/>
      <c r="DR13" s="470"/>
      <c r="DS13" s="470"/>
      <c r="DT13" s="470"/>
      <c r="DU13" s="470"/>
      <c r="DV13" s="470"/>
      <c r="DW13" s="470"/>
      <c r="DX13" s="470"/>
      <c r="DY13" s="470"/>
      <c r="DZ13" s="470"/>
      <c r="EA13" s="470"/>
      <c r="EB13" s="470"/>
      <c r="EC13" s="470"/>
      <c r="ED13" s="470"/>
      <c r="EE13" s="470"/>
      <c r="EF13" s="470"/>
      <c r="EG13" s="470"/>
      <c r="EH13" s="470"/>
      <c r="EI13" s="470"/>
      <c r="EJ13" s="470"/>
      <c r="EK13" s="470"/>
      <c r="EL13" s="470"/>
      <c r="EM13" s="470"/>
      <c r="EN13" s="470"/>
      <c r="EO13" s="470"/>
      <c r="EP13" s="470"/>
      <c r="EQ13" s="470"/>
      <c r="ER13" s="470"/>
      <c r="ES13" s="470"/>
      <c r="ET13" s="470"/>
      <c r="EU13" s="470"/>
      <c r="EV13" s="470"/>
      <c r="EW13" s="470"/>
      <c r="EX13" s="470"/>
      <c r="EY13" s="470"/>
      <c r="EZ13" s="470"/>
      <c r="FA13" s="470"/>
      <c r="FB13" s="470"/>
      <c r="FC13" s="470"/>
      <c r="FD13" s="470"/>
      <c r="FE13" s="470"/>
      <c r="FF13" s="470"/>
      <c r="FG13" s="470"/>
      <c r="FH13" s="470"/>
      <c r="FI13" s="470"/>
      <c r="FJ13" s="470"/>
      <c r="FK13" s="470"/>
      <c r="FL13" s="470"/>
      <c r="FM13" s="470"/>
      <c r="FN13" s="470"/>
      <c r="FO13" s="470"/>
      <c r="FP13" s="470"/>
      <c r="FQ13" s="470"/>
      <c r="FR13" s="470"/>
      <c r="FS13" s="470"/>
      <c r="FT13" s="470"/>
      <c r="FU13" s="470"/>
      <c r="FV13" s="470"/>
      <c r="FW13" s="470"/>
      <c r="FX13" s="470"/>
      <c r="FY13" s="470"/>
      <c r="FZ13" s="470"/>
      <c r="GA13" s="470"/>
      <c r="GB13" s="470"/>
      <c r="GC13" s="470"/>
      <c r="GD13" s="470"/>
      <c r="GE13" s="470"/>
      <c r="GF13" s="470"/>
      <c r="GG13" s="470"/>
      <c r="GH13" s="470"/>
      <c r="GI13" s="470"/>
      <c r="GJ13" s="470"/>
      <c r="GK13" s="470"/>
      <c r="GL13" s="470"/>
      <c r="GM13" s="470"/>
      <c r="GN13" s="470"/>
      <c r="GO13" s="470"/>
      <c r="GP13" s="470"/>
      <c r="GQ13" s="470"/>
      <c r="GR13" s="470"/>
      <c r="GS13" s="470"/>
      <c r="GT13" s="470"/>
      <c r="GU13" s="470"/>
      <c r="GV13" s="470"/>
      <c r="GW13" s="470"/>
      <c r="GX13" s="470"/>
      <c r="GY13" s="470"/>
      <c r="GZ13" s="470"/>
      <c r="HA13" s="470"/>
      <c r="HB13" s="470"/>
      <c r="HC13" s="470"/>
      <c r="HD13" s="470"/>
      <c r="HE13" s="470"/>
      <c r="HF13" s="470"/>
      <c r="HG13" s="470"/>
      <c r="HH13" s="470"/>
      <c r="HI13" s="470"/>
      <c r="HJ13" s="470"/>
      <c r="HK13" s="470"/>
      <c r="HL13" s="470"/>
      <c r="HM13" s="470"/>
      <c r="HN13" s="470"/>
      <c r="HO13" s="470"/>
      <c r="HP13" s="470"/>
      <c r="HQ13" s="470"/>
      <c r="HR13" s="470"/>
      <c r="HS13" s="470"/>
      <c r="HT13" s="470"/>
      <c r="HU13" s="470"/>
      <c r="HV13" s="470"/>
      <c r="HW13" s="470"/>
      <c r="HX13" s="470"/>
      <c r="HY13" s="470"/>
      <c r="HZ13" s="470"/>
      <c r="IA13" s="470"/>
      <c r="IB13" s="470"/>
      <c r="IC13" s="470"/>
      <c r="ID13" s="470"/>
      <c r="IE13" s="470"/>
      <c r="IF13" s="470"/>
      <c r="IG13" s="470"/>
      <c r="IH13" s="470"/>
      <c r="II13" s="470"/>
      <c r="IJ13" s="470"/>
      <c r="IK13" s="470"/>
      <c r="IL13" s="470"/>
      <c r="IM13" s="470"/>
      <c r="IN13" s="470"/>
      <c r="IO13" s="470"/>
      <c r="IP13" s="470"/>
      <c r="IQ13" s="470"/>
      <c r="IR13" s="470"/>
      <c r="IS13" s="470"/>
      <c r="IT13" s="470"/>
      <c r="IU13" s="470"/>
    </row>
    <row r="14" spans="1:255">
      <c r="A14" s="465" t="s">
        <v>649</v>
      </c>
      <c r="B14" s="465" t="s">
        <v>675</v>
      </c>
      <c r="C14" s="465" t="s">
        <v>676</v>
      </c>
    </row>
    <row r="15" spans="1:255" ht="12" customHeight="1">
      <c r="A15" s="462" t="s">
        <v>655</v>
      </c>
      <c r="B15" s="466" t="s">
        <v>677</v>
      </c>
      <c r="C15" s="466" t="s">
        <v>678</v>
      </c>
    </row>
    <row r="16" spans="1:255" ht="12" customHeight="1">
      <c r="A16" s="462" t="s">
        <v>656</v>
      </c>
      <c r="B16" s="466" t="s">
        <v>679</v>
      </c>
      <c r="C16" s="466" t="s">
        <v>680</v>
      </c>
    </row>
    <row r="17" spans="1:3" ht="12" customHeight="1">
      <c r="A17" s="462" t="s">
        <v>657</v>
      </c>
      <c r="B17" s="466" t="s">
        <v>681</v>
      </c>
      <c r="C17" s="466" t="s">
        <v>682</v>
      </c>
    </row>
    <row r="18" spans="1:3" ht="12" customHeight="1">
      <c r="A18" s="462" t="s">
        <v>658</v>
      </c>
      <c r="B18" s="466" t="s">
        <v>683</v>
      </c>
      <c r="C18" s="466" t="s">
        <v>684</v>
      </c>
    </row>
    <row r="19" spans="1:3" ht="12" customHeight="1">
      <c r="A19" s="462" t="s">
        <v>659</v>
      </c>
      <c r="B19" s="466" t="s">
        <v>685</v>
      </c>
      <c r="C19" s="466" t="s">
        <v>686</v>
      </c>
    </row>
    <row r="20" spans="1:3">
      <c r="A20" s="469"/>
      <c r="B20" s="469"/>
      <c r="C20" s="469"/>
    </row>
    <row r="21" spans="1:3">
      <c r="A21" s="472"/>
      <c r="B21" s="472"/>
      <c r="C21" s="472"/>
    </row>
    <row r="22" spans="1:3" ht="12" customHeight="1">
      <c r="A22" s="465" t="s">
        <v>660</v>
      </c>
      <c r="B22" s="466" t="s">
        <v>687</v>
      </c>
      <c r="C22" s="466" t="s">
        <v>688</v>
      </c>
    </row>
    <row r="23" spans="1:3">
      <c r="A23" s="473"/>
      <c r="B23" s="11"/>
      <c r="C23" s="11"/>
    </row>
    <row r="25" spans="1:3">
      <c r="A25" s="12" t="s">
        <v>689</v>
      </c>
    </row>
    <row r="30" spans="1:3">
      <c r="A30" s="9" t="s">
        <v>690</v>
      </c>
    </row>
    <row r="31" spans="1:3">
      <c r="A31" s="9" t="s">
        <v>691</v>
      </c>
    </row>
    <row r="39" spans="1:3" ht="25.05" customHeight="1">
      <c r="A39" s="773" t="s">
        <v>692</v>
      </c>
      <c r="B39" s="774"/>
      <c r="C39" s="774"/>
    </row>
  </sheetData>
  <mergeCells count="1">
    <mergeCell ref="A39:C39"/>
  </mergeCells>
  <pageMargins left="0.2" right="0.2" top="0.5" bottom="0.5" header="0.5" footer="0.5"/>
  <pageSetup fitToWidth="0" fitToHeight="0"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871DC-E6D7-A648-945B-52775BB38450}">
  <sheetPr codeName="Sheet18">
    <tabColor theme="4"/>
  </sheetPr>
  <dimension ref="A1"/>
  <sheetViews>
    <sheetView workbookViewId="0">
      <selection activeCell="C10" sqref="C10"/>
    </sheetView>
  </sheetViews>
  <sheetFormatPr defaultColWidth="11" defaultRowHeight="18"/>
  <cols>
    <col min="1" max="1" width="16.8125" style="278" bestFit="1" customWidth="1"/>
    <col min="2" max="16384" width="11" style="278"/>
  </cols>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1260-1B23-417C-BA94-842512E68C4C}">
  <sheetPr codeName="Sheet19">
    <tabColor theme="4" tint="0.79998168889431442"/>
  </sheetPr>
  <dimension ref="A1:V112"/>
  <sheetViews>
    <sheetView zoomScale="117" workbookViewId="0">
      <selection activeCell="H32" sqref="H32"/>
    </sheetView>
  </sheetViews>
  <sheetFormatPr defaultColWidth="10.8125" defaultRowHeight="14.25"/>
  <cols>
    <col min="1" max="1" width="31.6875" style="262" customWidth="1"/>
    <col min="2" max="2" width="0" style="262" hidden="1" customWidth="1"/>
    <col min="3" max="3" width="12.6875" style="262" customWidth="1"/>
    <col min="4" max="4" width="12.5" style="262" customWidth="1"/>
    <col min="5" max="5" width="12.6875" style="262" customWidth="1"/>
    <col min="6" max="6" width="11" style="262" customWidth="1"/>
    <col min="7" max="7" width="12.6875" style="262" customWidth="1"/>
    <col min="8" max="8" width="8.5" style="262" customWidth="1"/>
    <col min="9" max="9" width="12.6875" style="262" customWidth="1"/>
    <col min="10" max="10" width="8.5" style="262" customWidth="1"/>
    <col min="11" max="11" width="12.6875" style="262" customWidth="1"/>
    <col min="12" max="12" width="8.5" style="262" customWidth="1"/>
    <col min="13" max="13" width="12.6875" style="262" customWidth="1"/>
    <col min="14" max="14" width="8.5" style="262" customWidth="1"/>
    <col min="15" max="15" width="12.6875" style="262" customWidth="1"/>
    <col min="16" max="16" width="8.5" style="262" customWidth="1"/>
    <col min="17" max="17" width="12.6875" style="262" customWidth="1"/>
    <col min="18" max="18" width="8.5" style="262" customWidth="1"/>
    <col min="19" max="19" width="12.6875" style="262" customWidth="1"/>
    <col min="20" max="20" width="8.5" style="262" customWidth="1"/>
    <col min="21" max="21" width="12.6875" style="262" customWidth="1"/>
    <col min="22" max="22" width="8.5" style="262" customWidth="1"/>
    <col min="23" max="16384" width="10.8125" style="262"/>
  </cols>
  <sheetData>
    <row r="1" spans="1:22">
      <c r="A1" s="263"/>
      <c r="B1" s="263"/>
      <c r="C1" s="263"/>
      <c r="D1" s="263"/>
      <c r="E1" s="263"/>
      <c r="F1" s="263"/>
      <c r="G1" s="263"/>
      <c r="H1" s="263"/>
      <c r="I1" s="263"/>
      <c r="J1" s="263"/>
      <c r="K1" s="263"/>
      <c r="L1" s="263"/>
      <c r="M1" s="263"/>
      <c r="N1" s="263"/>
      <c r="O1" s="263"/>
      <c r="P1" s="263"/>
      <c r="Q1" s="263"/>
      <c r="R1" s="263"/>
      <c r="S1" s="263"/>
      <c r="T1" s="263"/>
      <c r="U1" s="263"/>
      <c r="V1" s="263"/>
    </row>
    <row r="2" spans="1:22" ht="20.65">
      <c r="A2" s="264" t="s">
        <v>693</v>
      </c>
      <c r="B2" s="264"/>
      <c r="C2" s="264"/>
      <c r="D2" s="264"/>
      <c r="E2" s="264"/>
      <c r="F2" s="264"/>
      <c r="G2" s="264"/>
      <c r="H2" s="264"/>
      <c r="I2" s="264"/>
      <c r="J2" s="264"/>
      <c r="K2" s="264"/>
      <c r="L2" s="264"/>
      <c r="M2" s="264"/>
      <c r="N2" s="264"/>
      <c r="O2" s="264"/>
      <c r="P2" s="264"/>
      <c r="Q2" s="264"/>
      <c r="R2" s="264"/>
      <c r="S2" s="264"/>
      <c r="T2" s="264"/>
      <c r="U2" s="264"/>
      <c r="V2" s="264"/>
    </row>
    <row r="3" spans="1:22">
      <c r="A3" s="265"/>
      <c r="B3" s="265"/>
      <c r="C3" s="265"/>
      <c r="D3" s="265"/>
      <c r="E3" s="265"/>
      <c r="F3" s="265"/>
      <c r="G3" s="265"/>
      <c r="H3" s="265"/>
      <c r="I3" s="265"/>
      <c r="J3" s="265"/>
      <c r="K3" s="265"/>
      <c r="L3" s="265"/>
      <c r="M3" s="265"/>
      <c r="N3" s="265"/>
      <c r="O3" s="265"/>
      <c r="P3" s="265"/>
      <c r="Q3" s="265"/>
      <c r="R3" s="265"/>
      <c r="S3" s="265"/>
      <c r="T3" s="265"/>
      <c r="U3" s="265"/>
      <c r="V3" s="265"/>
    </row>
    <row r="4" spans="1:22">
      <c r="A4" s="266" t="s">
        <v>694</v>
      </c>
      <c r="B4" s="266"/>
      <c r="C4" s="267" t="s">
        <v>695</v>
      </c>
      <c r="D4" s="267"/>
      <c r="E4" s="267" t="s">
        <v>696</v>
      </c>
      <c r="F4" s="267"/>
      <c r="G4" s="267" t="s">
        <v>697</v>
      </c>
      <c r="H4" s="267"/>
      <c r="I4" s="267" t="s">
        <v>698</v>
      </c>
      <c r="J4" s="267"/>
      <c r="K4" s="267" t="s">
        <v>699</v>
      </c>
      <c r="L4" s="267"/>
      <c r="M4" s="267" t="s">
        <v>700</v>
      </c>
      <c r="N4" s="267"/>
      <c r="O4" s="267" t="s">
        <v>701</v>
      </c>
      <c r="P4" s="267"/>
      <c r="Q4" s="267" t="s">
        <v>702</v>
      </c>
      <c r="R4" s="267"/>
      <c r="S4" s="267" t="s">
        <v>703</v>
      </c>
      <c r="T4" s="267"/>
      <c r="U4" s="267" t="s">
        <v>704</v>
      </c>
      <c r="V4" s="267"/>
    </row>
    <row r="5" spans="1:22">
      <c r="A5" s="268" t="s">
        <v>705</v>
      </c>
      <c r="B5" s="268"/>
      <c r="C5" s="269" t="s">
        <v>706</v>
      </c>
      <c r="D5" s="269"/>
      <c r="E5" s="269" t="s">
        <v>707</v>
      </c>
      <c r="F5" s="269"/>
      <c r="G5" s="269" t="s">
        <v>708</v>
      </c>
      <c r="H5" s="269"/>
      <c r="I5" s="269" t="s">
        <v>709</v>
      </c>
      <c r="J5" s="269"/>
      <c r="K5" s="269" t="s">
        <v>710</v>
      </c>
      <c r="L5" s="269"/>
      <c r="M5" s="269" t="s">
        <v>711</v>
      </c>
      <c r="N5" s="269"/>
      <c r="O5" s="269" t="s">
        <v>712</v>
      </c>
      <c r="P5" s="269"/>
      <c r="Q5" s="269" t="s">
        <v>713</v>
      </c>
      <c r="R5" s="269"/>
      <c r="S5" s="269" t="s">
        <v>714</v>
      </c>
      <c r="T5" s="269"/>
      <c r="U5" s="269" t="s">
        <v>715</v>
      </c>
      <c r="V5" s="269"/>
    </row>
    <row r="6" spans="1:22">
      <c r="A6" s="270" t="s">
        <v>194</v>
      </c>
      <c r="B6" s="270"/>
      <c r="C6" s="271">
        <v>27079</v>
      </c>
      <c r="D6" s="272">
        <v>1</v>
      </c>
      <c r="E6" s="271">
        <v>25778</v>
      </c>
      <c r="F6" s="272">
        <v>1</v>
      </c>
      <c r="G6" s="271">
        <v>25641</v>
      </c>
      <c r="H6" s="272">
        <v>1</v>
      </c>
      <c r="I6" s="271">
        <v>25739</v>
      </c>
      <c r="J6" s="272">
        <v>1</v>
      </c>
      <c r="K6" s="271">
        <v>25331</v>
      </c>
      <c r="L6" s="272">
        <v>1</v>
      </c>
      <c r="M6" s="271">
        <v>18097</v>
      </c>
      <c r="N6" s="272">
        <v>1</v>
      </c>
      <c r="O6" s="271">
        <v>25292</v>
      </c>
      <c r="P6" s="272">
        <v>1</v>
      </c>
      <c r="Q6" s="271">
        <v>25449</v>
      </c>
      <c r="R6" s="272">
        <v>1</v>
      </c>
      <c r="S6" s="271">
        <v>23866</v>
      </c>
      <c r="T6" s="272">
        <v>1</v>
      </c>
      <c r="U6" s="271">
        <v>23006</v>
      </c>
      <c r="V6" s="272">
        <v>1</v>
      </c>
    </row>
    <row r="7" spans="1:22">
      <c r="A7" s="273" t="s">
        <v>716</v>
      </c>
      <c r="B7" s="273"/>
      <c r="C7" s="274">
        <v>0</v>
      </c>
      <c r="D7" s="275"/>
      <c r="E7" s="274">
        <v>0</v>
      </c>
      <c r="F7" s="275"/>
      <c r="G7" s="274">
        <v>24939</v>
      </c>
      <c r="H7" s="275">
        <v>0.97262197262197303</v>
      </c>
      <c r="I7" s="274">
        <v>24971</v>
      </c>
      <c r="J7" s="275">
        <v>0.97016201095613697</v>
      </c>
      <c r="K7" s="274">
        <v>24560</v>
      </c>
      <c r="L7" s="275">
        <v>0.96956298606450597</v>
      </c>
      <c r="M7" s="274">
        <v>17346</v>
      </c>
      <c r="N7" s="275">
        <v>0.95850140907332704</v>
      </c>
      <c r="O7" s="274">
        <v>24460</v>
      </c>
      <c r="P7" s="275">
        <v>0.96710422267910801</v>
      </c>
      <c r="Q7" s="274">
        <v>24442</v>
      </c>
      <c r="R7" s="275">
        <v>0.96043066525207299</v>
      </c>
      <c r="S7" s="274">
        <v>23092</v>
      </c>
      <c r="T7" s="275">
        <v>0.96756892650632698</v>
      </c>
      <c r="U7" s="274">
        <v>22293</v>
      </c>
      <c r="V7" s="275">
        <v>0.96900808484743095</v>
      </c>
    </row>
    <row r="8" spans="1:22" s="427" customFormat="1">
      <c r="A8" s="424" t="s">
        <v>717</v>
      </c>
      <c r="B8" s="424"/>
      <c r="C8" s="425">
        <v>10290.02</v>
      </c>
      <c r="D8" s="426">
        <v>0.38</v>
      </c>
      <c r="E8" s="425">
        <v>9845.7999999999993</v>
      </c>
      <c r="F8" s="426">
        <v>0.38194584529443698</v>
      </c>
      <c r="G8" s="425">
        <v>9444</v>
      </c>
      <c r="H8" s="426">
        <v>0.36831636831636799</v>
      </c>
      <c r="I8" s="425">
        <v>9457</v>
      </c>
      <c r="J8" s="426">
        <v>0.367419091650802</v>
      </c>
      <c r="K8" s="425">
        <v>9454</v>
      </c>
      <c r="L8" s="426">
        <v>0.37321858592238799</v>
      </c>
      <c r="M8" s="425">
        <v>7206</v>
      </c>
      <c r="N8" s="426">
        <v>0.39818754489694402</v>
      </c>
      <c r="O8" s="425">
        <v>10119</v>
      </c>
      <c r="P8" s="426">
        <v>0.40008698402657</v>
      </c>
      <c r="Q8" s="425">
        <v>9597</v>
      </c>
      <c r="R8" s="426">
        <v>0.377107155487446</v>
      </c>
      <c r="S8" s="425">
        <v>9520</v>
      </c>
      <c r="T8" s="426">
        <v>0.39889382384982802</v>
      </c>
      <c r="U8" s="425">
        <v>0</v>
      </c>
      <c r="V8" s="426"/>
    </row>
    <row r="9" spans="1:22" s="427" customFormat="1">
      <c r="A9" s="424" t="s">
        <v>718</v>
      </c>
      <c r="B9" s="424"/>
      <c r="C9" s="425">
        <v>4332.6400000000003</v>
      </c>
      <c r="D9" s="426">
        <v>0.16</v>
      </c>
      <c r="E9" s="425">
        <v>4013.6</v>
      </c>
      <c r="F9" s="426">
        <v>0.15569865777019201</v>
      </c>
      <c r="G9" s="425">
        <v>5610</v>
      </c>
      <c r="H9" s="426">
        <v>0.21879021879021901</v>
      </c>
      <c r="I9" s="425">
        <v>5699</v>
      </c>
      <c r="J9" s="426">
        <v>0.221414973386689</v>
      </c>
      <c r="K9" s="425">
        <v>5628</v>
      </c>
      <c r="L9" s="426">
        <v>0.22217835853302301</v>
      </c>
      <c r="M9" s="425">
        <v>3486</v>
      </c>
      <c r="N9" s="426">
        <v>0.192628612477206</v>
      </c>
      <c r="O9" s="425">
        <v>5252</v>
      </c>
      <c r="P9" s="426">
        <v>0.20765459433813099</v>
      </c>
      <c r="Q9" s="425">
        <v>5297</v>
      </c>
      <c r="R9" s="426">
        <v>0.20814177374356599</v>
      </c>
      <c r="S9" s="425">
        <v>4918</v>
      </c>
      <c r="T9" s="426">
        <v>0.206067208581245</v>
      </c>
      <c r="U9" s="425">
        <v>0</v>
      </c>
      <c r="V9" s="426"/>
    </row>
    <row r="10" spans="1:22" s="427" customFormat="1">
      <c r="A10" s="424" t="s">
        <v>719</v>
      </c>
      <c r="B10" s="424"/>
      <c r="C10" s="425">
        <v>6228.17</v>
      </c>
      <c r="D10" s="426">
        <v>0.23</v>
      </c>
      <c r="E10" s="425">
        <v>5959.3</v>
      </c>
      <c r="F10" s="426">
        <v>0.23117774846768599</v>
      </c>
      <c r="G10" s="425">
        <v>5765</v>
      </c>
      <c r="H10" s="426">
        <v>0.224835224835225</v>
      </c>
      <c r="I10" s="425">
        <v>5642</v>
      </c>
      <c r="J10" s="426">
        <v>0.21920043513734</v>
      </c>
      <c r="K10" s="425">
        <v>5411</v>
      </c>
      <c r="L10" s="426">
        <v>0.213611780032371</v>
      </c>
      <c r="M10" s="425">
        <v>2909</v>
      </c>
      <c r="N10" s="426">
        <v>0.16074487484113401</v>
      </c>
      <c r="O10" s="425">
        <v>4433</v>
      </c>
      <c r="P10" s="426">
        <v>0.17527281353787799</v>
      </c>
      <c r="Q10" s="425">
        <v>5349</v>
      </c>
      <c r="R10" s="426">
        <v>0.21018507603442199</v>
      </c>
      <c r="S10" s="425">
        <v>4861</v>
      </c>
      <c r="T10" s="426">
        <v>0.20367887371155599</v>
      </c>
      <c r="U10" s="425">
        <v>0</v>
      </c>
      <c r="V10" s="426"/>
    </row>
    <row r="11" spans="1:22" s="427" customFormat="1">
      <c r="A11" s="424" t="s">
        <v>720</v>
      </c>
      <c r="B11" s="424"/>
      <c r="C11" s="425">
        <v>6228.17</v>
      </c>
      <c r="D11" s="426">
        <v>0.23</v>
      </c>
      <c r="E11" s="425">
        <v>5959.3</v>
      </c>
      <c r="F11" s="426">
        <v>0.23117774846768599</v>
      </c>
      <c r="G11" s="425">
        <v>4120</v>
      </c>
      <c r="H11" s="426">
        <v>0.160680160680161</v>
      </c>
      <c r="I11" s="425">
        <v>4173</v>
      </c>
      <c r="J11" s="426">
        <v>0.162127510781305</v>
      </c>
      <c r="K11" s="425">
        <v>4067</v>
      </c>
      <c r="L11" s="426">
        <v>0.16055426157672401</v>
      </c>
      <c r="M11" s="425">
        <v>3745</v>
      </c>
      <c r="N11" s="426">
        <v>0.20694037685804301</v>
      </c>
      <c r="O11" s="425">
        <v>4656</v>
      </c>
      <c r="P11" s="426">
        <v>0.18408983077652999</v>
      </c>
      <c r="Q11" s="425">
        <v>4199</v>
      </c>
      <c r="R11" s="426">
        <v>0.16499665998664001</v>
      </c>
      <c r="S11" s="425">
        <v>3793</v>
      </c>
      <c r="T11" s="426">
        <v>0.15892902036369699</v>
      </c>
      <c r="U11" s="425">
        <v>0</v>
      </c>
      <c r="V11" s="426"/>
    </row>
    <row r="12" spans="1:22">
      <c r="A12" s="273" t="s">
        <v>721</v>
      </c>
      <c r="B12" s="273"/>
      <c r="C12" s="274">
        <v>0</v>
      </c>
      <c r="D12" s="275"/>
      <c r="E12" s="274">
        <v>0</v>
      </c>
      <c r="F12" s="275"/>
      <c r="G12" s="274">
        <v>702</v>
      </c>
      <c r="H12" s="275">
        <v>2.73780273780274E-2</v>
      </c>
      <c r="I12" s="274">
        <v>768</v>
      </c>
      <c r="J12" s="275">
        <v>2.9837989043863401E-2</v>
      </c>
      <c r="K12" s="274">
        <v>771</v>
      </c>
      <c r="L12" s="275">
        <v>3.0437013935494101E-2</v>
      </c>
      <c r="M12" s="274">
        <v>751</v>
      </c>
      <c r="N12" s="275">
        <v>4.14985909266729E-2</v>
      </c>
      <c r="O12" s="274">
        <v>832</v>
      </c>
      <c r="P12" s="275">
        <v>3.2895777320892002E-2</v>
      </c>
      <c r="Q12" s="274">
        <v>863</v>
      </c>
      <c r="R12" s="275">
        <v>3.3910959173248503E-2</v>
      </c>
      <c r="S12" s="274">
        <v>619</v>
      </c>
      <c r="T12" s="275">
        <v>2.5936478672588598E-2</v>
      </c>
      <c r="U12" s="274">
        <v>537</v>
      </c>
      <c r="V12" s="275">
        <v>2.334173693819E-2</v>
      </c>
    </row>
    <row r="13" spans="1:22">
      <c r="A13" s="273" t="s">
        <v>722</v>
      </c>
      <c r="B13" s="273"/>
      <c r="C13" s="274">
        <v>0</v>
      </c>
      <c r="D13" s="275"/>
      <c r="E13" s="274">
        <v>0</v>
      </c>
      <c r="F13" s="275"/>
      <c r="G13" s="274">
        <v>0</v>
      </c>
      <c r="H13" s="275"/>
      <c r="I13" s="274">
        <v>0</v>
      </c>
      <c r="J13" s="275"/>
      <c r="K13" s="274">
        <v>0</v>
      </c>
      <c r="L13" s="275"/>
      <c r="M13" s="274">
        <v>0</v>
      </c>
      <c r="N13" s="275"/>
      <c r="O13" s="274">
        <v>0</v>
      </c>
      <c r="P13" s="275"/>
      <c r="Q13" s="274">
        <v>144</v>
      </c>
      <c r="R13" s="275">
        <v>5.6583755746787701E-3</v>
      </c>
      <c r="S13" s="274">
        <v>155</v>
      </c>
      <c r="T13" s="275">
        <v>6.49459482108439E-3</v>
      </c>
      <c r="U13" s="274">
        <v>176</v>
      </c>
      <c r="V13" s="275">
        <v>7.6501782143788598E-3</v>
      </c>
    </row>
    <row r="14" spans="1:22">
      <c r="A14" s="273" t="s">
        <v>723</v>
      </c>
      <c r="B14" s="273"/>
      <c r="C14" s="274">
        <v>27079</v>
      </c>
      <c r="D14" s="275">
        <v>1</v>
      </c>
      <c r="E14" s="274">
        <v>25778</v>
      </c>
      <c r="F14" s="275">
        <v>1</v>
      </c>
      <c r="G14" s="274">
        <v>0</v>
      </c>
      <c r="H14" s="275"/>
      <c r="I14" s="274">
        <v>0</v>
      </c>
      <c r="J14" s="275"/>
      <c r="K14" s="274">
        <v>0</v>
      </c>
      <c r="L14" s="275"/>
      <c r="M14" s="274">
        <v>0</v>
      </c>
      <c r="N14" s="275"/>
      <c r="O14" s="274">
        <v>0</v>
      </c>
      <c r="P14" s="275"/>
      <c r="Q14" s="274">
        <v>0</v>
      </c>
      <c r="R14" s="275"/>
      <c r="S14" s="274">
        <v>0</v>
      </c>
      <c r="T14" s="275"/>
      <c r="U14" s="274">
        <v>0</v>
      </c>
      <c r="V14" s="275"/>
    </row>
    <row r="15" spans="1:22">
      <c r="A15" s="270" t="s">
        <v>724</v>
      </c>
      <c r="B15" s="270"/>
      <c r="C15" s="271">
        <v>0</v>
      </c>
      <c r="D15" s="272"/>
      <c r="E15" s="271">
        <v>0</v>
      </c>
      <c r="F15" s="272"/>
      <c r="G15" s="271">
        <v>0</v>
      </c>
      <c r="H15" s="272"/>
      <c r="I15" s="271">
        <v>0</v>
      </c>
      <c r="J15" s="272"/>
      <c r="K15" s="271">
        <v>0</v>
      </c>
      <c r="L15" s="272"/>
      <c r="M15" s="271">
        <v>0</v>
      </c>
      <c r="N15" s="272"/>
      <c r="O15" s="271">
        <v>0</v>
      </c>
      <c r="P15" s="272"/>
      <c r="Q15" s="271">
        <v>0</v>
      </c>
      <c r="R15" s="272"/>
      <c r="S15" s="271">
        <v>0</v>
      </c>
      <c r="T15" s="272"/>
      <c r="U15" s="271">
        <v>0</v>
      </c>
      <c r="V15" s="272"/>
    </row>
    <row r="16" spans="1:22">
      <c r="A16" s="273" t="s">
        <v>725</v>
      </c>
      <c r="B16" s="273"/>
      <c r="C16" s="274">
        <v>0</v>
      </c>
      <c r="D16" s="275"/>
      <c r="E16" s="274">
        <v>0</v>
      </c>
      <c r="F16" s="275"/>
      <c r="G16" s="274">
        <v>0</v>
      </c>
      <c r="H16" s="275"/>
      <c r="I16" s="274">
        <v>10</v>
      </c>
      <c r="J16" s="275"/>
      <c r="K16" s="274">
        <v>11</v>
      </c>
      <c r="L16" s="275"/>
      <c r="M16" s="274">
        <v>0</v>
      </c>
      <c r="N16" s="275"/>
      <c r="O16" s="274">
        <v>0</v>
      </c>
      <c r="P16" s="275"/>
      <c r="Q16" s="274">
        <v>0</v>
      </c>
      <c r="R16" s="275"/>
      <c r="S16" s="274">
        <v>0</v>
      </c>
      <c r="T16" s="275"/>
      <c r="U16" s="274">
        <v>0</v>
      </c>
      <c r="V16" s="275"/>
    </row>
    <row r="17" spans="1:22">
      <c r="A17" s="273" t="s">
        <v>726</v>
      </c>
      <c r="B17" s="273"/>
      <c r="C17" s="274">
        <v>0</v>
      </c>
      <c r="D17" s="275"/>
      <c r="E17" s="274">
        <v>0</v>
      </c>
      <c r="F17" s="275"/>
      <c r="G17" s="274">
        <v>0</v>
      </c>
      <c r="H17" s="275"/>
      <c r="I17" s="274">
        <v>2</v>
      </c>
      <c r="J17" s="275"/>
      <c r="K17" s="274">
        <v>3</v>
      </c>
      <c r="L17" s="275"/>
      <c r="M17" s="274">
        <v>0</v>
      </c>
      <c r="N17" s="275"/>
      <c r="O17" s="274">
        <v>0</v>
      </c>
      <c r="P17" s="275"/>
      <c r="Q17" s="274">
        <v>0</v>
      </c>
      <c r="R17" s="275"/>
      <c r="S17" s="274">
        <v>0</v>
      </c>
      <c r="T17" s="275"/>
      <c r="U17" s="274">
        <v>0</v>
      </c>
      <c r="V17" s="275"/>
    </row>
    <row r="18" spans="1:22">
      <c r="A18" s="273" t="s">
        <v>727</v>
      </c>
      <c r="B18" s="273"/>
      <c r="C18" s="274">
        <v>0</v>
      </c>
      <c r="D18" s="275"/>
      <c r="E18" s="274">
        <v>0</v>
      </c>
      <c r="F18" s="275"/>
      <c r="G18" s="274">
        <v>0</v>
      </c>
      <c r="H18" s="275"/>
      <c r="I18" s="274">
        <v>8</v>
      </c>
      <c r="J18" s="275"/>
      <c r="K18" s="274">
        <v>8</v>
      </c>
      <c r="L18" s="275"/>
      <c r="M18" s="274">
        <v>0</v>
      </c>
      <c r="N18" s="275"/>
      <c r="O18" s="274">
        <v>0</v>
      </c>
      <c r="P18" s="275"/>
      <c r="Q18" s="274">
        <v>0</v>
      </c>
      <c r="R18" s="275"/>
      <c r="S18" s="274">
        <v>0</v>
      </c>
      <c r="T18" s="275"/>
      <c r="U18" s="274">
        <v>0</v>
      </c>
      <c r="V18" s="275"/>
    </row>
    <row r="19" spans="1:22">
      <c r="A19" s="273" t="s">
        <v>728</v>
      </c>
      <c r="B19" s="273"/>
      <c r="C19" s="274">
        <v>0</v>
      </c>
      <c r="D19" s="275"/>
      <c r="E19" s="274">
        <v>0</v>
      </c>
      <c r="F19" s="275"/>
      <c r="G19" s="274">
        <v>0</v>
      </c>
      <c r="H19" s="275"/>
      <c r="I19" s="274">
        <v>89</v>
      </c>
      <c r="J19" s="275"/>
      <c r="K19" s="274">
        <v>88</v>
      </c>
      <c r="L19" s="275"/>
      <c r="M19" s="274">
        <v>0</v>
      </c>
      <c r="N19" s="275"/>
      <c r="O19" s="274">
        <v>0</v>
      </c>
      <c r="P19" s="275"/>
      <c r="Q19" s="274">
        <v>0</v>
      </c>
      <c r="R19" s="275"/>
      <c r="S19" s="274">
        <v>0</v>
      </c>
      <c r="T19" s="275"/>
      <c r="U19" s="274">
        <v>0</v>
      </c>
      <c r="V19" s="275"/>
    </row>
    <row r="20" spans="1:22">
      <c r="A20" s="273" t="s">
        <v>729</v>
      </c>
      <c r="B20" s="273"/>
      <c r="C20" s="274">
        <v>0</v>
      </c>
      <c r="D20" s="275"/>
      <c r="E20" s="274">
        <v>0</v>
      </c>
      <c r="F20" s="275"/>
      <c r="G20" s="274">
        <v>0</v>
      </c>
      <c r="H20" s="275"/>
      <c r="I20" s="274">
        <v>21</v>
      </c>
      <c r="J20" s="275"/>
      <c r="K20" s="274">
        <v>23</v>
      </c>
      <c r="L20" s="275"/>
      <c r="M20" s="274">
        <v>0</v>
      </c>
      <c r="N20" s="275"/>
      <c r="O20" s="274">
        <v>0</v>
      </c>
      <c r="P20" s="275"/>
      <c r="Q20" s="274">
        <v>0</v>
      </c>
      <c r="R20" s="275"/>
      <c r="S20" s="274">
        <v>0</v>
      </c>
      <c r="T20" s="275"/>
      <c r="U20" s="274">
        <v>0</v>
      </c>
      <c r="V20" s="275"/>
    </row>
    <row r="21" spans="1:22">
      <c r="A21" s="273" t="s">
        <v>730</v>
      </c>
      <c r="B21" s="273"/>
      <c r="C21" s="274">
        <v>0</v>
      </c>
      <c r="D21" s="275"/>
      <c r="E21" s="274">
        <v>0</v>
      </c>
      <c r="F21" s="275"/>
      <c r="G21" s="274">
        <v>0</v>
      </c>
      <c r="H21" s="275"/>
      <c r="I21" s="274">
        <v>68</v>
      </c>
      <c r="J21" s="275"/>
      <c r="K21" s="274">
        <v>65</v>
      </c>
      <c r="L21" s="275"/>
      <c r="M21" s="274">
        <v>0</v>
      </c>
      <c r="N21" s="275"/>
      <c r="O21" s="274">
        <v>0</v>
      </c>
      <c r="P21" s="275"/>
      <c r="Q21" s="274">
        <v>0</v>
      </c>
      <c r="R21" s="275"/>
      <c r="S21" s="274">
        <v>0</v>
      </c>
      <c r="T21" s="275"/>
      <c r="U21" s="274">
        <v>0</v>
      </c>
      <c r="V21" s="275"/>
    </row>
    <row r="22" spans="1:22">
      <c r="A22" s="273" t="s">
        <v>731</v>
      </c>
      <c r="B22" s="273"/>
      <c r="C22" s="274">
        <v>0</v>
      </c>
      <c r="D22" s="275"/>
      <c r="E22" s="274">
        <v>0</v>
      </c>
      <c r="F22" s="275"/>
      <c r="G22" s="274">
        <v>0</v>
      </c>
      <c r="H22" s="275"/>
      <c r="I22" s="274">
        <v>1</v>
      </c>
      <c r="J22" s="275"/>
      <c r="K22" s="274">
        <v>1</v>
      </c>
      <c r="L22" s="275"/>
      <c r="M22" s="274">
        <v>0</v>
      </c>
      <c r="N22" s="275"/>
      <c r="O22" s="274">
        <v>0</v>
      </c>
      <c r="P22" s="275"/>
      <c r="Q22" s="274">
        <v>0</v>
      </c>
      <c r="R22" s="275"/>
      <c r="S22" s="274">
        <v>0</v>
      </c>
      <c r="T22" s="275"/>
      <c r="U22" s="274">
        <v>0</v>
      </c>
      <c r="V22" s="275"/>
    </row>
    <row r="23" spans="1:22">
      <c r="A23" s="273" t="s">
        <v>732</v>
      </c>
      <c r="B23" s="273"/>
      <c r="C23" s="274">
        <v>16</v>
      </c>
      <c r="D23" s="275"/>
      <c r="E23" s="274">
        <v>16</v>
      </c>
      <c r="F23" s="275"/>
      <c r="G23" s="274">
        <v>0</v>
      </c>
      <c r="H23" s="275"/>
      <c r="I23" s="274">
        <v>0</v>
      </c>
      <c r="J23" s="275"/>
      <c r="K23" s="274">
        <v>0</v>
      </c>
      <c r="L23" s="275"/>
      <c r="M23" s="274">
        <v>0</v>
      </c>
      <c r="N23" s="275"/>
      <c r="O23" s="274">
        <v>0</v>
      </c>
      <c r="P23" s="275"/>
      <c r="Q23" s="274">
        <v>0</v>
      </c>
      <c r="R23" s="275"/>
      <c r="S23" s="274">
        <v>0</v>
      </c>
      <c r="T23" s="275"/>
      <c r="U23" s="274">
        <v>0</v>
      </c>
      <c r="V23" s="275"/>
    </row>
    <row r="24" spans="1:22">
      <c r="A24" s="273" t="s">
        <v>733</v>
      </c>
      <c r="B24" s="273"/>
      <c r="C24" s="274">
        <v>23</v>
      </c>
      <c r="D24" s="275"/>
      <c r="E24" s="274">
        <v>23</v>
      </c>
      <c r="F24" s="275"/>
      <c r="G24" s="274">
        <v>0</v>
      </c>
      <c r="H24" s="275"/>
      <c r="I24" s="274">
        <v>0</v>
      </c>
      <c r="J24" s="275"/>
      <c r="K24" s="274">
        <v>0</v>
      </c>
      <c r="L24" s="275"/>
      <c r="M24" s="274">
        <v>0</v>
      </c>
      <c r="N24" s="275"/>
      <c r="O24" s="274">
        <v>0</v>
      </c>
      <c r="P24" s="275"/>
      <c r="Q24" s="274">
        <v>0</v>
      </c>
      <c r="R24" s="275"/>
      <c r="S24" s="274">
        <v>0</v>
      </c>
      <c r="T24" s="275"/>
      <c r="U24" s="274">
        <v>0</v>
      </c>
      <c r="V24" s="275"/>
    </row>
    <row r="25" spans="1:22">
      <c r="A25" s="273" t="s">
        <v>734</v>
      </c>
      <c r="B25" s="273"/>
      <c r="C25" s="274">
        <v>23</v>
      </c>
      <c r="D25" s="275"/>
      <c r="E25" s="274">
        <v>23</v>
      </c>
      <c r="F25" s="275"/>
      <c r="G25" s="274">
        <v>0</v>
      </c>
      <c r="H25" s="275"/>
      <c r="I25" s="274">
        <v>0</v>
      </c>
      <c r="J25" s="275"/>
      <c r="K25" s="274">
        <v>0</v>
      </c>
      <c r="L25" s="275"/>
      <c r="M25" s="274">
        <v>0</v>
      </c>
      <c r="N25" s="275"/>
      <c r="O25" s="274">
        <v>0</v>
      </c>
      <c r="P25" s="275"/>
      <c r="Q25" s="274">
        <v>0</v>
      </c>
      <c r="R25" s="275"/>
      <c r="S25" s="274">
        <v>0</v>
      </c>
      <c r="T25" s="275"/>
      <c r="U25" s="274">
        <v>0</v>
      </c>
      <c r="V25" s="275"/>
    </row>
    <row r="26" spans="1:22">
      <c r="A26" s="273" t="s">
        <v>735</v>
      </c>
      <c r="B26" s="273"/>
      <c r="C26" s="274">
        <v>38</v>
      </c>
      <c r="D26" s="275"/>
      <c r="E26" s="274">
        <v>38</v>
      </c>
      <c r="F26" s="275"/>
      <c r="G26" s="274">
        <v>0</v>
      </c>
      <c r="H26" s="275"/>
      <c r="I26" s="274">
        <v>0</v>
      </c>
      <c r="J26" s="275"/>
      <c r="K26" s="274">
        <v>0</v>
      </c>
      <c r="L26" s="275"/>
      <c r="M26" s="274">
        <v>0</v>
      </c>
      <c r="N26" s="275"/>
      <c r="O26" s="274">
        <v>0</v>
      </c>
      <c r="P26" s="275"/>
      <c r="Q26" s="274">
        <v>0</v>
      </c>
      <c r="R26" s="275"/>
      <c r="S26" s="274">
        <v>0</v>
      </c>
      <c r="T26" s="275"/>
      <c r="U26" s="274">
        <v>0</v>
      </c>
      <c r="V26" s="275"/>
    </row>
    <row r="27" spans="1:22">
      <c r="A27" s="270" t="s">
        <v>460</v>
      </c>
      <c r="B27" s="270"/>
      <c r="C27" s="271">
        <v>8468</v>
      </c>
      <c r="D27" s="272">
        <v>1</v>
      </c>
      <c r="E27" s="271">
        <v>8474</v>
      </c>
      <c r="F27" s="272">
        <v>1</v>
      </c>
      <c r="G27" s="271">
        <v>8954</v>
      </c>
      <c r="H27" s="272">
        <v>1</v>
      </c>
      <c r="I27" s="271">
        <v>9039</v>
      </c>
      <c r="J27" s="272">
        <v>1</v>
      </c>
      <c r="K27" s="271">
        <v>8998</v>
      </c>
      <c r="L27" s="272">
        <v>1</v>
      </c>
      <c r="M27" s="271">
        <v>6767</v>
      </c>
      <c r="N27" s="272">
        <v>1</v>
      </c>
      <c r="O27" s="271">
        <v>8047</v>
      </c>
      <c r="P27" s="272">
        <v>1</v>
      </c>
      <c r="Q27" s="271">
        <v>8461</v>
      </c>
      <c r="R27" s="272">
        <v>1</v>
      </c>
      <c r="S27" s="271">
        <v>8375</v>
      </c>
      <c r="T27" s="272">
        <v>1</v>
      </c>
      <c r="U27" s="271">
        <v>8330</v>
      </c>
      <c r="V27" s="272">
        <v>1</v>
      </c>
    </row>
    <row r="28" spans="1:22">
      <c r="A28" s="273" t="s">
        <v>723</v>
      </c>
      <c r="B28" s="273"/>
      <c r="C28" s="274">
        <v>8468</v>
      </c>
      <c r="D28" s="275">
        <v>1</v>
      </c>
      <c r="E28" s="274">
        <v>8474</v>
      </c>
      <c r="F28" s="275">
        <v>1</v>
      </c>
      <c r="G28" s="274">
        <v>8954</v>
      </c>
      <c r="H28" s="275">
        <v>1</v>
      </c>
      <c r="I28" s="274">
        <v>9039</v>
      </c>
      <c r="J28" s="275">
        <v>1</v>
      </c>
      <c r="K28" s="274">
        <v>8998</v>
      </c>
      <c r="L28" s="275">
        <v>1</v>
      </c>
      <c r="M28" s="274">
        <v>6767</v>
      </c>
      <c r="N28" s="275">
        <v>1</v>
      </c>
      <c r="O28" s="274">
        <v>8047</v>
      </c>
      <c r="P28" s="275">
        <v>1</v>
      </c>
      <c r="Q28" s="274">
        <v>8461</v>
      </c>
      <c r="R28" s="275">
        <v>1</v>
      </c>
      <c r="S28" s="274">
        <v>8375</v>
      </c>
      <c r="T28" s="275">
        <v>1</v>
      </c>
      <c r="U28" s="274">
        <v>8330</v>
      </c>
      <c r="V28" s="275">
        <v>1</v>
      </c>
    </row>
    <row r="29" spans="1:22">
      <c r="A29" s="270" t="s">
        <v>736</v>
      </c>
      <c r="B29" s="270"/>
      <c r="C29" s="271">
        <v>0</v>
      </c>
      <c r="D29" s="272"/>
      <c r="E29" s="271">
        <v>0</v>
      </c>
      <c r="F29" s="272"/>
      <c r="G29" s="271">
        <v>0</v>
      </c>
      <c r="H29" s="272"/>
      <c r="I29" s="271">
        <v>0</v>
      </c>
      <c r="J29" s="272"/>
      <c r="K29" s="271">
        <v>0</v>
      </c>
      <c r="L29" s="272"/>
      <c r="M29" s="271">
        <v>0</v>
      </c>
      <c r="N29" s="272"/>
      <c r="O29" s="271">
        <v>0</v>
      </c>
      <c r="P29" s="272"/>
      <c r="Q29" s="271">
        <v>0</v>
      </c>
      <c r="R29" s="272"/>
      <c r="S29" s="271">
        <v>0</v>
      </c>
      <c r="T29" s="272"/>
      <c r="U29" s="271">
        <v>0</v>
      </c>
      <c r="V29" s="272"/>
    </row>
    <row r="30" spans="1:22">
      <c r="A30" s="273" t="s">
        <v>723</v>
      </c>
      <c r="B30" s="273"/>
      <c r="C30" s="274">
        <v>31.3</v>
      </c>
      <c r="D30" s="275"/>
      <c r="E30" s="274">
        <v>32.799999999999997</v>
      </c>
      <c r="F30" s="275"/>
      <c r="G30" s="274">
        <v>32.799999999999997</v>
      </c>
      <c r="H30" s="275"/>
      <c r="I30" s="274">
        <v>36.200000000000003</v>
      </c>
      <c r="J30" s="275"/>
      <c r="K30" s="274">
        <v>36.6</v>
      </c>
      <c r="L30" s="275"/>
      <c r="M30" s="274">
        <v>39</v>
      </c>
      <c r="N30" s="275"/>
      <c r="O30" s="274">
        <v>32.9</v>
      </c>
      <c r="P30" s="275"/>
      <c r="Q30" s="274">
        <v>33.200000000000003</v>
      </c>
      <c r="R30" s="275"/>
      <c r="S30" s="274">
        <v>35.1</v>
      </c>
      <c r="T30" s="275"/>
      <c r="U30" s="274">
        <v>36.200000000000003</v>
      </c>
      <c r="V30" s="275"/>
    </row>
    <row r="31" spans="1:22">
      <c r="A31" s="270" t="s">
        <v>737</v>
      </c>
      <c r="B31" s="270"/>
      <c r="C31" s="271">
        <v>0</v>
      </c>
      <c r="D31" s="272"/>
      <c r="E31" s="271">
        <v>0</v>
      </c>
      <c r="F31" s="272"/>
      <c r="G31" s="271">
        <v>0</v>
      </c>
      <c r="H31" s="272"/>
      <c r="I31" s="271">
        <v>0</v>
      </c>
      <c r="J31" s="272"/>
      <c r="K31" s="271">
        <v>0</v>
      </c>
      <c r="L31" s="272"/>
      <c r="M31" s="271">
        <v>0</v>
      </c>
      <c r="N31" s="272"/>
      <c r="O31" s="271">
        <v>0</v>
      </c>
      <c r="P31" s="272"/>
      <c r="Q31" s="271">
        <v>0</v>
      </c>
      <c r="R31" s="272"/>
      <c r="S31" s="271">
        <v>0</v>
      </c>
      <c r="T31" s="272"/>
      <c r="U31" s="271">
        <v>0</v>
      </c>
      <c r="V31" s="272"/>
    </row>
    <row r="32" spans="1:22">
      <c r="A32" s="273" t="s">
        <v>738</v>
      </c>
      <c r="B32" s="273"/>
      <c r="C32" s="274">
        <v>0.5</v>
      </c>
      <c r="D32" s="275"/>
      <c r="E32" s="274">
        <v>0.6</v>
      </c>
      <c r="F32" s="275"/>
      <c r="G32" s="274">
        <v>-1.9</v>
      </c>
      <c r="H32" s="275"/>
      <c r="I32" s="274">
        <v>0.3</v>
      </c>
      <c r="J32" s="275"/>
      <c r="K32" s="274">
        <v>0.1</v>
      </c>
      <c r="L32" s="275"/>
      <c r="M32" s="274">
        <v>0</v>
      </c>
      <c r="N32" s="275"/>
      <c r="O32" s="274">
        <v>-0.1</v>
      </c>
      <c r="P32" s="275"/>
      <c r="Q32" s="274">
        <v>0.3</v>
      </c>
      <c r="R32" s="275"/>
      <c r="S32" s="274">
        <v>0.9</v>
      </c>
      <c r="T32" s="275"/>
      <c r="U32" s="274">
        <v>1.1000000000000001</v>
      </c>
      <c r="V32" s="275"/>
    </row>
    <row r="33" spans="1:22">
      <c r="A33" s="273" t="s">
        <v>723</v>
      </c>
      <c r="B33" s="273"/>
      <c r="C33" s="274">
        <v>-3</v>
      </c>
      <c r="D33" s="275"/>
      <c r="E33" s="274">
        <v>-3.5</v>
      </c>
      <c r="F33" s="275"/>
      <c r="G33" s="274">
        <v>-2.2000000000000002</v>
      </c>
      <c r="H33" s="275"/>
      <c r="I33" s="274">
        <v>1.7</v>
      </c>
      <c r="J33" s="275"/>
      <c r="K33" s="274">
        <v>-0.8</v>
      </c>
      <c r="L33" s="275"/>
      <c r="M33" s="274">
        <v>-27.9</v>
      </c>
      <c r="N33" s="275"/>
      <c r="O33" s="274">
        <v>43</v>
      </c>
      <c r="P33" s="275"/>
      <c r="Q33" s="274">
        <v>0.3</v>
      </c>
      <c r="R33" s="275"/>
      <c r="S33" s="274">
        <v>-6.9</v>
      </c>
      <c r="T33" s="275"/>
      <c r="U33" s="274">
        <v>-2</v>
      </c>
      <c r="V33" s="275"/>
    </row>
    <row r="34" spans="1:22">
      <c r="A34" s="270" t="s">
        <v>739</v>
      </c>
      <c r="B34" s="270"/>
      <c r="C34" s="271">
        <v>0</v>
      </c>
      <c r="D34" s="272"/>
      <c r="E34" s="271">
        <v>0</v>
      </c>
      <c r="F34" s="272"/>
      <c r="G34" s="271">
        <v>0</v>
      </c>
      <c r="H34" s="272"/>
      <c r="I34" s="271">
        <v>0</v>
      </c>
      <c r="J34" s="272"/>
      <c r="K34" s="271">
        <v>119505</v>
      </c>
      <c r="L34" s="272">
        <v>1</v>
      </c>
      <c r="M34" s="271">
        <v>113342</v>
      </c>
      <c r="N34" s="272">
        <v>1</v>
      </c>
      <c r="O34" s="271">
        <v>112383</v>
      </c>
      <c r="P34" s="272">
        <v>1</v>
      </c>
      <c r="Q34" s="271">
        <v>111324</v>
      </c>
      <c r="R34" s="272">
        <v>1</v>
      </c>
      <c r="S34" s="271">
        <v>110266</v>
      </c>
      <c r="T34" s="272">
        <v>1</v>
      </c>
      <c r="U34" s="271">
        <v>100091</v>
      </c>
      <c r="V34" s="272">
        <v>1</v>
      </c>
    </row>
    <row r="35" spans="1:22">
      <c r="A35" s="273" t="s">
        <v>728</v>
      </c>
      <c r="B35" s="273"/>
      <c r="C35" s="274">
        <v>0</v>
      </c>
      <c r="D35" s="275"/>
      <c r="E35" s="274">
        <v>0</v>
      </c>
      <c r="F35" s="275"/>
      <c r="G35" s="274">
        <v>0</v>
      </c>
      <c r="H35" s="275"/>
      <c r="I35" s="274">
        <v>0</v>
      </c>
      <c r="J35" s="275"/>
      <c r="K35" s="274">
        <v>110404</v>
      </c>
      <c r="L35" s="275">
        <v>0.92384419061963896</v>
      </c>
      <c r="M35" s="274">
        <v>104330</v>
      </c>
      <c r="N35" s="275">
        <v>0.92048843323745799</v>
      </c>
      <c r="O35" s="274">
        <v>103325</v>
      </c>
      <c r="P35" s="275">
        <v>0.91940062109037801</v>
      </c>
      <c r="Q35" s="274">
        <v>102426</v>
      </c>
      <c r="R35" s="275">
        <v>0.92007114368869303</v>
      </c>
      <c r="S35" s="274">
        <v>101333</v>
      </c>
      <c r="T35" s="275">
        <v>0.91898681370504098</v>
      </c>
      <c r="U35" s="274">
        <v>91401</v>
      </c>
      <c r="V35" s="275">
        <v>0.91317900710353594</v>
      </c>
    </row>
    <row r="36" spans="1:22">
      <c r="A36" s="273" t="s">
        <v>740</v>
      </c>
      <c r="B36" s="273"/>
      <c r="C36" s="274">
        <v>0</v>
      </c>
      <c r="D36" s="275"/>
      <c r="E36" s="274">
        <v>0</v>
      </c>
      <c r="F36" s="275"/>
      <c r="G36" s="274">
        <v>0</v>
      </c>
      <c r="H36" s="275"/>
      <c r="I36" s="274">
        <v>0</v>
      </c>
      <c r="J36" s="275"/>
      <c r="K36" s="274">
        <v>0</v>
      </c>
      <c r="L36" s="275"/>
      <c r="M36" s="274">
        <v>0</v>
      </c>
      <c r="N36" s="275"/>
      <c r="O36" s="274">
        <v>102631</v>
      </c>
      <c r="P36" s="275">
        <v>0.91322530987782802</v>
      </c>
      <c r="Q36" s="274">
        <v>101519</v>
      </c>
      <c r="R36" s="275">
        <v>0.91192375408716897</v>
      </c>
      <c r="S36" s="274">
        <v>100577</v>
      </c>
      <c r="T36" s="275">
        <v>0.91213066584441305</v>
      </c>
      <c r="U36" s="274">
        <v>90480</v>
      </c>
      <c r="V36" s="275">
        <v>0.90397738058366905</v>
      </c>
    </row>
    <row r="37" spans="1:22">
      <c r="A37" s="273" t="s">
        <v>741</v>
      </c>
      <c r="B37" s="273"/>
      <c r="C37" s="274">
        <v>0</v>
      </c>
      <c r="D37" s="275"/>
      <c r="E37" s="274">
        <v>0</v>
      </c>
      <c r="F37" s="275"/>
      <c r="G37" s="274">
        <v>0</v>
      </c>
      <c r="H37" s="275"/>
      <c r="I37" s="274">
        <v>0</v>
      </c>
      <c r="J37" s="275"/>
      <c r="K37" s="274">
        <v>0</v>
      </c>
      <c r="L37" s="275"/>
      <c r="M37" s="274">
        <v>0</v>
      </c>
      <c r="N37" s="275"/>
      <c r="O37" s="274">
        <v>166</v>
      </c>
      <c r="P37" s="275">
        <v>1.47709173095575E-3</v>
      </c>
      <c r="Q37" s="274">
        <v>352</v>
      </c>
      <c r="R37" s="275">
        <v>3.1619417196651202E-3</v>
      </c>
      <c r="S37" s="274">
        <v>482</v>
      </c>
      <c r="T37" s="275">
        <v>4.37124771008289E-3</v>
      </c>
      <c r="U37" s="274">
        <v>772</v>
      </c>
      <c r="V37" s="275">
        <v>7.7129811871197197E-3</v>
      </c>
    </row>
    <row r="38" spans="1:22">
      <c r="A38" s="273" t="s">
        <v>742</v>
      </c>
      <c r="B38" s="273"/>
      <c r="C38" s="274">
        <v>0</v>
      </c>
      <c r="D38" s="275"/>
      <c r="E38" s="274">
        <v>0</v>
      </c>
      <c r="F38" s="275"/>
      <c r="G38" s="274">
        <v>0</v>
      </c>
      <c r="H38" s="275"/>
      <c r="I38" s="274">
        <v>0</v>
      </c>
      <c r="J38" s="275"/>
      <c r="K38" s="274">
        <v>0</v>
      </c>
      <c r="L38" s="275"/>
      <c r="M38" s="274">
        <v>0</v>
      </c>
      <c r="N38" s="275"/>
      <c r="O38" s="274">
        <v>247</v>
      </c>
      <c r="P38" s="275">
        <v>2.1978413105184901E-3</v>
      </c>
      <c r="Q38" s="274">
        <v>274</v>
      </c>
      <c r="R38" s="275">
        <v>2.46128417951205E-3</v>
      </c>
      <c r="S38" s="274">
        <v>274</v>
      </c>
      <c r="T38" s="275">
        <v>2.4849001505450499E-3</v>
      </c>
      <c r="U38" s="274">
        <v>149</v>
      </c>
      <c r="V38" s="275">
        <v>1.4886453327472E-3</v>
      </c>
    </row>
    <row r="39" spans="1:22">
      <c r="A39" s="273" t="s">
        <v>743</v>
      </c>
      <c r="B39" s="273"/>
      <c r="C39" s="274">
        <v>0</v>
      </c>
      <c r="D39" s="275"/>
      <c r="E39" s="274">
        <v>0</v>
      </c>
      <c r="F39" s="275"/>
      <c r="G39" s="274">
        <v>0</v>
      </c>
      <c r="H39" s="275"/>
      <c r="I39" s="274">
        <v>0</v>
      </c>
      <c r="J39" s="275"/>
      <c r="K39" s="274">
        <v>0</v>
      </c>
      <c r="L39" s="275"/>
      <c r="M39" s="274">
        <v>0</v>
      </c>
      <c r="N39" s="275"/>
      <c r="O39" s="274">
        <v>281</v>
      </c>
      <c r="P39" s="275">
        <v>2.5003781710757002E-3</v>
      </c>
      <c r="Q39" s="274">
        <v>281</v>
      </c>
      <c r="R39" s="275">
        <v>2.5241637023462999E-3</v>
      </c>
      <c r="S39" s="274">
        <v>0</v>
      </c>
      <c r="T39" s="275"/>
      <c r="U39" s="274">
        <v>0</v>
      </c>
      <c r="V39" s="275"/>
    </row>
    <row r="40" spans="1:22">
      <c r="A40" s="273" t="s">
        <v>744</v>
      </c>
      <c r="B40" s="273"/>
      <c r="C40" s="274">
        <v>0</v>
      </c>
      <c r="D40" s="275"/>
      <c r="E40" s="274">
        <v>0</v>
      </c>
      <c r="F40" s="275"/>
      <c r="G40" s="274">
        <v>0</v>
      </c>
      <c r="H40" s="275"/>
      <c r="I40" s="274">
        <v>0</v>
      </c>
      <c r="J40" s="275"/>
      <c r="K40" s="274">
        <v>8732</v>
      </c>
      <c r="L40" s="275">
        <v>7.3068072465587205E-2</v>
      </c>
      <c r="M40" s="274">
        <v>8667</v>
      </c>
      <c r="N40" s="275">
        <v>7.6467681883150104E-2</v>
      </c>
      <c r="O40" s="274">
        <v>8724</v>
      </c>
      <c r="P40" s="275">
        <v>7.7627399161794897E-2</v>
      </c>
      <c r="Q40" s="274">
        <v>8562</v>
      </c>
      <c r="R40" s="275">
        <v>7.6910639215263601E-2</v>
      </c>
      <c r="S40" s="274">
        <v>8598</v>
      </c>
      <c r="T40" s="275">
        <v>7.7975078446665305E-2</v>
      </c>
      <c r="U40" s="274">
        <v>8328</v>
      </c>
      <c r="V40" s="275">
        <v>8.3204284101467699E-2</v>
      </c>
    </row>
    <row r="41" spans="1:22">
      <c r="A41" s="273" t="s">
        <v>745</v>
      </c>
      <c r="B41" s="273"/>
      <c r="C41" s="274">
        <v>0</v>
      </c>
      <c r="D41" s="275"/>
      <c r="E41" s="274">
        <v>0</v>
      </c>
      <c r="F41" s="275"/>
      <c r="G41" s="274">
        <v>0</v>
      </c>
      <c r="H41" s="275"/>
      <c r="I41" s="274">
        <v>0</v>
      </c>
      <c r="J41" s="275"/>
      <c r="K41" s="274">
        <v>8275</v>
      </c>
      <c r="L41" s="275">
        <v>6.9243964687669995E-2</v>
      </c>
      <c r="M41" s="274">
        <v>8210</v>
      </c>
      <c r="N41" s="275">
        <v>7.2435637274796599E-2</v>
      </c>
      <c r="O41" s="274">
        <v>8212</v>
      </c>
      <c r="P41" s="275">
        <v>7.3071549967521798E-2</v>
      </c>
      <c r="Q41" s="274">
        <v>8003</v>
      </c>
      <c r="R41" s="275">
        <v>7.18892601774999E-2</v>
      </c>
      <c r="S41" s="274">
        <v>8003</v>
      </c>
      <c r="T41" s="275">
        <v>7.2579036148948894E-2</v>
      </c>
      <c r="U41" s="274">
        <v>7671</v>
      </c>
      <c r="V41" s="275">
        <v>7.6640257365797104E-2</v>
      </c>
    </row>
    <row r="42" spans="1:22">
      <c r="A42" s="273" t="s">
        <v>746</v>
      </c>
      <c r="B42" s="273"/>
      <c r="C42" s="274">
        <v>0</v>
      </c>
      <c r="D42" s="275"/>
      <c r="E42" s="274">
        <v>0</v>
      </c>
      <c r="F42" s="275"/>
      <c r="G42" s="274">
        <v>0</v>
      </c>
      <c r="H42" s="275"/>
      <c r="I42" s="274">
        <v>0</v>
      </c>
      <c r="J42" s="275"/>
      <c r="K42" s="274">
        <v>457</v>
      </c>
      <c r="L42" s="275">
        <v>3.8241077779172399E-3</v>
      </c>
      <c r="M42" s="274">
        <v>457</v>
      </c>
      <c r="N42" s="275">
        <v>4.0320446083534798E-3</v>
      </c>
      <c r="O42" s="274">
        <v>490</v>
      </c>
      <c r="P42" s="275">
        <v>4.3600900492067303E-3</v>
      </c>
      <c r="Q42" s="274">
        <v>481</v>
      </c>
      <c r="R42" s="275">
        <v>4.3207214976105799E-3</v>
      </c>
      <c r="S42" s="274">
        <v>498</v>
      </c>
      <c r="T42" s="275">
        <v>4.5163513685088797E-3</v>
      </c>
      <c r="U42" s="274">
        <v>539</v>
      </c>
      <c r="V42" s="275">
        <v>5.3850995594009396E-3</v>
      </c>
    </row>
    <row r="43" spans="1:22">
      <c r="A43" s="273" t="s">
        <v>747</v>
      </c>
      <c r="B43" s="273"/>
      <c r="C43" s="274">
        <v>0</v>
      </c>
      <c r="D43" s="275"/>
      <c r="E43" s="274">
        <v>0</v>
      </c>
      <c r="F43" s="275"/>
      <c r="G43" s="274">
        <v>0</v>
      </c>
      <c r="H43" s="275"/>
      <c r="I43" s="274">
        <v>0</v>
      </c>
      <c r="J43" s="275"/>
      <c r="K43" s="274">
        <v>0</v>
      </c>
      <c r="L43" s="275"/>
      <c r="M43" s="274">
        <v>0</v>
      </c>
      <c r="N43" s="275"/>
      <c r="O43" s="274">
        <v>22</v>
      </c>
      <c r="P43" s="275">
        <v>1.9575914506642501E-4</v>
      </c>
      <c r="Q43" s="274">
        <v>78</v>
      </c>
      <c r="R43" s="275">
        <v>7.0065754015306695E-4</v>
      </c>
      <c r="S43" s="274">
        <v>97</v>
      </c>
      <c r="T43" s="275">
        <v>8.7969092920755305E-4</v>
      </c>
      <c r="U43" s="274">
        <v>118</v>
      </c>
      <c r="V43" s="275">
        <v>1.17892717626959E-3</v>
      </c>
    </row>
    <row r="44" spans="1:22">
      <c r="A44" s="273" t="s">
        <v>731</v>
      </c>
      <c r="B44" s="273"/>
      <c r="C44" s="274">
        <v>0</v>
      </c>
      <c r="D44" s="275"/>
      <c r="E44" s="274">
        <v>0</v>
      </c>
      <c r="F44" s="275"/>
      <c r="G44" s="274">
        <v>0</v>
      </c>
      <c r="H44" s="275"/>
      <c r="I44" s="274">
        <v>0</v>
      </c>
      <c r="J44" s="275"/>
      <c r="K44" s="274">
        <v>369</v>
      </c>
      <c r="L44" s="275">
        <v>3.0877369147734399E-3</v>
      </c>
      <c r="M44" s="274">
        <v>345</v>
      </c>
      <c r="N44" s="275">
        <v>3.0438848793915801E-3</v>
      </c>
      <c r="O44" s="274">
        <v>334</v>
      </c>
      <c r="P44" s="275">
        <v>2.9719797478266301E-3</v>
      </c>
      <c r="Q44" s="274">
        <v>336</v>
      </c>
      <c r="R44" s="275">
        <v>3.0182170960439802E-3</v>
      </c>
      <c r="S44" s="274">
        <v>335</v>
      </c>
      <c r="T44" s="275">
        <v>3.0381078482941302E-3</v>
      </c>
      <c r="U44" s="274">
        <v>362</v>
      </c>
      <c r="V44" s="275">
        <v>3.6167087949965501E-3</v>
      </c>
    </row>
    <row r="45" spans="1:22">
      <c r="A45" s="270" t="s">
        <v>748</v>
      </c>
      <c r="B45" s="270"/>
      <c r="C45" s="271">
        <v>868</v>
      </c>
      <c r="D45" s="272">
        <v>1</v>
      </c>
      <c r="E45" s="271">
        <v>829</v>
      </c>
      <c r="F45" s="272">
        <v>1</v>
      </c>
      <c r="G45" s="271">
        <v>852</v>
      </c>
      <c r="H45" s="272">
        <v>1</v>
      </c>
      <c r="I45" s="271">
        <v>0</v>
      </c>
      <c r="J45" s="272"/>
      <c r="K45" s="271">
        <v>0</v>
      </c>
      <c r="L45" s="272"/>
      <c r="M45" s="271">
        <v>0</v>
      </c>
      <c r="N45" s="272"/>
      <c r="O45" s="271">
        <v>0</v>
      </c>
      <c r="P45" s="272"/>
      <c r="Q45" s="271">
        <v>0</v>
      </c>
      <c r="R45" s="272"/>
      <c r="S45" s="271">
        <v>0</v>
      </c>
      <c r="T45" s="272"/>
      <c r="U45" s="271">
        <v>0</v>
      </c>
      <c r="V45" s="272"/>
    </row>
    <row r="46" spans="1:22">
      <c r="A46" s="273" t="s">
        <v>725</v>
      </c>
      <c r="B46" s="273"/>
      <c r="C46" s="274">
        <v>38</v>
      </c>
      <c r="D46" s="275">
        <v>4.3778801843317998E-2</v>
      </c>
      <c r="E46" s="274">
        <v>38</v>
      </c>
      <c r="F46" s="275">
        <v>4.5838359469240003E-2</v>
      </c>
      <c r="G46" s="274">
        <v>38</v>
      </c>
      <c r="H46" s="275">
        <v>4.46009389671361E-2</v>
      </c>
      <c r="I46" s="274">
        <v>0</v>
      </c>
      <c r="J46" s="275"/>
      <c r="K46" s="274">
        <v>0</v>
      </c>
      <c r="L46" s="275"/>
      <c r="M46" s="274">
        <v>0</v>
      </c>
      <c r="N46" s="275"/>
      <c r="O46" s="274">
        <v>0</v>
      </c>
      <c r="P46" s="275"/>
      <c r="Q46" s="274">
        <v>0</v>
      </c>
      <c r="R46" s="275"/>
      <c r="S46" s="274">
        <v>0</v>
      </c>
      <c r="T46" s="275"/>
      <c r="U46" s="274">
        <v>0</v>
      </c>
      <c r="V46" s="275"/>
    </row>
    <row r="47" spans="1:22">
      <c r="A47" s="273" t="s">
        <v>731</v>
      </c>
      <c r="B47" s="273"/>
      <c r="C47" s="274">
        <v>77</v>
      </c>
      <c r="D47" s="275">
        <v>8.8709677419354802E-2</v>
      </c>
      <c r="E47" s="274">
        <v>101</v>
      </c>
      <c r="F47" s="275">
        <v>0.12183353437876999</v>
      </c>
      <c r="G47" s="274">
        <v>137</v>
      </c>
      <c r="H47" s="275">
        <v>0.16079812206572799</v>
      </c>
      <c r="I47" s="274">
        <v>0</v>
      </c>
      <c r="J47" s="275"/>
      <c r="K47" s="274">
        <v>0</v>
      </c>
      <c r="L47" s="275"/>
      <c r="M47" s="274">
        <v>0</v>
      </c>
      <c r="N47" s="275"/>
      <c r="O47" s="274">
        <v>0</v>
      </c>
      <c r="P47" s="275"/>
      <c r="Q47" s="274">
        <v>0</v>
      </c>
      <c r="R47" s="275"/>
      <c r="S47" s="274">
        <v>0</v>
      </c>
      <c r="T47" s="275"/>
      <c r="U47" s="274">
        <v>0</v>
      </c>
      <c r="V47" s="275"/>
    </row>
    <row r="48" spans="1:22">
      <c r="A48" s="273" t="s">
        <v>749</v>
      </c>
      <c r="B48" s="273"/>
      <c r="C48" s="274">
        <v>6</v>
      </c>
      <c r="D48" s="275">
        <v>6.9124423963133601E-3</v>
      </c>
      <c r="E48" s="274">
        <v>7</v>
      </c>
      <c r="F48" s="275">
        <v>8.4439083232810599E-3</v>
      </c>
      <c r="G48" s="274">
        <v>7</v>
      </c>
      <c r="H48" s="275">
        <v>8.2159624413145494E-3</v>
      </c>
      <c r="I48" s="274">
        <v>0</v>
      </c>
      <c r="J48" s="275"/>
      <c r="K48" s="274">
        <v>0</v>
      </c>
      <c r="L48" s="275"/>
      <c r="M48" s="274">
        <v>0</v>
      </c>
      <c r="N48" s="275"/>
      <c r="O48" s="274">
        <v>0</v>
      </c>
      <c r="P48" s="275"/>
      <c r="Q48" s="274">
        <v>0</v>
      </c>
      <c r="R48" s="275"/>
      <c r="S48" s="274">
        <v>0</v>
      </c>
      <c r="T48" s="275"/>
      <c r="U48" s="274">
        <v>0</v>
      </c>
      <c r="V48" s="275"/>
    </row>
    <row r="49" spans="1:22">
      <c r="A49" s="273" t="s">
        <v>750</v>
      </c>
      <c r="B49" s="273"/>
      <c r="C49" s="274">
        <v>170</v>
      </c>
      <c r="D49" s="275">
        <v>0.19585253456221199</v>
      </c>
      <c r="E49" s="274">
        <v>153</v>
      </c>
      <c r="F49" s="275">
        <v>0.18455971049457201</v>
      </c>
      <c r="G49" s="274">
        <v>150</v>
      </c>
      <c r="H49" s="275">
        <v>0.176056338028169</v>
      </c>
      <c r="I49" s="274">
        <v>0</v>
      </c>
      <c r="J49" s="275"/>
      <c r="K49" s="274">
        <v>0</v>
      </c>
      <c r="L49" s="275"/>
      <c r="M49" s="274">
        <v>0</v>
      </c>
      <c r="N49" s="275"/>
      <c r="O49" s="274">
        <v>0</v>
      </c>
      <c r="P49" s="275"/>
      <c r="Q49" s="274">
        <v>0</v>
      </c>
      <c r="R49" s="275"/>
      <c r="S49" s="274">
        <v>0</v>
      </c>
      <c r="T49" s="275"/>
      <c r="U49" s="274">
        <v>0</v>
      </c>
      <c r="V49" s="275"/>
    </row>
    <row r="50" spans="1:22">
      <c r="A50" s="273" t="s">
        <v>751</v>
      </c>
      <c r="B50" s="273"/>
      <c r="C50" s="274">
        <v>16</v>
      </c>
      <c r="D50" s="275">
        <v>1.8433179723502301E-2</v>
      </c>
      <c r="E50" s="274">
        <v>17</v>
      </c>
      <c r="F50" s="275">
        <v>2.0506634499396902E-2</v>
      </c>
      <c r="G50" s="274">
        <v>17</v>
      </c>
      <c r="H50" s="275">
        <v>1.9953051643192499E-2</v>
      </c>
      <c r="I50" s="274">
        <v>0</v>
      </c>
      <c r="J50" s="275"/>
      <c r="K50" s="274">
        <v>0</v>
      </c>
      <c r="L50" s="275"/>
      <c r="M50" s="274">
        <v>0</v>
      </c>
      <c r="N50" s="275"/>
      <c r="O50" s="274">
        <v>0</v>
      </c>
      <c r="P50" s="275"/>
      <c r="Q50" s="274">
        <v>0</v>
      </c>
      <c r="R50" s="275"/>
      <c r="S50" s="274">
        <v>0</v>
      </c>
      <c r="T50" s="275"/>
      <c r="U50" s="274">
        <v>0</v>
      </c>
      <c r="V50" s="275"/>
    </row>
    <row r="51" spans="1:22">
      <c r="A51" s="273" t="s">
        <v>752</v>
      </c>
      <c r="B51" s="273"/>
      <c r="C51" s="274">
        <v>113</v>
      </c>
      <c r="D51" s="275">
        <v>0.13018433179723499</v>
      </c>
      <c r="E51" s="274">
        <v>108</v>
      </c>
      <c r="F51" s="275">
        <v>0.13027744270205099</v>
      </c>
      <c r="G51" s="274">
        <v>106</v>
      </c>
      <c r="H51" s="275">
        <v>0.124413145539906</v>
      </c>
      <c r="I51" s="274">
        <v>0</v>
      </c>
      <c r="J51" s="275"/>
      <c r="K51" s="274">
        <v>0</v>
      </c>
      <c r="L51" s="275"/>
      <c r="M51" s="274">
        <v>0</v>
      </c>
      <c r="N51" s="275"/>
      <c r="O51" s="274">
        <v>0</v>
      </c>
      <c r="P51" s="275"/>
      <c r="Q51" s="274">
        <v>0</v>
      </c>
      <c r="R51" s="275"/>
      <c r="S51" s="274">
        <v>0</v>
      </c>
      <c r="T51" s="275"/>
      <c r="U51" s="274">
        <v>0</v>
      </c>
      <c r="V51" s="275"/>
    </row>
    <row r="52" spans="1:22">
      <c r="A52" s="273" t="s">
        <v>753</v>
      </c>
      <c r="B52" s="273"/>
      <c r="C52" s="274">
        <v>130</v>
      </c>
      <c r="D52" s="275">
        <v>0.14976958525345599</v>
      </c>
      <c r="E52" s="274">
        <v>122</v>
      </c>
      <c r="F52" s="275">
        <v>0.14716525934861299</v>
      </c>
      <c r="G52" s="274">
        <v>120</v>
      </c>
      <c r="H52" s="275">
        <v>0.140845070422535</v>
      </c>
      <c r="I52" s="274">
        <v>0</v>
      </c>
      <c r="J52" s="275"/>
      <c r="K52" s="274">
        <v>0</v>
      </c>
      <c r="L52" s="275"/>
      <c r="M52" s="274">
        <v>0</v>
      </c>
      <c r="N52" s="275"/>
      <c r="O52" s="274">
        <v>0</v>
      </c>
      <c r="P52" s="275"/>
      <c r="Q52" s="274">
        <v>0</v>
      </c>
      <c r="R52" s="275"/>
      <c r="S52" s="274">
        <v>0</v>
      </c>
      <c r="T52" s="275"/>
      <c r="U52" s="274">
        <v>0</v>
      </c>
      <c r="V52" s="275"/>
    </row>
    <row r="53" spans="1:22">
      <c r="A53" s="273" t="s">
        <v>754</v>
      </c>
      <c r="B53" s="273"/>
      <c r="C53" s="274">
        <v>148</v>
      </c>
      <c r="D53" s="275">
        <v>0.17050691244239599</v>
      </c>
      <c r="E53" s="274">
        <v>127</v>
      </c>
      <c r="F53" s="275">
        <v>0.15319662243667101</v>
      </c>
      <c r="G53" s="274">
        <v>123</v>
      </c>
      <c r="H53" s="275">
        <v>0.14436619718309901</v>
      </c>
      <c r="I53" s="274">
        <v>0</v>
      </c>
      <c r="J53" s="275"/>
      <c r="K53" s="274">
        <v>0</v>
      </c>
      <c r="L53" s="275"/>
      <c r="M53" s="274">
        <v>0</v>
      </c>
      <c r="N53" s="275"/>
      <c r="O53" s="274">
        <v>0</v>
      </c>
      <c r="P53" s="275"/>
      <c r="Q53" s="274">
        <v>0</v>
      </c>
      <c r="R53" s="275"/>
      <c r="S53" s="274">
        <v>0</v>
      </c>
      <c r="T53" s="275"/>
      <c r="U53" s="274">
        <v>0</v>
      </c>
      <c r="V53" s="275"/>
    </row>
    <row r="54" spans="1:22">
      <c r="A54" s="273" t="s">
        <v>755</v>
      </c>
      <c r="B54" s="273"/>
      <c r="C54" s="274">
        <v>170</v>
      </c>
      <c r="D54" s="275">
        <v>0.19585253456221199</v>
      </c>
      <c r="E54" s="274">
        <v>156</v>
      </c>
      <c r="F54" s="275">
        <v>0.188178528347407</v>
      </c>
      <c r="G54" s="274">
        <v>154</v>
      </c>
      <c r="H54" s="275">
        <v>0.18075117370891999</v>
      </c>
      <c r="I54" s="274">
        <v>0</v>
      </c>
      <c r="J54" s="275"/>
      <c r="K54" s="274">
        <v>0</v>
      </c>
      <c r="L54" s="275"/>
      <c r="M54" s="274">
        <v>0</v>
      </c>
      <c r="N54" s="275"/>
      <c r="O54" s="274">
        <v>0</v>
      </c>
      <c r="P54" s="275"/>
      <c r="Q54" s="274">
        <v>0</v>
      </c>
      <c r="R54" s="275"/>
      <c r="S54" s="274">
        <v>0</v>
      </c>
      <c r="T54" s="275"/>
      <c r="U54" s="274">
        <v>0</v>
      </c>
      <c r="V54" s="275"/>
    </row>
    <row r="55" spans="1:22">
      <c r="A55" s="270" t="s">
        <v>756</v>
      </c>
      <c r="B55" s="270"/>
      <c r="C55" s="271">
        <v>88</v>
      </c>
      <c r="D55" s="272">
        <v>1</v>
      </c>
      <c r="E55" s="271">
        <v>27</v>
      </c>
      <c r="F55" s="272">
        <v>1</v>
      </c>
      <c r="G55" s="271">
        <v>38</v>
      </c>
      <c r="H55" s="272">
        <v>1</v>
      </c>
      <c r="I55" s="271">
        <v>27</v>
      </c>
      <c r="J55" s="272">
        <v>1</v>
      </c>
      <c r="K55" s="271">
        <v>12</v>
      </c>
      <c r="L55" s="272">
        <v>1</v>
      </c>
      <c r="M55" s="271">
        <v>6</v>
      </c>
      <c r="N55" s="272">
        <v>1</v>
      </c>
      <c r="O55" s="271">
        <v>9</v>
      </c>
      <c r="P55" s="272">
        <v>1</v>
      </c>
      <c r="Q55" s="271">
        <v>10</v>
      </c>
      <c r="R55" s="272">
        <v>1</v>
      </c>
      <c r="S55" s="271">
        <v>9</v>
      </c>
      <c r="T55" s="272">
        <v>1</v>
      </c>
      <c r="U55" s="271">
        <v>52</v>
      </c>
      <c r="V55" s="272">
        <v>1</v>
      </c>
    </row>
    <row r="56" spans="1:22">
      <c r="A56" s="273" t="s">
        <v>723</v>
      </c>
      <c r="B56" s="273"/>
      <c r="C56" s="274">
        <v>88</v>
      </c>
      <c r="D56" s="275">
        <v>1</v>
      </c>
      <c r="E56" s="274">
        <v>27</v>
      </c>
      <c r="F56" s="275">
        <v>1</v>
      </c>
      <c r="G56" s="274">
        <v>38</v>
      </c>
      <c r="H56" s="275">
        <v>1</v>
      </c>
      <c r="I56" s="274">
        <v>27</v>
      </c>
      <c r="J56" s="275">
        <v>1</v>
      </c>
      <c r="K56" s="274">
        <v>12</v>
      </c>
      <c r="L56" s="275">
        <v>1</v>
      </c>
      <c r="M56" s="274">
        <v>6</v>
      </c>
      <c r="N56" s="275">
        <v>1</v>
      </c>
      <c r="O56" s="274">
        <v>9</v>
      </c>
      <c r="P56" s="275">
        <v>1</v>
      </c>
      <c r="Q56" s="274">
        <v>10</v>
      </c>
      <c r="R56" s="275">
        <v>1</v>
      </c>
      <c r="S56" s="274">
        <v>9</v>
      </c>
      <c r="T56" s="275">
        <v>1</v>
      </c>
      <c r="U56" s="274">
        <v>52</v>
      </c>
      <c r="V56" s="275">
        <v>1</v>
      </c>
    </row>
    <row r="57" spans="1:22">
      <c r="A57" s="270" t="s">
        <v>757</v>
      </c>
      <c r="B57" s="270"/>
      <c r="C57" s="271">
        <v>43</v>
      </c>
      <c r="D57" s="272">
        <v>1</v>
      </c>
      <c r="E57" s="271">
        <v>66</v>
      </c>
      <c r="F57" s="272">
        <v>1</v>
      </c>
      <c r="G57" s="271">
        <v>15</v>
      </c>
      <c r="H57" s="272">
        <v>1</v>
      </c>
      <c r="I57" s="271">
        <v>12</v>
      </c>
      <c r="J57" s="272">
        <v>1</v>
      </c>
      <c r="K57" s="271">
        <v>37</v>
      </c>
      <c r="L57" s="272">
        <v>1</v>
      </c>
      <c r="M57" s="271">
        <v>54</v>
      </c>
      <c r="N57" s="272">
        <v>1</v>
      </c>
      <c r="O57" s="271">
        <v>11</v>
      </c>
      <c r="P57" s="272">
        <v>1</v>
      </c>
      <c r="Q57" s="271">
        <v>13</v>
      </c>
      <c r="R57" s="272">
        <v>1</v>
      </c>
      <c r="S57" s="271">
        <v>13</v>
      </c>
      <c r="T57" s="272">
        <v>1</v>
      </c>
      <c r="U57" s="271">
        <v>12</v>
      </c>
      <c r="V57" s="272">
        <v>1</v>
      </c>
    </row>
    <row r="58" spans="1:22">
      <c r="A58" s="273" t="s">
        <v>723</v>
      </c>
      <c r="B58" s="273"/>
      <c r="C58" s="274">
        <v>43</v>
      </c>
      <c r="D58" s="275">
        <v>1</v>
      </c>
      <c r="E58" s="274">
        <v>66</v>
      </c>
      <c r="F58" s="275">
        <v>1</v>
      </c>
      <c r="G58" s="274">
        <v>15</v>
      </c>
      <c r="H58" s="275">
        <v>1</v>
      </c>
      <c r="I58" s="274">
        <v>12</v>
      </c>
      <c r="J58" s="275">
        <v>1</v>
      </c>
      <c r="K58" s="274">
        <v>37</v>
      </c>
      <c r="L58" s="275">
        <v>1</v>
      </c>
      <c r="M58" s="274">
        <v>54</v>
      </c>
      <c r="N58" s="275">
        <v>1</v>
      </c>
      <c r="O58" s="274">
        <v>11</v>
      </c>
      <c r="P58" s="275">
        <v>1</v>
      </c>
      <c r="Q58" s="274">
        <v>13</v>
      </c>
      <c r="R58" s="275">
        <v>1</v>
      </c>
      <c r="S58" s="274">
        <v>13</v>
      </c>
      <c r="T58" s="275">
        <v>1</v>
      </c>
      <c r="U58" s="274">
        <v>12</v>
      </c>
      <c r="V58" s="275">
        <v>1</v>
      </c>
    </row>
    <row r="59" spans="1:22">
      <c r="A59" s="270" t="s">
        <v>758</v>
      </c>
      <c r="B59" s="270"/>
      <c r="C59" s="271">
        <v>870</v>
      </c>
      <c r="D59" s="272">
        <v>1</v>
      </c>
      <c r="E59" s="271">
        <v>829</v>
      </c>
      <c r="F59" s="272">
        <v>1</v>
      </c>
      <c r="G59" s="271">
        <v>852</v>
      </c>
      <c r="H59" s="272">
        <v>1</v>
      </c>
      <c r="I59" s="271">
        <v>867</v>
      </c>
      <c r="J59" s="272">
        <v>1</v>
      </c>
      <c r="K59" s="271">
        <v>0</v>
      </c>
      <c r="L59" s="272"/>
      <c r="M59" s="271">
        <v>0</v>
      </c>
      <c r="N59" s="272"/>
      <c r="O59" s="271">
        <v>0</v>
      </c>
      <c r="P59" s="272"/>
      <c r="Q59" s="271">
        <v>0</v>
      </c>
      <c r="R59" s="272"/>
      <c r="S59" s="271">
        <v>0</v>
      </c>
      <c r="T59" s="272"/>
      <c r="U59" s="271">
        <v>0</v>
      </c>
      <c r="V59" s="272"/>
    </row>
    <row r="60" spans="1:22">
      <c r="A60" s="273" t="s">
        <v>759</v>
      </c>
      <c r="B60" s="273"/>
      <c r="C60" s="274">
        <v>4</v>
      </c>
      <c r="D60" s="275">
        <v>4.5977011494252899E-3</v>
      </c>
      <c r="E60" s="274">
        <v>4</v>
      </c>
      <c r="F60" s="275">
        <v>4.8250904704463197E-3</v>
      </c>
      <c r="G60" s="274">
        <v>5</v>
      </c>
      <c r="H60" s="275">
        <v>5.8685446009389703E-3</v>
      </c>
      <c r="I60" s="274">
        <v>4</v>
      </c>
      <c r="J60" s="275">
        <v>4.61361014994233E-3</v>
      </c>
      <c r="K60" s="274">
        <v>0</v>
      </c>
      <c r="L60" s="275"/>
      <c r="M60" s="274">
        <v>0</v>
      </c>
      <c r="N60" s="275"/>
      <c r="O60" s="274">
        <v>0</v>
      </c>
      <c r="P60" s="275"/>
      <c r="Q60" s="274">
        <v>0</v>
      </c>
      <c r="R60" s="275"/>
      <c r="S60" s="274">
        <v>0</v>
      </c>
      <c r="T60" s="275"/>
      <c r="U60" s="274">
        <v>0</v>
      </c>
      <c r="V60" s="275"/>
    </row>
    <row r="61" spans="1:22">
      <c r="A61" s="273" t="s">
        <v>760</v>
      </c>
      <c r="B61" s="273"/>
      <c r="C61" s="274">
        <v>122</v>
      </c>
      <c r="D61" s="275">
        <v>0.140229885057471</v>
      </c>
      <c r="E61" s="274">
        <v>113</v>
      </c>
      <c r="F61" s="275">
        <v>0.13630880579010901</v>
      </c>
      <c r="G61" s="274">
        <v>118</v>
      </c>
      <c r="H61" s="275">
        <v>0.13849765258216001</v>
      </c>
      <c r="I61" s="274">
        <v>117</v>
      </c>
      <c r="J61" s="275">
        <v>0.134948096885813</v>
      </c>
      <c r="K61" s="274">
        <v>0</v>
      </c>
      <c r="L61" s="275"/>
      <c r="M61" s="274">
        <v>0</v>
      </c>
      <c r="N61" s="275"/>
      <c r="O61" s="274">
        <v>0</v>
      </c>
      <c r="P61" s="275"/>
      <c r="Q61" s="274">
        <v>0</v>
      </c>
      <c r="R61" s="275"/>
      <c r="S61" s="274">
        <v>0</v>
      </c>
      <c r="T61" s="275"/>
      <c r="U61" s="274">
        <v>0</v>
      </c>
      <c r="V61" s="275"/>
    </row>
    <row r="62" spans="1:22">
      <c r="A62" s="273" t="s">
        <v>761</v>
      </c>
      <c r="B62" s="273"/>
      <c r="C62" s="274">
        <v>318</v>
      </c>
      <c r="D62" s="275">
        <v>0.36551724137931002</v>
      </c>
      <c r="E62" s="274">
        <v>330</v>
      </c>
      <c r="F62" s="275">
        <v>0.39806996381182103</v>
      </c>
      <c r="G62" s="274">
        <v>359</v>
      </c>
      <c r="H62" s="275">
        <v>0.42136150234741798</v>
      </c>
      <c r="I62" s="274">
        <v>386</v>
      </c>
      <c r="J62" s="275">
        <v>0.44521337946943501</v>
      </c>
      <c r="K62" s="274">
        <v>0</v>
      </c>
      <c r="L62" s="275"/>
      <c r="M62" s="274">
        <v>0</v>
      </c>
      <c r="N62" s="275"/>
      <c r="O62" s="274">
        <v>0</v>
      </c>
      <c r="P62" s="275"/>
      <c r="Q62" s="274">
        <v>0</v>
      </c>
      <c r="R62" s="275"/>
      <c r="S62" s="274">
        <v>0</v>
      </c>
      <c r="T62" s="275"/>
      <c r="U62" s="274">
        <v>0</v>
      </c>
      <c r="V62" s="275"/>
    </row>
    <row r="63" spans="1:22">
      <c r="A63" s="273" t="s">
        <v>762</v>
      </c>
      <c r="B63" s="273"/>
      <c r="C63" s="274">
        <v>426</v>
      </c>
      <c r="D63" s="275">
        <v>0.48965517241379303</v>
      </c>
      <c r="E63" s="274">
        <v>382</v>
      </c>
      <c r="F63" s="275">
        <v>0.46079613992762403</v>
      </c>
      <c r="G63" s="274">
        <v>370</v>
      </c>
      <c r="H63" s="275">
        <v>0.43427230046948401</v>
      </c>
      <c r="I63" s="274">
        <v>360</v>
      </c>
      <c r="J63" s="275">
        <v>0.41522491349481</v>
      </c>
      <c r="K63" s="274">
        <v>0</v>
      </c>
      <c r="L63" s="275"/>
      <c r="M63" s="274">
        <v>0</v>
      </c>
      <c r="N63" s="275"/>
      <c r="O63" s="274">
        <v>0</v>
      </c>
      <c r="P63" s="275"/>
      <c r="Q63" s="274">
        <v>0</v>
      </c>
      <c r="R63" s="275"/>
      <c r="S63" s="274">
        <v>0</v>
      </c>
      <c r="T63" s="275"/>
      <c r="U63" s="274">
        <v>0</v>
      </c>
      <c r="V63" s="275"/>
    </row>
    <row r="64" spans="1:22">
      <c r="A64" s="270" t="s">
        <v>763</v>
      </c>
      <c r="B64" s="270"/>
      <c r="C64" s="271">
        <v>868</v>
      </c>
      <c r="D64" s="272">
        <v>1</v>
      </c>
      <c r="E64" s="271">
        <v>829</v>
      </c>
      <c r="F64" s="272">
        <v>1</v>
      </c>
      <c r="G64" s="271">
        <v>852</v>
      </c>
      <c r="H64" s="272">
        <v>1</v>
      </c>
      <c r="I64" s="271">
        <v>0</v>
      </c>
      <c r="J64" s="272"/>
      <c r="K64" s="271">
        <v>775</v>
      </c>
      <c r="L64" s="272">
        <v>1</v>
      </c>
      <c r="M64" s="271">
        <v>727</v>
      </c>
      <c r="N64" s="272">
        <v>1</v>
      </c>
      <c r="O64" s="271">
        <v>725</v>
      </c>
      <c r="P64" s="272">
        <v>1</v>
      </c>
      <c r="Q64" s="271">
        <v>722</v>
      </c>
      <c r="R64" s="272">
        <v>1</v>
      </c>
      <c r="S64" s="271">
        <v>718</v>
      </c>
      <c r="T64" s="272">
        <v>1</v>
      </c>
      <c r="U64" s="271">
        <v>680</v>
      </c>
      <c r="V64" s="272">
        <v>1</v>
      </c>
    </row>
    <row r="65" spans="1:22">
      <c r="A65" s="273" t="s">
        <v>728</v>
      </c>
      <c r="B65" s="273"/>
      <c r="C65" s="274">
        <v>0</v>
      </c>
      <c r="D65" s="275"/>
      <c r="E65" s="274">
        <v>0</v>
      </c>
      <c r="F65" s="275"/>
      <c r="G65" s="274">
        <v>0</v>
      </c>
      <c r="H65" s="275"/>
      <c r="I65" s="274">
        <v>0</v>
      </c>
      <c r="J65" s="275"/>
      <c r="K65" s="274">
        <v>551</v>
      </c>
      <c r="L65" s="275">
        <v>0.71096774193548395</v>
      </c>
      <c r="M65" s="274">
        <v>512</v>
      </c>
      <c r="N65" s="275">
        <v>0.70426409903713905</v>
      </c>
      <c r="O65" s="274">
        <v>510</v>
      </c>
      <c r="P65" s="275">
        <v>0.70344827586206904</v>
      </c>
      <c r="Q65" s="274">
        <v>507</v>
      </c>
      <c r="R65" s="275">
        <v>0.70221606648199397</v>
      </c>
      <c r="S65" s="274">
        <v>502</v>
      </c>
      <c r="T65" s="275">
        <v>0.69916434540390004</v>
      </c>
      <c r="U65" s="274">
        <v>450</v>
      </c>
      <c r="V65" s="275">
        <v>0.66176470588235303</v>
      </c>
    </row>
    <row r="66" spans="1:22">
      <c r="A66" s="273" t="s">
        <v>740</v>
      </c>
      <c r="B66" s="273"/>
      <c r="C66" s="274">
        <v>0</v>
      </c>
      <c r="D66" s="275"/>
      <c r="E66" s="274">
        <v>0</v>
      </c>
      <c r="F66" s="275"/>
      <c r="G66" s="274">
        <v>0</v>
      </c>
      <c r="H66" s="275"/>
      <c r="I66" s="274">
        <v>0</v>
      </c>
      <c r="J66" s="275"/>
      <c r="K66" s="274">
        <v>396</v>
      </c>
      <c r="L66" s="275">
        <v>0.510967741935484</v>
      </c>
      <c r="M66" s="274">
        <v>395</v>
      </c>
      <c r="N66" s="275">
        <v>0.54332874828060496</v>
      </c>
      <c r="O66" s="274">
        <v>395</v>
      </c>
      <c r="P66" s="275">
        <v>0.54482758620689697</v>
      </c>
      <c r="Q66" s="274">
        <v>441</v>
      </c>
      <c r="R66" s="275">
        <v>0.61080332409972304</v>
      </c>
      <c r="S66" s="274">
        <v>435</v>
      </c>
      <c r="T66" s="275">
        <v>0.60584958217270202</v>
      </c>
      <c r="U66" s="274">
        <v>390</v>
      </c>
      <c r="V66" s="275">
        <v>0.57352941176470595</v>
      </c>
    </row>
    <row r="67" spans="1:22">
      <c r="A67" s="273" t="s">
        <v>764</v>
      </c>
      <c r="B67" s="273"/>
      <c r="C67" s="274">
        <v>0</v>
      </c>
      <c r="D67" s="275"/>
      <c r="E67" s="274">
        <v>0</v>
      </c>
      <c r="F67" s="275"/>
      <c r="G67" s="274">
        <v>0</v>
      </c>
      <c r="H67" s="275"/>
      <c r="I67" s="274">
        <v>0</v>
      </c>
      <c r="J67" s="275"/>
      <c r="K67" s="274">
        <v>385</v>
      </c>
      <c r="L67" s="275">
        <v>0.49677419354838698</v>
      </c>
      <c r="M67" s="274">
        <v>384</v>
      </c>
      <c r="N67" s="275">
        <v>0.52819807427785403</v>
      </c>
      <c r="O67" s="274">
        <v>384</v>
      </c>
      <c r="P67" s="275">
        <v>0.52965517241379301</v>
      </c>
      <c r="Q67" s="274">
        <v>0</v>
      </c>
      <c r="R67" s="275"/>
      <c r="S67" s="274">
        <v>0</v>
      </c>
      <c r="T67" s="275"/>
      <c r="U67" s="274">
        <v>0</v>
      </c>
      <c r="V67" s="275"/>
    </row>
    <row r="68" spans="1:22">
      <c r="A68" s="273" t="s">
        <v>765</v>
      </c>
      <c r="B68" s="273"/>
      <c r="C68" s="274">
        <v>0</v>
      </c>
      <c r="D68" s="275"/>
      <c r="E68" s="274">
        <v>0</v>
      </c>
      <c r="F68" s="275"/>
      <c r="G68" s="274">
        <v>0</v>
      </c>
      <c r="H68" s="275"/>
      <c r="I68" s="274">
        <v>0</v>
      </c>
      <c r="J68" s="275"/>
      <c r="K68" s="274">
        <v>11</v>
      </c>
      <c r="L68" s="275">
        <v>1.4193548387096799E-2</v>
      </c>
      <c r="M68" s="274">
        <v>11</v>
      </c>
      <c r="N68" s="275">
        <v>1.5130674002750999E-2</v>
      </c>
      <c r="O68" s="274">
        <v>11</v>
      </c>
      <c r="P68" s="275">
        <v>1.51724137931034E-2</v>
      </c>
      <c r="Q68" s="274">
        <v>0</v>
      </c>
      <c r="R68" s="275"/>
      <c r="S68" s="274">
        <v>0</v>
      </c>
      <c r="T68" s="275"/>
      <c r="U68" s="274">
        <v>0</v>
      </c>
      <c r="V68" s="275"/>
    </row>
    <row r="69" spans="1:22">
      <c r="A69" s="273" t="s">
        <v>766</v>
      </c>
      <c r="B69" s="273"/>
      <c r="C69" s="274">
        <v>0</v>
      </c>
      <c r="D69" s="275"/>
      <c r="E69" s="274">
        <v>0</v>
      </c>
      <c r="F69" s="275"/>
      <c r="G69" s="274">
        <v>0</v>
      </c>
      <c r="H69" s="275"/>
      <c r="I69" s="274">
        <v>0</v>
      </c>
      <c r="J69" s="275"/>
      <c r="K69" s="274">
        <v>49</v>
      </c>
      <c r="L69" s="275">
        <v>6.3225806451612895E-2</v>
      </c>
      <c r="M69" s="274">
        <v>51</v>
      </c>
      <c r="N69" s="275">
        <v>7.0151306740027494E-2</v>
      </c>
      <c r="O69" s="274">
        <v>47</v>
      </c>
      <c r="P69" s="275">
        <v>6.4827586206896506E-2</v>
      </c>
      <c r="Q69" s="274">
        <v>46</v>
      </c>
      <c r="R69" s="275">
        <v>6.3711911357340695E-2</v>
      </c>
      <c r="S69" s="274">
        <v>45</v>
      </c>
      <c r="T69" s="275">
        <v>6.2674094707520903E-2</v>
      </c>
      <c r="U69" s="274">
        <v>34</v>
      </c>
      <c r="V69" s="275">
        <v>0.05</v>
      </c>
    </row>
    <row r="70" spans="1:22">
      <c r="A70" s="273" t="s">
        <v>741</v>
      </c>
      <c r="B70" s="273"/>
      <c r="C70" s="274">
        <v>0</v>
      </c>
      <c r="D70" s="275"/>
      <c r="E70" s="274">
        <v>0</v>
      </c>
      <c r="F70" s="275"/>
      <c r="G70" s="274">
        <v>0</v>
      </c>
      <c r="H70" s="275"/>
      <c r="I70" s="274">
        <v>0</v>
      </c>
      <c r="J70" s="275"/>
      <c r="K70" s="274">
        <v>0</v>
      </c>
      <c r="L70" s="275"/>
      <c r="M70" s="274">
        <v>0</v>
      </c>
      <c r="N70" s="275"/>
      <c r="O70" s="274">
        <v>5</v>
      </c>
      <c r="P70" s="275">
        <v>6.8965517241379301E-3</v>
      </c>
      <c r="Q70" s="274">
        <v>8</v>
      </c>
      <c r="R70" s="275">
        <v>1.1080332409972299E-2</v>
      </c>
      <c r="S70" s="274">
        <v>12</v>
      </c>
      <c r="T70" s="275">
        <v>1.67130919220056E-2</v>
      </c>
      <c r="U70" s="274">
        <v>20</v>
      </c>
      <c r="V70" s="275">
        <v>2.94117647058823E-2</v>
      </c>
    </row>
    <row r="71" spans="1:22">
      <c r="A71" s="273" t="s">
        <v>742</v>
      </c>
      <c r="B71" s="273"/>
      <c r="C71" s="274">
        <v>0</v>
      </c>
      <c r="D71" s="275"/>
      <c r="E71" s="274">
        <v>0</v>
      </c>
      <c r="F71" s="275"/>
      <c r="G71" s="274">
        <v>0</v>
      </c>
      <c r="H71" s="275"/>
      <c r="I71" s="274">
        <v>0</v>
      </c>
      <c r="J71" s="275"/>
      <c r="K71" s="274">
        <v>6</v>
      </c>
      <c r="L71" s="275">
        <v>7.7419354838709703E-3</v>
      </c>
      <c r="M71" s="274">
        <v>6</v>
      </c>
      <c r="N71" s="275">
        <v>8.2530949105914693E-3</v>
      </c>
      <c r="O71" s="274">
        <v>8</v>
      </c>
      <c r="P71" s="275">
        <v>1.1034482758620699E-2</v>
      </c>
      <c r="Q71" s="274">
        <v>9</v>
      </c>
      <c r="R71" s="275">
        <v>1.2465373961218801E-2</v>
      </c>
      <c r="S71" s="274">
        <v>9</v>
      </c>
      <c r="T71" s="275">
        <v>1.2534818941504201E-2</v>
      </c>
      <c r="U71" s="274">
        <v>5</v>
      </c>
      <c r="V71" s="275">
        <v>7.3529411764705899E-3</v>
      </c>
    </row>
    <row r="72" spans="1:22">
      <c r="A72" s="273" t="s">
        <v>767</v>
      </c>
      <c r="B72" s="273"/>
      <c r="C72" s="274">
        <v>0</v>
      </c>
      <c r="D72" s="275"/>
      <c r="E72" s="274">
        <v>0</v>
      </c>
      <c r="F72" s="275"/>
      <c r="G72" s="274">
        <v>0</v>
      </c>
      <c r="H72" s="275"/>
      <c r="I72" s="274">
        <v>0</v>
      </c>
      <c r="J72" s="275"/>
      <c r="K72" s="274">
        <v>4</v>
      </c>
      <c r="L72" s="275">
        <v>5.1612903225806504E-3</v>
      </c>
      <c r="M72" s="274">
        <v>2</v>
      </c>
      <c r="N72" s="275">
        <v>2.7510316368638201E-3</v>
      </c>
      <c r="O72" s="274">
        <v>2</v>
      </c>
      <c r="P72" s="275">
        <v>2.75862068965517E-3</v>
      </c>
      <c r="Q72" s="274">
        <v>1</v>
      </c>
      <c r="R72" s="275">
        <v>1.38504155124654E-3</v>
      </c>
      <c r="S72" s="274">
        <v>1</v>
      </c>
      <c r="T72" s="275">
        <v>1.3927576601671301E-3</v>
      </c>
      <c r="U72" s="274">
        <v>1</v>
      </c>
      <c r="V72" s="275">
        <v>1.47058823529412E-3</v>
      </c>
    </row>
    <row r="73" spans="1:22">
      <c r="A73" s="273" t="s">
        <v>743</v>
      </c>
      <c r="B73" s="273"/>
      <c r="C73" s="274">
        <v>0</v>
      </c>
      <c r="D73" s="275"/>
      <c r="E73" s="274">
        <v>0</v>
      </c>
      <c r="F73" s="275"/>
      <c r="G73" s="274">
        <v>0</v>
      </c>
      <c r="H73" s="275"/>
      <c r="I73" s="274">
        <v>0</v>
      </c>
      <c r="J73" s="275"/>
      <c r="K73" s="274">
        <v>0</v>
      </c>
      <c r="L73" s="275"/>
      <c r="M73" s="274">
        <v>0</v>
      </c>
      <c r="N73" s="275"/>
      <c r="O73" s="274">
        <v>2</v>
      </c>
      <c r="P73" s="275">
        <v>2.75862068965517E-3</v>
      </c>
      <c r="Q73" s="274">
        <v>2</v>
      </c>
      <c r="R73" s="275">
        <v>2.77008310249307E-3</v>
      </c>
      <c r="S73" s="274">
        <v>0</v>
      </c>
      <c r="T73" s="275"/>
      <c r="U73" s="274">
        <v>0</v>
      </c>
      <c r="V73" s="275"/>
    </row>
    <row r="74" spans="1:22">
      <c r="A74" s="273" t="s">
        <v>768</v>
      </c>
      <c r="B74" s="273"/>
      <c r="C74" s="274">
        <v>0</v>
      </c>
      <c r="D74" s="275"/>
      <c r="E74" s="274">
        <v>0</v>
      </c>
      <c r="F74" s="275"/>
      <c r="G74" s="274">
        <v>0</v>
      </c>
      <c r="H74" s="275"/>
      <c r="I74" s="274">
        <v>0</v>
      </c>
      <c r="J74" s="275"/>
      <c r="K74" s="274">
        <v>96</v>
      </c>
      <c r="L74" s="275">
        <v>0.123870967741935</v>
      </c>
      <c r="M74" s="274">
        <v>58</v>
      </c>
      <c r="N74" s="275">
        <v>7.9779917469050901E-2</v>
      </c>
      <c r="O74" s="274">
        <v>51</v>
      </c>
      <c r="P74" s="275">
        <v>7.0344827586206901E-2</v>
      </c>
      <c r="Q74" s="274">
        <v>0</v>
      </c>
      <c r="R74" s="275"/>
      <c r="S74" s="274">
        <v>0</v>
      </c>
      <c r="T74" s="275"/>
      <c r="U74" s="274">
        <v>0</v>
      </c>
      <c r="V74" s="275"/>
    </row>
    <row r="75" spans="1:22">
      <c r="A75" s="273" t="s">
        <v>731</v>
      </c>
      <c r="B75" s="273"/>
      <c r="C75" s="274">
        <v>0</v>
      </c>
      <c r="D75" s="275"/>
      <c r="E75" s="274">
        <v>0</v>
      </c>
      <c r="F75" s="275"/>
      <c r="G75" s="274">
        <v>0</v>
      </c>
      <c r="H75" s="275"/>
      <c r="I75" s="274">
        <v>0</v>
      </c>
      <c r="J75" s="275"/>
      <c r="K75" s="274">
        <v>171</v>
      </c>
      <c r="L75" s="275">
        <v>0.22064516129032299</v>
      </c>
      <c r="M75" s="274">
        <v>162</v>
      </c>
      <c r="N75" s="275">
        <v>0.22283356258597001</v>
      </c>
      <c r="O75" s="274">
        <v>160</v>
      </c>
      <c r="P75" s="275">
        <v>0.22068965517241401</v>
      </c>
      <c r="Q75" s="274">
        <v>160</v>
      </c>
      <c r="R75" s="275">
        <v>0.221606648199446</v>
      </c>
      <c r="S75" s="274">
        <v>159</v>
      </c>
      <c r="T75" s="275">
        <v>0.221448467966574</v>
      </c>
      <c r="U75" s="274">
        <v>171</v>
      </c>
      <c r="V75" s="275">
        <v>0.251470588235294</v>
      </c>
    </row>
    <row r="76" spans="1:22">
      <c r="A76" s="273" t="s">
        <v>744</v>
      </c>
      <c r="B76" s="273"/>
      <c r="C76" s="274">
        <v>0</v>
      </c>
      <c r="D76" s="275"/>
      <c r="E76" s="274">
        <v>0</v>
      </c>
      <c r="F76" s="275"/>
      <c r="G76" s="274">
        <v>0</v>
      </c>
      <c r="H76" s="275"/>
      <c r="I76" s="274">
        <v>0</v>
      </c>
      <c r="J76" s="275"/>
      <c r="K76" s="274">
        <v>53</v>
      </c>
      <c r="L76" s="275">
        <v>6.8387096774193606E-2</v>
      </c>
      <c r="M76" s="274">
        <v>53</v>
      </c>
      <c r="N76" s="275">
        <v>7.2902338376891307E-2</v>
      </c>
      <c r="O76" s="274">
        <v>55</v>
      </c>
      <c r="P76" s="275">
        <v>7.5862068965517199E-2</v>
      </c>
      <c r="Q76" s="274">
        <v>55</v>
      </c>
      <c r="R76" s="275">
        <v>7.6177285318559607E-2</v>
      </c>
      <c r="S76" s="274">
        <v>57</v>
      </c>
      <c r="T76" s="275">
        <v>7.9387186629526499E-2</v>
      </c>
      <c r="U76" s="274">
        <v>59</v>
      </c>
      <c r="V76" s="275">
        <v>8.6764705882352897E-2</v>
      </c>
    </row>
    <row r="77" spans="1:22">
      <c r="A77" s="273" t="s">
        <v>745</v>
      </c>
      <c r="B77" s="273"/>
      <c r="C77" s="274">
        <v>0</v>
      </c>
      <c r="D77" s="275"/>
      <c r="E77" s="274">
        <v>0</v>
      </c>
      <c r="F77" s="275"/>
      <c r="G77" s="274">
        <v>0</v>
      </c>
      <c r="H77" s="275"/>
      <c r="I77" s="274">
        <v>0</v>
      </c>
      <c r="J77" s="275"/>
      <c r="K77" s="274">
        <v>33</v>
      </c>
      <c r="L77" s="275">
        <v>4.2580645161290301E-2</v>
      </c>
      <c r="M77" s="274">
        <v>33</v>
      </c>
      <c r="N77" s="275">
        <v>4.5392022008253097E-2</v>
      </c>
      <c r="O77" s="274">
        <v>33</v>
      </c>
      <c r="P77" s="275">
        <v>4.5517241379310298E-2</v>
      </c>
      <c r="Q77" s="274">
        <v>32</v>
      </c>
      <c r="R77" s="275">
        <v>4.4321329639889197E-2</v>
      </c>
      <c r="S77" s="274">
        <v>32</v>
      </c>
      <c r="T77" s="275">
        <v>4.4568245125348203E-2</v>
      </c>
      <c r="U77" s="274">
        <v>31</v>
      </c>
      <c r="V77" s="275">
        <v>4.5588235294117603E-2</v>
      </c>
    </row>
    <row r="78" spans="1:22">
      <c r="A78" s="273" t="s">
        <v>746</v>
      </c>
      <c r="B78" s="273"/>
      <c r="C78" s="274">
        <v>0</v>
      </c>
      <c r="D78" s="275"/>
      <c r="E78" s="274">
        <v>0</v>
      </c>
      <c r="F78" s="275"/>
      <c r="G78" s="274">
        <v>0</v>
      </c>
      <c r="H78" s="275"/>
      <c r="I78" s="274">
        <v>0</v>
      </c>
      <c r="J78" s="275"/>
      <c r="K78" s="274">
        <v>19</v>
      </c>
      <c r="L78" s="275">
        <v>2.45161290322581E-2</v>
      </c>
      <c r="M78" s="274">
        <v>19</v>
      </c>
      <c r="N78" s="275">
        <v>2.61348005502063E-2</v>
      </c>
      <c r="O78" s="274">
        <v>20</v>
      </c>
      <c r="P78" s="275">
        <v>2.7586206896551699E-2</v>
      </c>
      <c r="Q78" s="274">
        <v>20</v>
      </c>
      <c r="R78" s="275">
        <v>2.7700831024930699E-2</v>
      </c>
      <c r="S78" s="274">
        <v>21</v>
      </c>
      <c r="T78" s="275">
        <v>2.92479108635097E-2</v>
      </c>
      <c r="U78" s="274">
        <v>23</v>
      </c>
      <c r="V78" s="275">
        <v>3.3823529411764697E-2</v>
      </c>
    </row>
    <row r="79" spans="1:22">
      <c r="A79" s="273" t="s">
        <v>747</v>
      </c>
      <c r="B79" s="273"/>
      <c r="C79" s="274">
        <v>0</v>
      </c>
      <c r="D79" s="275"/>
      <c r="E79" s="274">
        <v>0</v>
      </c>
      <c r="F79" s="275"/>
      <c r="G79" s="274">
        <v>0</v>
      </c>
      <c r="H79" s="275"/>
      <c r="I79" s="274">
        <v>0</v>
      </c>
      <c r="J79" s="275"/>
      <c r="K79" s="274">
        <v>0</v>
      </c>
      <c r="L79" s="275"/>
      <c r="M79" s="274">
        <v>0</v>
      </c>
      <c r="N79" s="275"/>
      <c r="O79" s="274">
        <v>1</v>
      </c>
      <c r="P79" s="275">
        <v>1.37931034482759E-3</v>
      </c>
      <c r="Q79" s="274">
        <v>2</v>
      </c>
      <c r="R79" s="275">
        <v>2.77008310249307E-3</v>
      </c>
      <c r="S79" s="274">
        <v>3</v>
      </c>
      <c r="T79" s="275">
        <v>4.1782729805013904E-3</v>
      </c>
      <c r="U79" s="274">
        <v>4</v>
      </c>
      <c r="V79" s="275">
        <v>5.8823529411764696E-3</v>
      </c>
    </row>
    <row r="80" spans="1:22">
      <c r="A80" s="273" t="s">
        <v>769</v>
      </c>
      <c r="B80" s="273"/>
      <c r="C80" s="274">
        <v>0</v>
      </c>
      <c r="D80" s="275"/>
      <c r="E80" s="274">
        <v>0</v>
      </c>
      <c r="F80" s="275"/>
      <c r="G80" s="274">
        <v>0</v>
      </c>
      <c r="H80" s="275"/>
      <c r="I80" s="274">
        <v>0</v>
      </c>
      <c r="J80" s="275"/>
      <c r="K80" s="274">
        <v>1</v>
      </c>
      <c r="L80" s="275">
        <v>1.29032258064516E-3</v>
      </c>
      <c r="M80" s="274">
        <v>1</v>
      </c>
      <c r="N80" s="275">
        <v>1.37551581843191E-3</v>
      </c>
      <c r="O80" s="274">
        <v>1</v>
      </c>
      <c r="P80" s="275">
        <v>1.37931034482759E-3</v>
      </c>
      <c r="Q80" s="274">
        <v>1</v>
      </c>
      <c r="R80" s="275">
        <v>1.38504155124654E-3</v>
      </c>
      <c r="S80" s="274">
        <v>1</v>
      </c>
      <c r="T80" s="275">
        <v>1.3927576601671301E-3</v>
      </c>
      <c r="U80" s="274">
        <v>1</v>
      </c>
      <c r="V80" s="275">
        <v>1.47058823529412E-3</v>
      </c>
    </row>
    <row r="81" spans="1:22">
      <c r="A81" s="273" t="s">
        <v>770</v>
      </c>
      <c r="B81" s="273"/>
      <c r="C81" s="274">
        <v>98</v>
      </c>
      <c r="D81" s="275">
        <v>0.112903225806452</v>
      </c>
      <c r="E81" s="274">
        <v>100</v>
      </c>
      <c r="F81" s="275">
        <v>0.120627261761158</v>
      </c>
      <c r="G81" s="274">
        <v>222</v>
      </c>
      <c r="H81" s="275">
        <v>0.26056338028169002</v>
      </c>
      <c r="I81" s="274">
        <v>0</v>
      </c>
      <c r="J81" s="275"/>
      <c r="K81" s="274">
        <v>0</v>
      </c>
      <c r="L81" s="275"/>
      <c r="M81" s="274">
        <v>0</v>
      </c>
      <c r="N81" s="275"/>
      <c r="O81" s="274">
        <v>0</v>
      </c>
      <c r="P81" s="275"/>
      <c r="Q81" s="274">
        <v>0</v>
      </c>
      <c r="R81" s="275"/>
      <c r="S81" s="274">
        <v>0</v>
      </c>
      <c r="T81" s="275"/>
      <c r="U81" s="274">
        <v>0</v>
      </c>
      <c r="V81" s="275"/>
    </row>
    <row r="82" spans="1:22">
      <c r="A82" s="273" t="s">
        <v>771</v>
      </c>
      <c r="B82" s="273"/>
      <c r="C82" s="274">
        <v>0</v>
      </c>
      <c r="D82" s="275"/>
      <c r="E82" s="274">
        <v>0</v>
      </c>
      <c r="F82" s="275"/>
      <c r="G82" s="274">
        <v>137</v>
      </c>
      <c r="H82" s="275">
        <v>0.16079812206572799</v>
      </c>
      <c r="I82" s="274">
        <v>0</v>
      </c>
      <c r="J82" s="275"/>
      <c r="K82" s="274">
        <v>0</v>
      </c>
      <c r="L82" s="275"/>
      <c r="M82" s="274">
        <v>0</v>
      </c>
      <c r="N82" s="275"/>
      <c r="O82" s="274">
        <v>0</v>
      </c>
      <c r="P82" s="275"/>
      <c r="Q82" s="274">
        <v>0</v>
      </c>
      <c r="R82" s="275"/>
      <c r="S82" s="274">
        <v>0</v>
      </c>
      <c r="T82" s="275"/>
      <c r="U82" s="274">
        <v>0</v>
      </c>
      <c r="V82" s="275"/>
    </row>
    <row r="83" spans="1:22">
      <c r="A83" s="273" t="s">
        <v>772</v>
      </c>
      <c r="B83" s="273"/>
      <c r="C83" s="274">
        <v>6</v>
      </c>
      <c r="D83" s="275">
        <v>6.9124423963133601E-3</v>
      </c>
      <c r="E83" s="274">
        <v>7</v>
      </c>
      <c r="F83" s="275">
        <v>8.4439083232810599E-3</v>
      </c>
      <c r="G83" s="274">
        <v>7</v>
      </c>
      <c r="H83" s="275">
        <v>8.2159624413145494E-3</v>
      </c>
      <c r="I83" s="274">
        <v>0</v>
      </c>
      <c r="J83" s="275"/>
      <c r="K83" s="274">
        <v>0</v>
      </c>
      <c r="L83" s="275"/>
      <c r="M83" s="274">
        <v>0</v>
      </c>
      <c r="N83" s="275"/>
      <c r="O83" s="274">
        <v>0</v>
      </c>
      <c r="P83" s="275"/>
      <c r="Q83" s="274">
        <v>0</v>
      </c>
      <c r="R83" s="275"/>
      <c r="S83" s="274">
        <v>0</v>
      </c>
      <c r="T83" s="275"/>
      <c r="U83" s="274">
        <v>0</v>
      </c>
      <c r="V83" s="275"/>
    </row>
    <row r="84" spans="1:22">
      <c r="A84" s="273" t="s">
        <v>773</v>
      </c>
      <c r="B84" s="273"/>
      <c r="C84" s="274">
        <v>12</v>
      </c>
      <c r="D84" s="275">
        <v>1.3824884792626699E-2</v>
      </c>
      <c r="E84" s="274">
        <v>12</v>
      </c>
      <c r="F84" s="275">
        <v>1.4475271411339001E-2</v>
      </c>
      <c r="G84" s="274">
        <v>11</v>
      </c>
      <c r="H84" s="275">
        <v>1.2910798122065701E-2</v>
      </c>
      <c r="I84" s="274">
        <v>0</v>
      </c>
      <c r="J84" s="275"/>
      <c r="K84" s="274">
        <v>0</v>
      </c>
      <c r="L84" s="275"/>
      <c r="M84" s="274">
        <v>0</v>
      </c>
      <c r="N84" s="275"/>
      <c r="O84" s="274">
        <v>0</v>
      </c>
      <c r="P84" s="275"/>
      <c r="Q84" s="274">
        <v>0</v>
      </c>
      <c r="R84" s="275"/>
      <c r="S84" s="274">
        <v>0</v>
      </c>
      <c r="T84" s="275"/>
      <c r="U84" s="274">
        <v>0</v>
      </c>
      <c r="V84" s="275"/>
    </row>
    <row r="85" spans="1:22">
      <c r="A85" s="273" t="s">
        <v>774</v>
      </c>
      <c r="B85" s="273"/>
      <c r="C85" s="274">
        <v>16</v>
      </c>
      <c r="D85" s="275">
        <v>1.8433179723502301E-2</v>
      </c>
      <c r="E85" s="274">
        <v>17</v>
      </c>
      <c r="F85" s="275">
        <v>2.0506634499396902E-2</v>
      </c>
      <c r="G85" s="274">
        <v>17</v>
      </c>
      <c r="H85" s="275">
        <v>1.9953051643192499E-2</v>
      </c>
      <c r="I85" s="274">
        <v>0</v>
      </c>
      <c r="J85" s="275"/>
      <c r="K85" s="274">
        <v>0</v>
      </c>
      <c r="L85" s="275"/>
      <c r="M85" s="274">
        <v>0</v>
      </c>
      <c r="N85" s="275"/>
      <c r="O85" s="274">
        <v>0</v>
      </c>
      <c r="P85" s="275"/>
      <c r="Q85" s="274">
        <v>0</v>
      </c>
      <c r="R85" s="275"/>
      <c r="S85" s="274">
        <v>0</v>
      </c>
      <c r="T85" s="275"/>
      <c r="U85" s="274">
        <v>0</v>
      </c>
      <c r="V85" s="275"/>
    </row>
    <row r="86" spans="1:22">
      <c r="A86" s="273" t="s">
        <v>775</v>
      </c>
      <c r="B86" s="273"/>
      <c r="C86" s="274">
        <v>4</v>
      </c>
      <c r="D86" s="275">
        <v>4.6082949308755804E-3</v>
      </c>
      <c r="E86" s="274">
        <v>4</v>
      </c>
      <c r="F86" s="275">
        <v>4.8250904704463197E-3</v>
      </c>
      <c r="G86" s="274">
        <v>3</v>
      </c>
      <c r="H86" s="275">
        <v>3.5211267605633799E-3</v>
      </c>
      <c r="I86" s="274">
        <v>0</v>
      </c>
      <c r="J86" s="275"/>
      <c r="K86" s="274">
        <v>0</v>
      </c>
      <c r="L86" s="275"/>
      <c r="M86" s="274">
        <v>0</v>
      </c>
      <c r="N86" s="275"/>
      <c r="O86" s="274">
        <v>0</v>
      </c>
      <c r="P86" s="275"/>
      <c r="Q86" s="274">
        <v>0</v>
      </c>
      <c r="R86" s="275"/>
      <c r="S86" s="274">
        <v>0</v>
      </c>
      <c r="T86" s="275"/>
      <c r="U86" s="274">
        <v>0</v>
      </c>
      <c r="V86" s="275"/>
    </row>
    <row r="87" spans="1:22">
      <c r="A87" s="273" t="s">
        <v>776</v>
      </c>
      <c r="B87" s="273"/>
      <c r="C87" s="274">
        <v>7</v>
      </c>
      <c r="D87" s="275">
        <v>8.0645161290322596E-3</v>
      </c>
      <c r="E87" s="274">
        <v>7</v>
      </c>
      <c r="F87" s="275">
        <v>8.4439083232810599E-3</v>
      </c>
      <c r="G87" s="274">
        <v>4</v>
      </c>
      <c r="H87" s="275">
        <v>4.6948356807511703E-3</v>
      </c>
      <c r="I87" s="274">
        <v>0</v>
      </c>
      <c r="J87" s="275"/>
      <c r="K87" s="274">
        <v>0</v>
      </c>
      <c r="L87" s="275"/>
      <c r="M87" s="274">
        <v>0</v>
      </c>
      <c r="N87" s="275"/>
      <c r="O87" s="274">
        <v>0</v>
      </c>
      <c r="P87" s="275"/>
      <c r="Q87" s="274">
        <v>0</v>
      </c>
      <c r="R87" s="275"/>
      <c r="S87" s="274">
        <v>0</v>
      </c>
      <c r="T87" s="275"/>
      <c r="U87" s="274">
        <v>0</v>
      </c>
      <c r="V87" s="275"/>
    </row>
    <row r="88" spans="1:22">
      <c r="A88" s="273" t="s">
        <v>777</v>
      </c>
      <c r="B88" s="273"/>
      <c r="C88" s="274">
        <v>23</v>
      </c>
      <c r="D88" s="275">
        <v>2.64976958525346E-2</v>
      </c>
      <c r="E88" s="274">
        <v>23</v>
      </c>
      <c r="F88" s="275">
        <v>2.7744270205066299E-2</v>
      </c>
      <c r="G88" s="274">
        <v>19</v>
      </c>
      <c r="H88" s="275">
        <v>2.2300469483568099E-2</v>
      </c>
      <c r="I88" s="274">
        <v>0</v>
      </c>
      <c r="J88" s="275"/>
      <c r="K88" s="274">
        <v>0</v>
      </c>
      <c r="L88" s="275"/>
      <c r="M88" s="274">
        <v>0</v>
      </c>
      <c r="N88" s="275"/>
      <c r="O88" s="274">
        <v>0</v>
      </c>
      <c r="P88" s="275"/>
      <c r="Q88" s="274">
        <v>0</v>
      </c>
      <c r="R88" s="275"/>
      <c r="S88" s="274">
        <v>0</v>
      </c>
      <c r="T88" s="275"/>
      <c r="U88" s="274">
        <v>0</v>
      </c>
      <c r="V88" s="275"/>
    </row>
    <row r="89" spans="1:22">
      <c r="A89" s="273" t="s">
        <v>778</v>
      </c>
      <c r="B89" s="273"/>
      <c r="C89" s="274">
        <v>12</v>
      </c>
      <c r="D89" s="275">
        <v>1.3824884792626699E-2</v>
      </c>
      <c r="E89" s="274">
        <v>12</v>
      </c>
      <c r="F89" s="275">
        <v>1.4475271411339001E-2</v>
      </c>
      <c r="G89" s="274">
        <v>11</v>
      </c>
      <c r="H89" s="275">
        <v>1.2910798122065701E-2</v>
      </c>
      <c r="I89" s="274">
        <v>0</v>
      </c>
      <c r="J89" s="275"/>
      <c r="K89" s="274">
        <v>0</v>
      </c>
      <c r="L89" s="275"/>
      <c r="M89" s="274">
        <v>0</v>
      </c>
      <c r="N89" s="275"/>
      <c r="O89" s="274">
        <v>0</v>
      </c>
      <c r="P89" s="275"/>
      <c r="Q89" s="274">
        <v>0</v>
      </c>
      <c r="R89" s="275"/>
      <c r="S89" s="274">
        <v>0</v>
      </c>
      <c r="T89" s="275"/>
      <c r="U89" s="274">
        <v>0</v>
      </c>
      <c r="V89" s="275"/>
    </row>
    <row r="90" spans="1:22">
      <c r="A90" s="273" t="s">
        <v>779</v>
      </c>
      <c r="B90" s="273"/>
      <c r="C90" s="274">
        <v>18</v>
      </c>
      <c r="D90" s="275">
        <v>2.07373271889401E-2</v>
      </c>
      <c r="E90" s="274">
        <v>18</v>
      </c>
      <c r="F90" s="275">
        <v>2.17129071170084E-2</v>
      </c>
      <c r="G90" s="274">
        <v>13</v>
      </c>
      <c r="H90" s="275">
        <v>1.5258215962441301E-2</v>
      </c>
      <c r="I90" s="274">
        <v>0</v>
      </c>
      <c r="J90" s="275"/>
      <c r="K90" s="274">
        <v>0</v>
      </c>
      <c r="L90" s="275"/>
      <c r="M90" s="274">
        <v>0</v>
      </c>
      <c r="N90" s="275"/>
      <c r="O90" s="274">
        <v>0</v>
      </c>
      <c r="P90" s="275"/>
      <c r="Q90" s="274">
        <v>0</v>
      </c>
      <c r="R90" s="275"/>
      <c r="S90" s="274">
        <v>0</v>
      </c>
      <c r="T90" s="275"/>
      <c r="U90" s="274">
        <v>0</v>
      </c>
      <c r="V90" s="275"/>
    </row>
    <row r="91" spans="1:22">
      <c r="A91" s="273" t="s">
        <v>780</v>
      </c>
      <c r="B91" s="273"/>
      <c r="C91" s="274">
        <v>770</v>
      </c>
      <c r="D91" s="275">
        <v>0.88709677419354804</v>
      </c>
      <c r="E91" s="274">
        <v>729</v>
      </c>
      <c r="F91" s="275">
        <v>0.87937273823884199</v>
      </c>
      <c r="G91" s="274">
        <v>630</v>
      </c>
      <c r="H91" s="275">
        <v>0.73943661971830998</v>
      </c>
      <c r="I91" s="274">
        <v>0</v>
      </c>
      <c r="J91" s="275"/>
      <c r="K91" s="274">
        <v>0</v>
      </c>
      <c r="L91" s="275"/>
      <c r="M91" s="274">
        <v>0</v>
      </c>
      <c r="N91" s="275"/>
      <c r="O91" s="274">
        <v>0</v>
      </c>
      <c r="P91" s="275"/>
      <c r="Q91" s="274">
        <v>0</v>
      </c>
      <c r="R91" s="275"/>
      <c r="S91" s="274">
        <v>0</v>
      </c>
      <c r="T91" s="275"/>
      <c r="U91" s="274">
        <v>0</v>
      </c>
      <c r="V91" s="275"/>
    </row>
    <row r="92" spans="1:22">
      <c r="A92" s="273" t="s">
        <v>771</v>
      </c>
      <c r="B92" s="273"/>
      <c r="C92" s="274">
        <v>77</v>
      </c>
      <c r="D92" s="275">
        <v>8.8709677419354802E-2</v>
      </c>
      <c r="E92" s="274">
        <v>101</v>
      </c>
      <c r="F92" s="275">
        <v>0.12183353437876999</v>
      </c>
      <c r="G92" s="274">
        <v>0</v>
      </c>
      <c r="H92" s="275"/>
      <c r="I92" s="274">
        <v>0</v>
      </c>
      <c r="J92" s="275"/>
      <c r="K92" s="274">
        <v>0</v>
      </c>
      <c r="L92" s="275"/>
      <c r="M92" s="274">
        <v>0</v>
      </c>
      <c r="N92" s="275"/>
      <c r="O92" s="274">
        <v>0</v>
      </c>
      <c r="P92" s="275"/>
      <c r="Q92" s="274">
        <v>0</v>
      </c>
      <c r="R92" s="275"/>
      <c r="S92" s="274">
        <v>0</v>
      </c>
      <c r="T92" s="275"/>
      <c r="U92" s="274">
        <v>0</v>
      </c>
      <c r="V92" s="275"/>
    </row>
    <row r="93" spans="1:22">
      <c r="A93" s="273" t="s">
        <v>772</v>
      </c>
      <c r="B93" s="273"/>
      <c r="C93" s="274">
        <v>0</v>
      </c>
      <c r="D93" s="275"/>
      <c r="E93" s="274">
        <v>0</v>
      </c>
      <c r="F93" s="275"/>
      <c r="G93" s="274">
        <v>0</v>
      </c>
      <c r="H93" s="275"/>
      <c r="I93" s="274">
        <v>0</v>
      </c>
      <c r="J93" s="275"/>
      <c r="K93" s="274">
        <v>0</v>
      </c>
      <c r="L93" s="275"/>
      <c r="M93" s="274">
        <v>0</v>
      </c>
      <c r="N93" s="275"/>
      <c r="O93" s="274">
        <v>0</v>
      </c>
      <c r="P93" s="275"/>
      <c r="Q93" s="274">
        <v>0</v>
      </c>
      <c r="R93" s="275"/>
      <c r="S93" s="274">
        <v>0</v>
      </c>
      <c r="T93" s="275"/>
      <c r="U93" s="274">
        <v>0</v>
      </c>
      <c r="V93" s="275"/>
    </row>
    <row r="94" spans="1:22">
      <c r="A94" s="273" t="s">
        <v>773</v>
      </c>
      <c r="B94" s="273"/>
      <c r="C94" s="274">
        <v>158</v>
      </c>
      <c r="D94" s="275">
        <v>0.18202764976958499</v>
      </c>
      <c r="E94" s="274">
        <v>141</v>
      </c>
      <c r="F94" s="275">
        <v>0.17008443908323301</v>
      </c>
      <c r="G94" s="274">
        <v>139</v>
      </c>
      <c r="H94" s="275">
        <v>0.163145539906103</v>
      </c>
      <c r="I94" s="274">
        <v>0</v>
      </c>
      <c r="J94" s="275"/>
      <c r="K94" s="274">
        <v>0</v>
      </c>
      <c r="L94" s="275"/>
      <c r="M94" s="274">
        <v>0</v>
      </c>
      <c r="N94" s="275"/>
      <c r="O94" s="274">
        <v>0</v>
      </c>
      <c r="P94" s="275"/>
      <c r="Q94" s="274">
        <v>0</v>
      </c>
      <c r="R94" s="275"/>
      <c r="S94" s="274">
        <v>0</v>
      </c>
      <c r="T94" s="275"/>
      <c r="U94" s="274">
        <v>0</v>
      </c>
      <c r="V94" s="275"/>
    </row>
    <row r="95" spans="1:22">
      <c r="A95" s="273" t="s">
        <v>774</v>
      </c>
      <c r="B95" s="273"/>
      <c r="C95" s="274">
        <v>0</v>
      </c>
      <c r="D95" s="275"/>
      <c r="E95" s="274">
        <v>0</v>
      </c>
      <c r="F95" s="275"/>
      <c r="G95" s="274">
        <v>0</v>
      </c>
      <c r="H95" s="275"/>
      <c r="I95" s="274">
        <v>0</v>
      </c>
      <c r="J95" s="275"/>
      <c r="K95" s="274">
        <v>0</v>
      </c>
      <c r="L95" s="275"/>
      <c r="M95" s="274">
        <v>0</v>
      </c>
      <c r="N95" s="275"/>
      <c r="O95" s="274">
        <v>0</v>
      </c>
      <c r="P95" s="275"/>
      <c r="Q95" s="274">
        <v>0</v>
      </c>
      <c r="R95" s="275"/>
      <c r="S95" s="274">
        <v>0</v>
      </c>
      <c r="T95" s="275"/>
      <c r="U95" s="274">
        <v>0</v>
      </c>
      <c r="V95" s="275"/>
    </row>
    <row r="96" spans="1:22">
      <c r="A96" s="273" t="s">
        <v>775</v>
      </c>
      <c r="B96" s="273"/>
      <c r="C96" s="274">
        <v>34</v>
      </c>
      <c r="D96" s="275">
        <v>3.91705069124424E-2</v>
      </c>
      <c r="E96" s="274">
        <v>34</v>
      </c>
      <c r="F96" s="275">
        <v>4.1013268998793699E-2</v>
      </c>
      <c r="G96" s="274">
        <v>35</v>
      </c>
      <c r="H96" s="275">
        <v>4.1079812206572801E-2</v>
      </c>
      <c r="I96" s="274">
        <v>0</v>
      </c>
      <c r="J96" s="275"/>
      <c r="K96" s="274">
        <v>0</v>
      </c>
      <c r="L96" s="275"/>
      <c r="M96" s="274">
        <v>0</v>
      </c>
      <c r="N96" s="275"/>
      <c r="O96" s="274">
        <v>0</v>
      </c>
      <c r="P96" s="275"/>
      <c r="Q96" s="274">
        <v>0</v>
      </c>
      <c r="R96" s="275"/>
      <c r="S96" s="274">
        <v>0</v>
      </c>
      <c r="T96" s="275"/>
      <c r="U96" s="274">
        <v>0</v>
      </c>
      <c r="V96" s="275"/>
    </row>
    <row r="97" spans="1:22">
      <c r="A97" s="273" t="s">
        <v>776</v>
      </c>
      <c r="B97" s="273"/>
      <c r="C97" s="274">
        <v>106</v>
      </c>
      <c r="D97" s="275">
        <v>0.122119815668203</v>
      </c>
      <c r="E97" s="274">
        <v>101</v>
      </c>
      <c r="F97" s="275">
        <v>0.12183353437876999</v>
      </c>
      <c r="G97" s="274">
        <v>102</v>
      </c>
      <c r="H97" s="275">
        <v>0.11971830985915501</v>
      </c>
      <c r="I97" s="274">
        <v>0</v>
      </c>
      <c r="J97" s="275"/>
      <c r="K97" s="274">
        <v>0</v>
      </c>
      <c r="L97" s="275"/>
      <c r="M97" s="274">
        <v>0</v>
      </c>
      <c r="N97" s="275"/>
      <c r="O97" s="274">
        <v>0</v>
      </c>
      <c r="P97" s="275"/>
      <c r="Q97" s="274">
        <v>0</v>
      </c>
      <c r="R97" s="275"/>
      <c r="S97" s="274">
        <v>0</v>
      </c>
      <c r="T97" s="275"/>
      <c r="U97" s="274">
        <v>0</v>
      </c>
      <c r="V97" s="275"/>
    </row>
    <row r="98" spans="1:22">
      <c r="A98" s="273" t="s">
        <v>777</v>
      </c>
      <c r="B98" s="273"/>
      <c r="C98" s="274">
        <v>107</v>
      </c>
      <c r="D98" s="275">
        <v>0.123271889400922</v>
      </c>
      <c r="E98" s="274">
        <v>99</v>
      </c>
      <c r="F98" s="275">
        <v>0.119420989143546</v>
      </c>
      <c r="G98" s="274">
        <v>101</v>
      </c>
      <c r="H98" s="275">
        <v>0.118544600938967</v>
      </c>
      <c r="I98" s="274">
        <v>0</v>
      </c>
      <c r="J98" s="275"/>
      <c r="K98" s="274">
        <v>0</v>
      </c>
      <c r="L98" s="275"/>
      <c r="M98" s="274">
        <v>0</v>
      </c>
      <c r="N98" s="275"/>
      <c r="O98" s="274">
        <v>0</v>
      </c>
      <c r="P98" s="275"/>
      <c r="Q98" s="274">
        <v>0</v>
      </c>
      <c r="R98" s="275"/>
      <c r="S98" s="274">
        <v>0</v>
      </c>
      <c r="T98" s="275"/>
      <c r="U98" s="274">
        <v>0</v>
      </c>
      <c r="V98" s="275"/>
    </row>
    <row r="99" spans="1:22">
      <c r="A99" s="273" t="s">
        <v>778</v>
      </c>
      <c r="B99" s="273"/>
      <c r="C99" s="274">
        <v>136</v>
      </c>
      <c r="D99" s="275">
        <v>0.15668202764976999</v>
      </c>
      <c r="E99" s="274">
        <v>115</v>
      </c>
      <c r="F99" s="275">
        <v>0.13872135102533201</v>
      </c>
      <c r="G99" s="274">
        <v>112</v>
      </c>
      <c r="H99" s="275">
        <v>0.13145539906103301</v>
      </c>
      <c r="I99" s="274">
        <v>0</v>
      </c>
      <c r="J99" s="275"/>
      <c r="K99" s="274">
        <v>0</v>
      </c>
      <c r="L99" s="275"/>
      <c r="M99" s="274">
        <v>0</v>
      </c>
      <c r="N99" s="275"/>
      <c r="O99" s="274">
        <v>0</v>
      </c>
      <c r="P99" s="275"/>
      <c r="Q99" s="274">
        <v>0</v>
      </c>
      <c r="R99" s="275"/>
      <c r="S99" s="274">
        <v>0</v>
      </c>
      <c r="T99" s="275"/>
      <c r="U99" s="274">
        <v>0</v>
      </c>
      <c r="V99" s="275"/>
    </row>
    <row r="100" spans="1:22">
      <c r="A100" s="273" t="s">
        <v>779</v>
      </c>
      <c r="B100" s="273"/>
      <c r="C100" s="274">
        <v>152</v>
      </c>
      <c r="D100" s="275">
        <v>0.17511520737327199</v>
      </c>
      <c r="E100" s="274">
        <v>138</v>
      </c>
      <c r="F100" s="275">
        <v>0.16646562123039799</v>
      </c>
      <c r="G100" s="274">
        <v>141</v>
      </c>
      <c r="H100" s="275">
        <v>0.16549295774647901</v>
      </c>
      <c r="I100" s="274">
        <v>0</v>
      </c>
      <c r="J100" s="275"/>
      <c r="K100" s="274">
        <v>0</v>
      </c>
      <c r="L100" s="275"/>
      <c r="M100" s="274">
        <v>0</v>
      </c>
      <c r="N100" s="275"/>
      <c r="O100" s="274">
        <v>0</v>
      </c>
      <c r="P100" s="275"/>
      <c r="Q100" s="274">
        <v>0</v>
      </c>
      <c r="R100" s="275"/>
      <c r="S100" s="274">
        <v>0</v>
      </c>
      <c r="T100" s="275"/>
      <c r="U100" s="274">
        <v>0</v>
      </c>
      <c r="V100" s="275"/>
    </row>
    <row r="101" spans="1:22">
      <c r="A101" s="270" t="s">
        <v>781</v>
      </c>
      <c r="B101" s="270"/>
      <c r="C101" s="271">
        <v>141890</v>
      </c>
      <c r="D101" s="272">
        <v>1</v>
      </c>
      <c r="E101" s="271">
        <v>130158</v>
      </c>
      <c r="F101" s="272">
        <v>1</v>
      </c>
      <c r="G101" s="271">
        <v>127674</v>
      </c>
      <c r="H101" s="272">
        <v>1</v>
      </c>
      <c r="I101" s="271">
        <v>0</v>
      </c>
      <c r="J101" s="272"/>
      <c r="K101" s="271">
        <v>0</v>
      </c>
      <c r="L101" s="272"/>
      <c r="M101" s="271">
        <v>0</v>
      </c>
      <c r="N101" s="272"/>
      <c r="O101" s="271">
        <v>0</v>
      </c>
      <c r="P101" s="272"/>
      <c r="Q101" s="271">
        <v>0</v>
      </c>
      <c r="R101" s="272"/>
      <c r="S101" s="271">
        <v>0</v>
      </c>
      <c r="T101" s="272"/>
      <c r="U101" s="271">
        <v>0</v>
      </c>
      <c r="V101" s="272"/>
    </row>
    <row r="102" spans="1:22">
      <c r="A102" s="273" t="s">
        <v>725</v>
      </c>
      <c r="B102" s="273"/>
      <c r="C102" s="274">
        <v>8471</v>
      </c>
      <c r="D102" s="275">
        <v>5.97011769680739E-2</v>
      </c>
      <c r="E102" s="274">
        <v>8471</v>
      </c>
      <c r="F102" s="275">
        <v>6.5082438267336604E-2</v>
      </c>
      <c r="G102" s="274">
        <v>8481</v>
      </c>
      <c r="H102" s="275">
        <v>6.6426993749706301E-2</v>
      </c>
      <c r="I102" s="274">
        <v>0</v>
      </c>
      <c r="J102" s="275"/>
      <c r="K102" s="274">
        <v>0</v>
      </c>
      <c r="L102" s="275"/>
      <c r="M102" s="274">
        <v>0</v>
      </c>
      <c r="N102" s="275"/>
      <c r="O102" s="274">
        <v>0</v>
      </c>
      <c r="P102" s="275"/>
      <c r="Q102" s="274">
        <v>0</v>
      </c>
      <c r="R102" s="275"/>
      <c r="S102" s="274">
        <v>0</v>
      </c>
      <c r="T102" s="275"/>
      <c r="U102" s="274">
        <v>0</v>
      </c>
      <c r="V102" s="275"/>
    </row>
    <row r="103" spans="1:22">
      <c r="A103" s="273" t="s">
        <v>782</v>
      </c>
      <c r="B103" s="273"/>
      <c r="C103" s="274">
        <v>0</v>
      </c>
      <c r="D103" s="275"/>
      <c r="E103" s="274">
        <v>0</v>
      </c>
      <c r="F103" s="275"/>
      <c r="G103" s="274">
        <v>0</v>
      </c>
      <c r="H103" s="275"/>
      <c r="I103" s="274">
        <v>0</v>
      </c>
      <c r="J103" s="275"/>
      <c r="K103" s="274">
        <v>0</v>
      </c>
      <c r="L103" s="275"/>
      <c r="M103" s="274">
        <v>0</v>
      </c>
      <c r="N103" s="275"/>
      <c r="O103" s="274">
        <v>0</v>
      </c>
      <c r="P103" s="275"/>
      <c r="Q103" s="274">
        <v>0</v>
      </c>
      <c r="R103" s="275"/>
      <c r="S103" s="274">
        <v>0</v>
      </c>
      <c r="T103" s="275"/>
      <c r="U103" s="274">
        <v>0</v>
      </c>
      <c r="V103" s="275"/>
    </row>
    <row r="104" spans="1:22">
      <c r="A104" s="273" t="s">
        <v>731</v>
      </c>
      <c r="B104" s="273"/>
      <c r="C104" s="274">
        <v>165</v>
      </c>
      <c r="D104" s="275">
        <v>1.1628726478257799E-3</v>
      </c>
      <c r="E104" s="274">
        <v>217</v>
      </c>
      <c r="F104" s="275">
        <v>1.6672044745616899E-3</v>
      </c>
      <c r="G104" s="274">
        <v>289</v>
      </c>
      <c r="H104" s="275">
        <v>2.2635775490702898E-3</v>
      </c>
      <c r="I104" s="274">
        <v>0</v>
      </c>
      <c r="J104" s="275"/>
      <c r="K104" s="274">
        <v>0</v>
      </c>
      <c r="L104" s="275"/>
      <c r="M104" s="274">
        <v>0</v>
      </c>
      <c r="N104" s="275"/>
      <c r="O104" s="274">
        <v>0</v>
      </c>
      <c r="P104" s="275"/>
      <c r="Q104" s="274">
        <v>0</v>
      </c>
      <c r="R104" s="275"/>
      <c r="S104" s="274">
        <v>0</v>
      </c>
      <c r="T104" s="275"/>
      <c r="U104" s="274">
        <v>0</v>
      </c>
      <c r="V104" s="275"/>
    </row>
    <row r="105" spans="1:22">
      <c r="A105" s="273" t="s">
        <v>749</v>
      </c>
      <c r="B105" s="273"/>
      <c r="C105" s="274">
        <v>189</v>
      </c>
      <c r="D105" s="275">
        <v>1.3320177602368E-3</v>
      </c>
      <c r="E105" s="274">
        <v>215</v>
      </c>
      <c r="F105" s="275">
        <v>1.65183853470398E-3</v>
      </c>
      <c r="G105" s="274">
        <v>212</v>
      </c>
      <c r="H105" s="275">
        <v>1.66047903253599E-3</v>
      </c>
      <c r="I105" s="274">
        <v>0</v>
      </c>
      <c r="J105" s="275"/>
      <c r="K105" s="274">
        <v>0</v>
      </c>
      <c r="L105" s="275"/>
      <c r="M105" s="274">
        <v>0</v>
      </c>
      <c r="N105" s="275"/>
      <c r="O105" s="274">
        <v>0</v>
      </c>
      <c r="P105" s="275"/>
      <c r="Q105" s="274">
        <v>0</v>
      </c>
      <c r="R105" s="275"/>
      <c r="S105" s="274">
        <v>0</v>
      </c>
      <c r="T105" s="275"/>
      <c r="U105" s="274">
        <v>0</v>
      </c>
      <c r="V105" s="275"/>
    </row>
    <row r="106" spans="1:22">
      <c r="A106" s="273" t="s">
        <v>750</v>
      </c>
      <c r="B106" s="273"/>
      <c r="C106" s="274">
        <v>29686</v>
      </c>
      <c r="D106" s="275">
        <v>0.20921840862640101</v>
      </c>
      <c r="E106" s="274">
        <v>26933</v>
      </c>
      <c r="F106" s="275">
        <v>0.20692542909387099</v>
      </c>
      <c r="G106" s="274">
        <v>26270</v>
      </c>
      <c r="H106" s="275">
        <v>0.20575841596566299</v>
      </c>
      <c r="I106" s="274">
        <v>0</v>
      </c>
      <c r="J106" s="275"/>
      <c r="K106" s="274">
        <v>0</v>
      </c>
      <c r="L106" s="275"/>
      <c r="M106" s="274">
        <v>0</v>
      </c>
      <c r="N106" s="275"/>
      <c r="O106" s="274">
        <v>0</v>
      </c>
      <c r="P106" s="275"/>
      <c r="Q106" s="274">
        <v>0</v>
      </c>
      <c r="R106" s="275"/>
      <c r="S106" s="274">
        <v>0</v>
      </c>
      <c r="T106" s="275"/>
      <c r="U106" s="274">
        <v>0</v>
      </c>
      <c r="V106" s="275"/>
    </row>
    <row r="107" spans="1:22">
      <c r="A107" s="273" t="s">
        <v>751</v>
      </c>
      <c r="B107" s="273"/>
      <c r="C107" s="274">
        <v>385</v>
      </c>
      <c r="D107" s="275">
        <v>2.71336951159349E-3</v>
      </c>
      <c r="E107" s="274">
        <v>409</v>
      </c>
      <c r="F107" s="275">
        <v>3.1423347009019798E-3</v>
      </c>
      <c r="G107" s="274">
        <v>409</v>
      </c>
      <c r="H107" s="275">
        <v>3.20347134107179E-3</v>
      </c>
      <c r="I107" s="274">
        <v>0</v>
      </c>
      <c r="J107" s="275"/>
      <c r="K107" s="274">
        <v>0</v>
      </c>
      <c r="L107" s="275"/>
      <c r="M107" s="274">
        <v>0</v>
      </c>
      <c r="N107" s="275"/>
      <c r="O107" s="274">
        <v>0</v>
      </c>
      <c r="P107" s="275"/>
      <c r="Q107" s="274">
        <v>0</v>
      </c>
      <c r="R107" s="275"/>
      <c r="S107" s="274">
        <v>0</v>
      </c>
      <c r="T107" s="275"/>
      <c r="U107" s="274">
        <v>0</v>
      </c>
      <c r="V107" s="275"/>
    </row>
    <row r="108" spans="1:22">
      <c r="A108" s="273" t="s">
        <v>752</v>
      </c>
      <c r="B108" s="273"/>
      <c r="C108" s="274">
        <v>18596</v>
      </c>
      <c r="D108" s="275">
        <v>0.13105927126647399</v>
      </c>
      <c r="E108" s="274">
        <v>17345</v>
      </c>
      <c r="F108" s="275">
        <v>0.133261113416002</v>
      </c>
      <c r="G108" s="274">
        <v>16984</v>
      </c>
      <c r="H108" s="275">
        <v>0.13302630136127999</v>
      </c>
      <c r="I108" s="274">
        <v>0</v>
      </c>
      <c r="J108" s="275"/>
      <c r="K108" s="274">
        <v>0</v>
      </c>
      <c r="L108" s="275"/>
      <c r="M108" s="274">
        <v>0</v>
      </c>
      <c r="N108" s="275"/>
      <c r="O108" s="274">
        <v>0</v>
      </c>
      <c r="P108" s="275"/>
      <c r="Q108" s="274">
        <v>0</v>
      </c>
      <c r="R108" s="275"/>
      <c r="S108" s="274">
        <v>0</v>
      </c>
      <c r="T108" s="275"/>
      <c r="U108" s="274">
        <v>0</v>
      </c>
      <c r="V108" s="275"/>
    </row>
    <row r="109" spans="1:22">
      <c r="A109" s="273" t="s">
        <v>753</v>
      </c>
      <c r="B109" s="273"/>
      <c r="C109" s="274">
        <v>20129</v>
      </c>
      <c r="D109" s="275">
        <v>0.141863415321728</v>
      </c>
      <c r="E109" s="274">
        <v>19060</v>
      </c>
      <c r="F109" s="275">
        <v>0.14643740684399001</v>
      </c>
      <c r="G109" s="274">
        <v>18521</v>
      </c>
      <c r="H109" s="275">
        <v>0.145064774347165</v>
      </c>
      <c r="I109" s="274">
        <v>0</v>
      </c>
      <c r="J109" s="275"/>
      <c r="K109" s="274">
        <v>0</v>
      </c>
      <c r="L109" s="275"/>
      <c r="M109" s="274">
        <v>0</v>
      </c>
      <c r="N109" s="275"/>
      <c r="O109" s="274">
        <v>0</v>
      </c>
      <c r="P109" s="275"/>
      <c r="Q109" s="274">
        <v>0</v>
      </c>
      <c r="R109" s="275"/>
      <c r="S109" s="274">
        <v>0</v>
      </c>
      <c r="T109" s="275"/>
      <c r="U109" s="274">
        <v>0</v>
      </c>
      <c r="V109" s="275"/>
    </row>
    <row r="110" spans="1:22">
      <c r="A110" s="273" t="s">
        <v>754</v>
      </c>
      <c r="B110" s="273"/>
      <c r="C110" s="274">
        <v>29878</v>
      </c>
      <c r="D110" s="275">
        <v>0.21057156952568901</v>
      </c>
      <c r="E110" s="274">
        <v>25342</v>
      </c>
      <c r="F110" s="275">
        <v>0.19470182393706101</v>
      </c>
      <c r="G110" s="274">
        <v>24606</v>
      </c>
      <c r="H110" s="275">
        <v>0.192725222049908</v>
      </c>
      <c r="I110" s="274">
        <v>0</v>
      </c>
      <c r="J110" s="275"/>
      <c r="K110" s="274">
        <v>0</v>
      </c>
      <c r="L110" s="275"/>
      <c r="M110" s="274">
        <v>0</v>
      </c>
      <c r="N110" s="275"/>
      <c r="O110" s="274">
        <v>0</v>
      </c>
      <c r="P110" s="275"/>
      <c r="Q110" s="274">
        <v>0</v>
      </c>
      <c r="R110" s="275"/>
      <c r="S110" s="274">
        <v>0</v>
      </c>
      <c r="T110" s="275"/>
      <c r="U110" s="274">
        <v>0</v>
      </c>
      <c r="V110" s="275"/>
    </row>
    <row r="111" spans="1:22">
      <c r="A111" s="273" t="s">
        <v>755</v>
      </c>
      <c r="B111" s="273"/>
      <c r="C111" s="274">
        <v>34391</v>
      </c>
      <c r="D111" s="275">
        <v>0.24237789837197801</v>
      </c>
      <c r="E111" s="274">
        <v>32166</v>
      </c>
      <c r="F111" s="275">
        <v>0.24713041073157199</v>
      </c>
      <c r="G111" s="274">
        <v>31902</v>
      </c>
      <c r="H111" s="275">
        <v>0.2498707646036</v>
      </c>
      <c r="I111" s="274">
        <v>0</v>
      </c>
      <c r="J111" s="275"/>
      <c r="K111" s="274">
        <v>0</v>
      </c>
      <c r="L111" s="275"/>
      <c r="M111" s="274">
        <v>0</v>
      </c>
      <c r="N111" s="275"/>
      <c r="O111" s="274">
        <v>0</v>
      </c>
      <c r="P111" s="275"/>
      <c r="Q111" s="274">
        <v>0</v>
      </c>
      <c r="R111" s="275"/>
      <c r="S111" s="274">
        <v>0</v>
      </c>
      <c r="T111" s="275"/>
      <c r="U111" s="274">
        <v>0</v>
      </c>
      <c r="V111" s="275"/>
    </row>
    <row r="112" spans="1:22">
      <c r="A112" s="276" t="s">
        <v>783</v>
      </c>
      <c r="B112" s="276"/>
      <c r="C112" s="276"/>
      <c r="D112" s="276"/>
      <c r="E112" s="276"/>
      <c r="F112" s="276"/>
      <c r="G112" s="276"/>
      <c r="H112" s="276"/>
      <c r="I112" s="276"/>
      <c r="J112" s="276"/>
      <c r="K112" s="276"/>
      <c r="L112" s="276"/>
      <c r="M112" s="276"/>
      <c r="N112" s="276"/>
      <c r="O112" s="276"/>
      <c r="P112" s="276"/>
      <c r="Q112" s="276"/>
      <c r="R112" s="276"/>
      <c r="S112" s="276"/>
      <c r="T112" s="276"/>
      <c r="U112" s="276"/>
      <c r="V112" s="27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46D5-7C20-204B-BCDF-61990F074469}">
  <sheetPr codeName="Sheet20">
    <tabColor theme="4" tint="0.79998168889431442"/>
    <outlinePr summaryBelow="0" summaryRight="0"/>
    <pageSetUpPr autoPageBreaks="0"/>
  </sheetPr>
  <dimension ref="A5:IU48"/>
  <sheetViews>
    <sheetView topLeftCell="A4" zoomScale="164" workbookViewId="0">
      <selection activeCell="K14" sqref="K14"/>
    </sheetView>
  </sheetViews>
  <sheetFormatPr defaultColWidth="10.8125" defaultRowHeight="10.15"/>
  <cols>
    <col min="1" max="1" width="45.8125" style="9" customWidth="1"/>
    <col min="2" max="7" width="14.8125" style="9" customWidth="1"/>
    <col min="8" max="8" width="14.8125" style="9" hidden="1" customWidth="1"/>
    <col min="9" max="256" width="8.8125" style="9" customWidth="1"/>
    <col min="257" max="16384" width="10.8125" style="9"/>
  </cols>
  <sheetData>
    <row r="5" spans="1:255" ht="16.149999999999999">
      <c r="A5" s="33" t="s">
        <v>784</v>
      </c>
    </row>
    <row r="7" spans="1:255">
      <c r="A7" s="32" t="s">
        <v>21</v>
      </c>
      <c r="B7" s="30" t="s">
        <v>4</v>
      </c>
      <c r="C7" s="9" t="s">
        <v>5</v>
      </c>
      <c r="D7" s="12" t="s">
        <v>22</v>
      </c>
      <c r="E7" s="30" t="s">
        <v>6</v>
      </c>
      <c r="F7" s="9" t="s">
        <v>7</v>
      </c>
    </row>
    <row r="8" spans="1:255">
      <c r="A8" s="12"/>
      <c r="B8" s="30" t="s">
        <v>10</v>
      </c>
      <c r="C8" s="9" t="s">
        <v>11</v>
      </c>
      <c r="D8" s="12" t="s">
        <v>22</v>
      </c>
      <c r="E8" s="30" t="s">
        <v>12</v>
      </c>
      <c r="F8" s="9" t="s">
        <v>13</v>
      </c>
    </row>
    <row r="9" spans="1:255">
      <c r="A9" s="12"/>
      <c r="B9" s="30" t="s">
        <v>8</v>
      </c>
      <c r="C9" s="9" t="s">
        <v>9</v>
      </c>
      <c r="D9" s="12" t="s">
        <v>22</v>
      </c>
      <c r="E9" s="30" t="s">
        <v>14</v>
      </c>
      <c r="F9" s="9" t="s">
        <v>15</v>
      </c>
    </row>
    <row r="10" spans="1:255">
      <c r="A10" s="12"/>
      <c r="B10" s="30" t="s">
        <v>16</v>
      </c>
      <c r="C10" s="31" t="s">
        <v>17</v>
      </c>
      <c r="D10" s="12" t="s">
        <v>22</v>
      </c>
      <c r="E10" s="30" t="s">
        <v>18</v>
      </c>
      <c r="F10" s="9" t="s">
        <v>19</v>
      </c>
    </row>
    <row r="13" spans="1:255">
      <c r="A13" s="18" t="s">
        <v>785</v>
      </c>
      <c r="B13" s="18" t="s">
        <v>26</v>
      </c>
      <c r="C13" s="18" t="s">
        <v>27</v>
      </c>
      <c r="D13" s="18" t="s">
        <v>28</v>
      </c>
      <c r="E13" s="18" t="s">
        <v>29</v>
      </c>
      <c r="F13" s="18" t="s">
        <v>30</v>
      </c>
      <c r="G13" s="18" t="s">
        <v>31</v>
      </c>
      <c r="H13" s="18"/>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c r="HJ13" s="17"/>
      <c r="HK13" s="17"/>
      <c r="HL13" s="17"/>
      <c r="HM13" s="17"/>
      <c r="HN13" s="17"/>
      <c r="HO13" s="17"/>
      <c r="HP13" s="17"/>
      <c r="HQ13" s="17"/>
      <c r="HR13" s="17"/>
      <c r="HS13" s="17"/>
      <c r="HT13" s="17"/>
      <c r="HU13" s="17"/>
      <c r="HV13" s="17"/>
      <c r="HW13" s="17"/>
      <c r="HX13" s="17"/>
      <c r="HY13" s="17"/>
      <c r="HZ13" s="17"/>
      <c r="IA13" s="17"/>
      <c r="IB13" s="17"/>
      <c r="IC13" s="17"/>
      <c r="ID13" s="17"/>
      <c r="IE13" s="17"/>
      <c r="IF13" s="17"/>
      <c r="IG13" s="17"/>
      <c r="IH13" s="17"/>
      <c r="II13" s="17"/>
      <c r="IJ13" s="17"/>
      <c r="IK13" s="17"/>
      <c r="IL13" s="17"/>
      <c r="IM13" s="17"/>
      <c r="IN13" s="17"/>
      <c r="IO13" s="17"/>
      <c r="IP13" s="17"/>
      <c r="IQ13" s="17"/>
      <c r="IR13" s="17"/>
      <c r="IS13" s="17"/>
      <c r="IT13" s="17"/>
      <c r="IU13" s="17"/>
    </row>
    <row r="14" spans="1:255" ht="20.25">
      <c r="A14" s="115" t="s">
        <v>34</v>
      </c>
      <c r="B14" s="116" t="s">
        <v>786</v>
      </c>
      <c r="C14" s="116" t="s">
        <v>787</v>
      </c>
      <c r="D14" s="116" t="s">
        <v>788</v>
      </c>
      <c r="E14" s="116" t="s">
        <v>789</v>
      </c>
      <c r="F14" s="116" t="s">
        <v>790</v>
      </c>
      <c r="G14" s="116" t="s">
        <v>791</v>
      </c>
      <c r="H14" s="116" t="s">
        <v>792</v>
      </c>
    </row>
    <row r="15" spans="1:255">
      <c r="A15" s="112" t="s">
        <v>43</v>
      </c>
      <c r="B15" s="113" t="s">
        <v>44</v>
      </c>
      <c r="C15" s="113" t="s">
        <v>44</v>
      </c>
      <c r="D15" s="113" t="s">
        <v>44</v>
      </c>
      <c r="E15" s="113" t="s">
        <v>44</v>
      </c>
      <c r="F15" s="113" t="s">
        <v>44</v>
      </c>
      <c r="G15" s="113" t="s">
        <v>44</v>
      </c>
      <c r="H15" s="113" t="s">
        <v>44</v>
      </c>
    </row>
    <row r="16" spans="1:255">
      <c r="A16" s="15" t="s">
        <v>793</v>
      </c>
      <c r="B16" s="12"/>
      <c r="C16" s="12"/>
      <c r="D16" s="12"/>
      <c r="E16" s="12"/>
      <c r="F16" s="12"/>
      <c r="G16" s="12"/>
      <c r="H16" s="12"/>
    </row>
    <row r="17" spans="1:8">
      <c r="A17" s="12" t="s">
        <v>794</v>
      </c>
      <c r="B17" s="107" t="s">
        <v>47</v>
      </c>
      <c r="C17" s="107" t="s">
        <v>47</v>
      </c>
      <c r="D17" s="107" t="s">
        <v>47</v>
      </c>
      <c r="E17" s="107" t="s">
        <v>47</v>
      </c>
      <c r="F17" s="107" t="s">
        <v>47</v>
      </c>
      <c r="G17" s="107" t="s">
        <v>47</v>
      </c>
      <c r="H17" s="107">
        <v>718</v>
      </c>
    </row>
    <row r="18" spans="1:8">
      <c r="A18" s="12" t="s">
        <v>795</v>
      </c>
      <c r="B18" s="107" t="s">
        <v>47</v>
      </c>
      <c r="C18" s="107" t="s">
        <v>47</v>
      </c>
      <c r="D18" s="107" t="s">
        <v>47</v>
      </c>
      <c r="E18" s="107" t="s">
        <v>47</v>
      </c>
      <c r="F18" s="107" t="s">
        <v>47</v>
      </c>
      <c r="G18" s="107" t="s">
        <v>47</v>
      </c>
      <c r="H18" s="107">
        <v>682</v>
      </c>
    </row>
    <row r="19" spans="1:8">
      <c r="A19" s="12"/>
      <c r="B19" s="12"/>
      <c r="C19" s="12"/>
      <c r="D19" s="12"/>
      <c r="E19" s="12"/>
      <c r="F19" s="12"/>
      <c r="G19" s="12"/>
      <c r="H19" s="12"/>
    </row>
    <row r="20" spans="1:8">
      <c r="A20" s="12" t="s">
        <v>796</v>
      </c>
      <c r="B20" s="106">
        <v>0.02</v>
      </c>
      <c r="C20" s="106">
        <v>-7.0000000000000001E-3</v>
      </c>
      <c r="D20" s="106">
        <v>-0.27900000000000003</v>
      </c>
      <c r="E20" s="106">
        <v>0.42899999999999999</v>
      </c>
      <c r="F20" s="106">
        <v>6.0000000000000001E-3</v>
      </c>
      <c r="G20" s="106">
        <v>-0.06</v>
      </c>
      <c r="H20" s="106">
        <v>-8.9999999999999993E-3</v>
      </c>
    </row>
    <row r="21" spans="1:8">
      <c r="A21" s="12"/>
      <c r="B21" s="12"/>
      <c r="C21" s="12"/>
      <c r="D21" s="12"/>
      <c r="E21" s="12"/>
      <c r="F21" s="12"/>
      <c r="G21" s="12"/>
      <c r="H21" s="12"/>
    </row>
    <row r="22" spans="1:8">
      <c r="A22" s="12" t="s">
        <v>458</v>
      </c>
      <c r="B22" s="106">
        <v>0.39100000000000001</v>
      </c>
      <c r="C22" s="106">
        <v>0.38200000000000001</v>
      </c>
      <c r="D22" s="106">
        <v>0.29199999999999998</v>
      </c>
      <c r="E22" s="106">
        <v>0.38900000000000001</v>
      </c>
      <c r="F22" s="106">
        <v>0.372</v>
      </c>
      <c r="G22" s="106">
        <v>0.38400000000000001</v>
      </c>
      <c r="H22" s="106">
        <v>0.38400000000000001</v>
      </c>
    </row>
    <row r="23" spans="1:8">
      <c r="A23" s="12" t="s">
        <v>797</v>
      </c>
      <c r="B23" s="106">
        <v>7.6999999999999999E-2</v>
      </c>
      <c r="C23" s="106">
        <v>3.9E-2</v>
      </c>
      <c r="D23" s="106">
        <v>-0.25800000000000001</v>
      </c>
      <c r="E23" s="106">
        <v>9.2999999999999999E-2</v>
      </c>
      <c r="F23" s="106">
        <v>6.6000000000000003E-2</v>
      </c>
      <c r="G23" s="106">
        <v>1.2999999999999999E-2</v>
      </c>
      <c r="H23" s="106">
        <v>0.04</v>
      </c>
    </row>
    <row r="24" spans="1:8">
      <c r="A24" s="12"/>
      <c r="B24" s="12"/>
      <c r="C24" s="12"/>
      <c r="D24" s="12"/>
      <c r="E24" s="12"/>
      <c r="F24" s="12"/>
      <c r="G24" s="12"/>
      <c r="H24" s="12"/>
    </row>
    <row r="25" spans="1:8">
      <c r="A25" s="12" t="s">
        <v>798</v>
      </c>
      <c r="B25" s="21">
        <v>24971</v>
      </c>
      <c r="C25" s="21">
        <v>24560</v>
      </c>
      <c r="D25" s="21">
        <v>17346</v>
      </c>
      <c r="E25" s="21">
        <v>24460</v>
      </c>
      <c r="F25" s="21">
        <v>24442</v>
      </c>
      <c r="G25" s="21">
        <v>23092</v>
      </c>
      <c r="H25" s="21">
        <v>22293</v>
      </c>
    </row>
    <row r="26" spans="1:8">
      <c r="A26" s="12"/>
      <c r="B26" s="12"/>
      <c r="C26" s="12"/>
      <c r="D26" s="12"/>
      <c r="E26" s="12"/>
      <c r="F26" s="12"/>
      <c r="G26" s="12"/>
      <c r="H26" s="12"/>
    </row>
    <row r="27" spans="1:8">
      <c r="A27" s="12" t="s">
        <v>799</v>
      </c>
      <c r="B27" s="107" t="s">
        <v>47</v>
      </c>
      <c r="C27" s="107" t="s">
        <v>47</v>
      </c>
      <c r="D27" s="107" t="s">
        <v>47</v>
      </c>
      <c r="E27" s="107" t="s">
        <v>47</v>
      </c>
      <c r="F27" s="107" t="s">
        <v>47</v>
      </c>
      <c r="G27" s="107" t="s">
        <v>47</v>
      </c>
      <c r="H27" s="107">
        <v>100000000</v>
      </c>
    </row>
    <row r="28" spans="1:8">
      <c r="A28" s="12"/>
      <c r="B28" s="12"/>
      <c r="C28" s="12"/>
      <c r="D28" s="12"/>
      <c r="E28" s="12"/>
      <c r="F28" s="12"/>
      <c r="G28" s="12"/>
      <c r="H28" s="12"/>
    </row>
    <row r="29" spans="1:8">
      <c r="A29" s="15" t="s">
        <v>800</v>
      </c>
      <c r="B29" s="12"/>
      <c r="C29" s="12"/>
      <c r="D29" s="12"/>
      <c r="E29" s="12"/>
      <c r="F29" s="12"/>
      <c r="G29" s="12"/>
      <c r="H29" s="12"/>
    </row>
    <row r="30" spans="1:8">
      <c r="A30" s="12" t="s">
        <v>801</v>
      </c>
      <c r="B30" s="107" t="s">
        <v>47</v>
      </c>
      <c r="C30" s="107" t="s">
        <v>47</v>
      </c>
      <c r="D30" s="107" t="s">
        <v>47</v>
      </c>
      <c r="E30" s="107" t="s">
        <v>47</v>
      </c>
      <c r="F30" s="107" t="s">
        <v>47</v>
      </c>
      <c r="G30" s="107" t="s">
        <v>47</v>
      </c>
      <c r="H30" s="107">
        <v>718</v>
      </c>
    </row>
    <row r="31" spans="1:8">
      <c r="A31" s="12" t="s">
        <v>802</v>
      </c>
      <c r="B31" s="107" t="s">
        <v>47</v>
      </c>
      <c r="C31" s="107" t="s">
        <v>47</v>
      </c>
      <c r="D31" s="107" t="s">
        <v>47</v>
      </c>
      <c r="E31" s="107" t="s">
        <v>47</v>
      </c>
      <c r="F31" s="107" t="s">
        <v>47</v>
      </c>
      <c r="G31" s="107" t="s">
        <v>47</v>
      </c>
      <c r="H31" s="107">
        <v>32</v>
      </c>
    </row>
    <row r="32" spans="1:8">
      <c r="A32" s="12" t="s">
        <v>803</v>
      </c>
      <c r="B32" s="107" t="s">
        <v>47</v>
      </c>
      <c r="C32" s="107" t="s">
        <v>47</v>
      </c>
      <c r="D32" s="107" t="s">
        <v>47</v>
      </c>
      <c r="E32" s="107" t="s">
        <v>47</v>
      </c>
      <c r="F32" s="107" t="s">
        <v>47</v>
      </c>
      <c r="G32" s="107" t="s">
        <v>47</v>
      </c>
      <c r="H32" s="107">
        <v>70</v>
      </c>
    </row>
    <row r="33" spans="1:8">
      <c r="A33" s="12" t="s">
        <v>804</v>
      </c>
      <c r="B33" s="107" t="s">
        <v>47</v>
      </c>
      <c r="C33" s="107" t="s">
        <v>47</v>
      </c>
      <c r="D33" s="107" t="s">
        <v>47</v>
      </c>
      <c r="E33" s="107" t="s">
        <v>47</v>
      </c>
      <c r="F33" s="107" t="s">
        <v>47</v>
      </c>
      <c r="G33" s="107" t="s">
        <v>47</v>
      </c>
      <c r="H33" s="107">
        <v>680</v>
      </c>
    </row>
    <row r="34" spans="1:8">
      <c r="A34" s="12"/>
      <c r="B34" s="12"/>
      <c r="C34" s="12"/>
      <c r="D34" s="12"/>
      <c r="E34" s="12"/>
      <c r="F34" s="12"/>
      <c r="G34" s="12"/>
      <c r="H34" s="12"/>
    </row>
    <row r="35" spans="1:8">
      <c r="A35" s="12" t="s">
        <v>805</v>
      </c>
      <c r="B35" s="106">
        <v>1.7000000000000001E-2</v>
      </c>
      <c r="C35" s="106">
        <v>-8.0000000000000002E-3</v>
      </c>
      <c r="D35" s="106">
        <v>-0.27900000000000003</v>
      </c>
      <c r="E35" s="106">
        <v>0.43</v>
      </c>
      <c r="F35" s="106">
        <v>3.0000000000000001E-3</v>
      </c>
      <c r="G35" s="106">
        <v>-6.9000000000000006E-2</v>
      </c>
      <c r="H35" s="106">
        <v>-0.02</v>
      </c>
    </row>
    <row r="36" spans="1:8">
      <c r="A36" s="12"/>
      <c r="B36" s="12"/>
      <c r="C36" s="12"/>
      <c r="D36" s="12"/>
      <c r="E36" s="12"/>
      <c r="F36" s="12"/>
      <c r="G36" s="12"/>
      <c r="H36" s="12"/>
    </row>
    <row r="37" spans="1:8">
      <c r="A37" s="15" t="s">
        <v>806</v>
      </c>
      <c r="B37" s="12"/>
      <c r="C37" s="12"/>
      <c r="D37" s="12"/>
      <c r="E37" s="12"/>
      <c r="F37" s="12"/>
      <c r="G37" s="12"/>
      <c r="H37" s="12"/>
    </row>
    <row r="38" spans="1:8">
      <c r="A38" s="12" t="s">
        <v>807</v>
      </c>
      <c r="B38" s="107" t="s">
        <v>47</v>
      </c>
      <c r="C38" s="107" t="s">
        <v>47</v>
      </c>
      <c r="D38" s="107" t="s">
        <v>47</v>
      </c>
      <c r="E38" s="107" t="s">
        <v>47</v>
      </c>
      <c r="F38" s="107" t="s">
        <v>47</v>
      </c>
      <c r="G38" s="107" t="s">
        <v>47</v>
      </c>
      <c r="H38" s="107">
        <v>2</v>
      </c>
    </row>
    <row r="39" spans="1:8">
      <c r="A39" s="12"/>
      <c r="B39" s="12"/>
      <c r="C39" s="12"/>
      <c r="D39" s="12"/>
      <c r="E39" s="12"/>
      <c r="F39" s="12"/>
      <c r="G39" s="12"/>
      <c r="H39" s="12"/>
    </row>
    <row r="40" spans="1:8">
      <c r="A40" s="12" t="s">
        <v>808</v>
      </c>
      <c r="B40" s="106">
        <v>3.0000000000000001E-3</v>
      </c>
      <c r="C40" s="13" t="s">
        <v>47</v>
      </c>
      <c r="D40" s="13" t="s">
        <v>47</v>
      </c>
      <c r="E40" s="106">
        <v>-1E-3</v>
      </c>
      <c r="F40" s="106">
        <v>3.0000000000000001E-3</v>
      </c>
      <c r="G40" s="106">
        <v>8.9999999999999993E-3</v>
      </c>
      <c r="H40" s="106">
        <v>1.0999999999999999E-2</v>
      </c>
    </row>
    <row r="41" spans="1:8">
      <c r="A41" s="12"/>
      <c r="B41" s="12"/>
      <c r="C41" s="12"/>
      <c r="D41" s="12"/>
      <c r="E41" s="12"/>
      <c r="F41" s="12"/>
      <c r="G41" s="12"/>
      <c r="H41" s="12"/>
    </row>
    <row r="42" spans="1:8">
      <c r="A42" s="12"/>
      <c r="B42" s="12" t="s">
        <v>57</v>
      </c>
      <c r="C42" s="12" t="s">
        <v>57</v>
      </c>
      <c r="D42" s="12" t="s">
        <v>57</v>
      </c>
      <c r="E42" s="12" t="s">
        <v>57</v>
      </c>
      <c r="F42" s="12" t="s">
        <v>57</v>
      </c>
      <c r="G42" s="12" t="s">
        <v>57</v>
      </c>
      <c r="H42" s="12" t="s">
        <v>57</v>
      </c>
    </row>
    <row r="43" spans="1:8">
      <c r="A43" s="12" t="s">
        <v>809</v>
      </c>
      <c r="B43" s="101">
        <v>44284</v>
      </c>
      <c r="C43" s="101">
        <v>44645</v>
      </c>
      <c r="D43" s="101">
        <v>45009</v>
      </c>
      <c r="E43" s="101">
        <v>45373</v>
      </c>
      <c r="F43" s="101">
        <v>45737</v>
      </c>
      <c r="G43" s="101">
        <v>45737</v>
      </c>
      <c r="H43" s="101">
        <v>45737</v>
      </c>
    </row>
    <row r="44" spans="1:8">
      <c r="A44" s="12"/>
      <c r="B44" s="12" t="s">
        <v>57</v>
      </c>
      <c r="C44" s="12" t="s">
        <v>57</v>
      </c>
      <c r="D44" s="12" t="s">
        <v>57</v>
      </c>
      <c r="E44" s="12" t="s">
        <v>57</v>
      </c>
      <c r="F44" s="12" t="s">
        <v>57</v>
      </c>
      <c r="G44" s="12" t="s">
        <v>57</v>
      </c>
      <c r="H44" s="12" t="s">
        <v>57</v>
      </c>
    </row>
    <row r="45" spans="1:8">
      <c r="A45" s="12" t="s">
        <v>43</v>
      </c>
      <c r="B45" s="13" t="s">
        <v>44</v>
      </c>
      <c r="C45" s="13" t="s">
        <v>44</v>
      </c>
      <c r="D45" s="13" t="s">
        <v>44</v>
      </c>
      <c r="E45" s="13" t="s">
        <v>44</v>
      </c>
      <c r="F45" s="13" t="s">
        <v>44</v>
      </c>
      <c r="G45" s="13" t="s">
        <v>44</v>
      </c>
      <c r="H45" s="13" t="s">
        <v>44</v>
      </c>
    </row>
    <row r="46" spans="1:8">
      <c r="A46" s="12" t="s">
        <v>58</v>
      </c>
      <c r="B46" s="21">
        <v>1</v>
      </c>
      <c r="C46" s="21">
        <v>1</v>
      </c>
      <c r="D46" s="21">
        <v>1</v>
      </c>
      <c r="E46" s="21">
        <v>1</v>
      </c>
      <c r="F46" s="21">
        <v>1</v>
      </c>
      <c r="G46" s="21">
        <v>1</v>
      </c>
      <c r="H46" s="21">
        <v>1</v>
      </c>
    </row>
    <row r="47" spans="1:8">
      <c r="A47" s="12" t="s">
        <v>59</v>
      </c>
      <c r="B47" s="13" t="s">
        <v>60</v>
      </c>
      <c r="C47" s="13" t="s">
        <v>60</v>
      </c>
      <c r="D47" s="13" t="s">
        <v>60</v>
      </c>
      <c r="E47" s="13" t="s">
        <v>60</v>
      </c>
      <c r="F47" s="13" t="s">
        <v>60</v>
      </c>
      <c r="G47" s="13" t="s">
        <v>60</v>
      </c>
      <c r="H47" s="13" t="s">
        <v>60</v>
      </c>
    </row>
    <row r="48" spans="1:8" ht="60.75">
      <c r="A48" s="94" t="s">
        <v>96</v>
      </c>
      <c r="B48" s="11"/>
      <c r="C48" s="11"/>
      <c r="D48" s="11"/>
      <c r="E48" s="11"/>
      <c r="F48" s="11"/>
      <c r="G48" s="11"/>
      <c r="H48" s="11"/>
    </row>
  </sheetData>
  <pageMargins left="0.2" right="0.2" top="0.5" bottom="0.5" header="0.5" footer="0.5"/>
  <pageSetup fitToWidth="0" fitToHeight="0"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04797-2DBD-684C-84E5-31C3954F8E5B}">
  <sheetPr codeName="Sheet21">
    <tabColor theme="4" tint="0.79998168889431442"/>
    <outlinePr summaryBelow="0" summaryRight="0"/>
    <pageSetUpPr autoPageBreaks="0"/>
  </sheetPr>
  <dimension ref="A5:IU117"/>
  <sheetViews>
    <sheetView topLeftCell="G40" zoomScale="151" workbookViewId="0">
      <selection activeCell="B21" sqref="B21"/>
    </sheetView>
  </sheetViews>
  <sheetFormatPr defaultColWidth="10.8125" defaultRowHeight="10.15"/>
  <cols>
    <col min="1" max="1" width="45.8125" style="9" customWidth="1"/>
    <col min="2" max="15" width="14.8125" style="9" customWidth="1"/>
    <col min="16" max="256" width="8.8125" style="9" customWidth="1"/>
    <col min="257" max="16384" width="10.8125" style="9"/>
  </cols>
  <sheetData>
    <row r="5" spans="1:255" ht="16.149999999999999">
      <c r="A5" s="33" t="s">
        <v>810</v>
      </c>
    </row>
    <row r="7" spans="1:255">
      <c r="A7" s="32" t="s">
        <v>811</v>
      </c>
      <c r="B7" s="30" t="s">
        <v>4</v>
      </c>
      <c r="C7" s="9" t="s">
        <v>5</v>
      </c>
      <c r="D7" s="12" t="s">
        <v>22</v>
      </c>
      <c r="E7" s="30" t="s">
        <v>6</v>
      </c>
      <c r="F7" s="9" t="s">
        <v>7</v>
      </c>
    </row>
    <row r="8" spans="1:255">
      <c r="A8" s="12"/>
      <c r="B8" s="30" t="s">
        <v>10</v>
      </c>
      <c r="C8" s="9" t="s">
        <v>11</v>
      </c>
      <c r="D8" s="12" t="s">
        <v>22</v>
      </c>
      <c r="E8" s="30" t="s">
        <v>12</v>
      </c>
      <c r="F8" s="9" t="s">
        <v>13</v>
      </c>
    </row>
    <row r="9" spans="1:255">
      <c r="A9" s="12"/>
      <c r="B9" s="30" t="s">
        <v>14</v>
      </c>
      <c r="C9" s="9" t="s">
        <v>15</v>
      </c>
      <c r="D9" s="12" t="s">
        <v>22</v>
      </c>
      <c r="E9" s="30" t="s">
        <v>16</v>
      </c>
      <c r="F9" s="31" t="s">
        <v>17</v>
      </c>
    </row>
    <row r="10" spans="1:255">
      <c r="A10" s="12"/>
      <c r="B10" s="30" t="s">
        <v>8</v>
      </c>
      <c r="C10" s="9" t="s">
        <v>9</v>
      </c>
      <c r="D10" s="12" t="s">
        <v>22</v>
      </c>
      <c r="E10" s="92"/>
      <c r="F10" s="92"/>
    </row>
    <row r="13" spans="1:255">
      <c r="A13" s="18" t="s">
        <v>812</v>
      </c>
      <c r="B13" s="18"/>
      <c r="C13" s="18"/>
      <c r="D13" s="18"/>
      <c r="E13" s="18"/>
      <c r="F13" s="18"/>
      <c r="G13" s="18"/>
      <c r="H13" s="18"/>
      <c r="I13" s="18"/>
      <c r="J13" s="18"/>
      <c r="K13" s="18"/>
      <c r="L13" s="18"/>
      <c r="M13" s="18"/>
      <c r="N13" s="18"/>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c r="HJ13" s="17"/>
      <c r="HK13" s="17"/>
      <c r="HL13" s="17"/>
      <c r="HM13" s="17"/>
      <c r="HN13" s="17"/>
      <c r="HO13" s="17"/>
      <c r="HP13" s="17"/>
      <c r="HQ13" s="17"/>
      <c r="HR13" s="17"/>
      <c r="HS13" s="17"/>
      <c r="HT13" s="17"/>
      <c r="HU13" s="17"/>
      <c r="HV13" s="17"/>
      <c r="HW13" s="17"/>
      <c r="HX13" s="17"/>
      <c r="HY13" s="17"/>
      <c r="HZ13" s="17"/>
      <c r="IA13" s="17"/>
      <c r="IB13" s="17"/>
      <c r="IC13" s="17"/>
      <c r="ID13" s="17"/>
      <c r="IE13" s="17"/>
      <c r="IF13" s="17"/>
      <c r="IG13" s="17"/>
      <c r="IH13" s="17"/>
      <c r="II13" s="17"/>
      <c r="IJ13" s="17"/>
      <c r="IK13" s="17"/>
      <c r="IL13" s="17"/>
      <c r="IM13" s="17"/>
      <c r="IN13" s="17"/>
      <c r="IO13" s="17"/>
      <c r="IP13" s="17"/>
      <c r="IQ13" s="17"/>
      <c r="IR13" s="17"/>
      <c r="IS13" s="17"/>
      <c r="IT13" s="17"/>
      <c r="IU13" s="17"/>
    </row>
    <row r="14" spans="1:255" s="114" customFormat="1" ht="20.25">
      <c r="A14" s="115" t="s">
        <v>813</v>
      </c>
      <c r="B14" s="791" t="s">
        <v>814</v>
      </c>
      <c r="C14" s="792"/>
      <c r="D14" s="791" t="s">
        <v>815</v>
      </c>
      <c r="E14" s="792"/>
      <c r="F14" s="791" t="s">
        <v>816</v>
      </c>
      <c r="G14" s="792"/>
      <c r="H14" s="791" t="s">
        <v>817</v>
      </c>
      <c r="I14" s="790"/>
      <c r="J14" s="789" t="s">
        <v>818</v>
      </c>
      <c r="K14" s="790"/>
      <c r="L14" s="789" t="s">
        <v>819</v>
      </c>
      <c r="M14" s="790"/>
      <c r="N14" s="789" t="s">
        <v>820</v>
      </c>
      <c r="O14" s="790"/>
    </row>
    <row r="15" spans="1:255" s="114" customFormat="1">
      <c r="A15" s="112" t="s">
        <v>821</v>
      </c>
      <c r="B15" s="113" t="s">
        <v>822</v>
      </c>
      <c r="C15" s="113"/>
      <c r="D15" s="113" t="s">
        <v>822</v>
      </c>
      <c r="E15" s="113"/>
      <c r="F15" s="113" t="s">
        <v>822</v>
      </c>
      <c r="G15" s="113"/>
      <c r="H15" s="113" t="s">
        <v>822</v>
      </c>
      <c r="I15" s="119"/>
      <c r="J15" s="119" t="s">
        <v>822</v>
      </c>
      <c r="K15" s="119"/>
      <c r="L15" s="119" t="s">
        <v>822</v>
      </c>
      <c r="M15" s="119"/>
      <c r="N15" s="119" t="s">
        <v>822</v>
      </c>
      <c r="O15" s="119"/>
    </row>
    <row r="16" spans="1:255" s="114" customFormat="1">
      <c r="A16" s="115" t="s">
        <v>823</v>
      </c>
      <c r="B16" s="116" t="s">
        <v>824</v>
      </c>
      <c r="C16" s="116" t="s">
        <v>825</v>
      </c>
      <c r="D16" s="116" t="s">
        <v>824</v>
      </c>
      <c r="E16" s="116" t="s">
        <v>825</v>
      </c>
      <c r="F16" s="116" t="s">
        <v>824</v>
      </c>
      <c r="G16" s="116" t="s">
        <v>825</v>
      </c>
      <c r="H16" s="116" t="s">
        <v>824</v>
      </c>
      <c r="I16" s="120" t="s">
        <v>825</v>
      </c>
      <c r="J16" s="120" t="s">
        <v>824</v>
      </c>
      <c r="K16" s="120" t="s">
        <v>825</v>
      </c>
      <c r="L16" s="120" t="s">
        <v>824</v>
      </c>
      <c r="M16" s="120" t="s">
        <v>825</v>
      </c>
      <c r="N16" s="120" t="s">
        <v>824</v>
      </c>
      <c r="O16" s="120" t="s">
        <v>825</v>
      </c>
    </row>
    <row r="17" spans="1:255">
      <c r="A17" s="15" t="s">
        <v>57</v>
      </c>
      <c r="B17" s="12"/>
      <c r="C17" s="99"/>
      <c r="D17" s="12"/>
      <c r="E17" s="99"/>
      <c r="F17" s="12"/>
      <c r="G17" s="99"/>
      <c r="H17" s="12"/>
      <c r="J17" s="84"/>
      <c r="L17" s="84"/>
      <c r="N17" s="84"/>
    </row>
    <row r="18" spans="1:255">
      <c r="A18" s="12" t="s">
        <v>826</v>
      </c>
      <c r="B18" s="21">
        <v>4751</v>
      </c>
      <c r="C18" s="26">
        <v>0.42468937159199999</v>
      </c>
      <c r="D18" s="21">
        <v>7411</v>
      </c>
      <c r="E18" s="26">
        <v>0.53749637365799996</v>
      </c>
      <c r="F18" s="21">
        <v>8244</v>
      </c>
      <c r="G18" s="26">
        <v>0.763545429286</v>
      </c>
      <c r="H18" s="21">
        <v>6723</v>
      </c>
      <c r="I18" s="95">
        <v>0.64994199535999997</v>
      </c>
      <c r="J18" s="96">
        <v>6294</v>
      </c>
      <c r="K18" s="95">
        <v>0.60659213569799997</v>
      </c>
      <c r="L18" s="96">
        <v>6342</v>
      </c>
      <c r="M18" s="95">
        <v>0.61115929459399998</v>
      </c>
      <c r="N18" s="96">
        <v>6073</v>
      </c>
      <c r="O18" s="95">
        <v>0.57157647058799999</v>
      </c>
    </row>
    <row r="19" spans="1:255">
      <c r="A19" s="12" t="s">
        <v>827</v>
      </c>
      <c r="B19" s="21">
        <v>6436</v>
      </c>
      <c r="C19" s="26">
        <v>0.57531062840799996</v>
      </c>
      <c r="D19" s="21">
        <v>6377</v>
      </c>
      <c r="E19" s="26">
        <v>0.46250362634199998</v>
      </c>
      <c r="F19" s="21">
        <v>2553</v>
      </c>
      <c r="G19" s="26">
        <v>0.236454570714</v>
      </c>
      <c r="H19" s="21">
        <v>3621</v>
      </c>
      <c r="I19" s="95">
        <v>0.35005800463999998</v>
      </c>
      <c r="J19" s="96">
        <v>4082</v>
      </c>
      <c r="K19" s="95">
        <v>0.39340786430199998</v>
      </c>
      <c r="L19" s="96">
        <v>4035</v>
      </c>
      <c r="M19" s="95">
        <v>0.38884070540600002</v>
      </c>
      <c r="N19" s="96">
        <v>4552</v>
      </c>
      <c r="O19" s="95">
        <v>0.42842352941200001</v>
      </c>
    </row>
    <row r="20" spans="1:255">
      <c r="A20" s="15" t="s">
        <v>828</v>
      </c>
      <c r="B20" s="20">
        <v>11187</v>
      </c>
      <c r="C20" s="105">
        <v>1</v>
      </c>
      <c r="D20" s="20">
        <v>13788</v>
      </c>
      <c r="E20" s="105">
        <v>1</v>
      </c>
      <c r="F20" s="20">
        <v>10797</v>
      </c>
      <c r="G20" s="105">
        <v>1</v>
      </c>
      <c r="H20" s="20">
        <v>10344</v>
      </c>
      <c r="I20" s="103">
        <v>1</v>
      </c>
      <c r="J20" s="104">
        <v>10376</v>
      </c>
      <c r="K20" s="103">
        <v>1</v>
      </c>
      <c r="L20" s="104">
        <v>10377</v>
      </c>
      <c r="M20" s="103">
        <v>1</v>
      </c>
      <c r="N20" s="104">
        <v>10625</v>
      </c>
      <c r="O20" s="103">
        <v>1</v>
      </c>
    </row>
    <row r="21" spans="1:255">
      <c r="A21" s="12"/>
      <c r="B21" s="12"/>
      <c r="C21" s="99"/>
      <c r="D21" s="12"/>
      <c r="E21" s="99"/>
      <c r="F21" s="12"/>
      <c r="G21" s="99"/>
      <c r="H21" s="12"/>
      <c r="J21" s="84"/>
      <c r="L21" s="84"/>
      <c r="N21" s="84"/>
    </row>
    <row r="22" spans="1:255">
      <c r="A22" s="12"/>
      <c r="B22" s="12" t="s">
        <v>57</v>
      </c>
      <c r="C22" s="99"/>
      <c r="D22" s="12" t="s">
        <v>57</v>
      </c>
      <c r="E22" s="99"/>
      <c r="F22" s="12" t="s">
        <v>57</v>
      </c>
      <c r="G22" s="99"/>
      <c r="H22" s="12" t="s">
        <v>57</v>
      </c>
      <c r="J22" s="84" t="s">
        <v>57</v>
      </c>
      <c r="L22" s="84" t="s">
        <v>57</v>
      </c>
      <c r="N22" s="84" t="s">
        <v>57</v>
      </c>
    </row>
    <row r="23" spans="1:255">
      <c r="A23" s="12" t="s">
        <v>43</v>
      </c>
      <c r="B23" s="13" t="s">
        <v>44</v>
      </c>
      <c r="C23" s="98"/>
      <c r="D23" s="13" t="s">
        <v>44</v>
      </c>
      <c r="E23" s="98"/>
      <c r="F23" s="13" t="s">
        <v>44</v>
      </c>
      <c r="G23" s="98"/>
      <c r="H23" s="13" t="s">
        <v>44</v>
      </c>
      <c r="I23" s="97"/>
      <c r="J23" s="63" t="s">
        <v>44</v>
      </c>
      <c r="K23" s="97"/>
      <c r="L23" s="63" t="s">
        <v>44</v>
      </c>
      <c r="M23" s="97"/>
      <c r="N23" s="63" t="s">
        <v>44</v>
      </c>
      <c r="O23" s="97"/>
    </row>
    <row r="24" spans="1:255">
      <c r="A24" s="12" t="s">
        <v>58</v>
      </c>
      <c r="B24" s="21">
        <v>1</v>
      </c>
      <c r="C24" s="26"/>
      <c r="D24" s="21">
        <v>1</v>
      </c>
      <c r="E24" s="26"/>
      <c r="F24" s="21">
        <v>1</v>
      </c>
      <c r="G24" s="26"/>
      <c r="H24" s="21">
        <v>1</v>
      </c>
      <c r="I24" s="95"/>
      <c r="J24" s="96">
        <v>1</v>
      </c>
      <c r="K24" s="95"/>
      <c r="L24" s="96">
        <v>1</v>
      </c>
      <c r="M24" s="95"/>
      <c r="N24" s="96">
        <v>1</v>
      </c>
      <c r="O24" s="95"/>
    </row>
    <row r="25" spans="1:255">
      <c r="A25" s="12" t="s">
        <v>59</v>
      </c>
      <c r="B25" s="13" t="s">
        <v>60</v>
      </c>
      <c r="C25" s="26"/>
      <c r="D25" s="13" t="s">
        <v>60</v>
      </c>
      <c r="E25" s="26"/>
      <c r="F25" s="13" t="s">
        <v>60</v>
      </c>
      <c r="G25" s="26"/>
      <c r="H25" s="13" t="s">
        <v>60</v>
      </c>
      <c r="I25" s="95"/>
      <c r="J25" s="63" t="s">
        <v>60</v>
      </c>
      <c r="K25" s="95"/>
      <c r="L25" s="63" t="s">
        <v>60</v>
      </c>
      <c r="M25" s="95"/>
      <c r="N25" s="63" t="s">
        <v>60</v>
      </c>
      <c r="O25" s="95"/>
    </row>
    <row r="26" spans="1:255">
      <c r="A26" s="11"/>
      <c r="B26" s="11"/>
      <c r="C26" s="11"/>
      <c r="D26" s="11"/>
      <c r="E26" s="11"/>
      <c r="F26" s="11"/>
      <c r="G26" s="11"/>
      <c r="H26" s="11"/>
    </row>
    <row r="28" spans="1:255">
      <c r="A28" s="18" t="s">
        <v>829</v>
      </c>
      <c r="B28" s="18"/>
      <c r="C28" s="18"/>
      <c r="D28" s="18"/>
      <c r="E28" s="18"/>
      <c r="F28" s="18"/>
      <c r="G28" s="18"/>
      <c r="H28" s="18"/>
      <c r="I28" s="18"/>
      <c r="J28" s="18"/>
      <c r="K28" s="18"/>
      <c r="L28" s="18"/>
      <c r="M28" s="18"/>
      <c r="N28" s="18"/>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c r="FO28" s="17"/>
      <c r="FP28" s="17"/>
      <c r="FQ28" s="17"/>
      <c r="FR28" s="17"/>
      <c r="FS28" s="17"/>
      <c r="FT28" s="17"/>
      <c r="FU28" s="17"/>
      <c r="FV28" s="17"/>
      <c r="FW28" s="17"/>
      <c r="FX28" s="17"/>
      <c r="FY28" s="17"/>
      <c r="FZ28" s="17"/>
      <c r="GA28" s="17"/>
      <c r="GB28" s="17"/>
      <c r="GC28" s="17"/>
      <c r="GD28" s="17"/>
      <c r="GE28" s="17"/>
      <c r="GF28" s="17"/>
      <c r="GG28" s="17"/>
      <c r="GH28" s="17"/>
      <c r="GI28" s="17"/>
      <c r="GJ28" s="17"/>
      <c r="GK28" s="17"/>
      <c r="GL28" s="17"/>
      <c r="GM28" s="17"/>
      <c r="GN28" s="17"/>
      <c r="GO28" s="17"/>
      <c r="GP28" s="17"/>
      <c r="GQ28" s="17"/>
      <c r="GR28" s="17"/>
      <c r="GS28" s="17"/>
      <c r="GT28" s="17"/>
      <c r="GU28" s="17"/>
      <c r="GV28" s="17"/>
      <c r="GW28" s="17"/>
      <c r="GX28" s="17"/>
      <c r="GY28" s="17"/>
      <c r="GZ28" s="17"/>
      <c r="HA28" s="17"/>
      <c r="HB28" s="17"/>
      <c r="HC28" s="17"/>
      <c r="HD28" s="17"/>
      <c r="HE28" s="17"/>
      <c r="HF28" s="17"/>
      <c r="HG28" s="17"/>
      <c r="HH28" s="17"/>
      <c r="HI28" s="17"/>
      <c r="HJ28" s="17"/>
      <c r="HK28" s="17"/>
      <c r="HL28" s="17"/>
      <c r="HM28" s="17"/>
      <c r="HN28" s="17"/>
      <c r="HO28" s="17"/>
      <c r="HP28" s="17"/>
      <c r="HQ28" s="17"/>
      <c r="HR28" s="17"/>
      <c r="HS28" s="17"/>
      <c r="HT28" s="17"/>
      <c r="HU28" s="17"/>
      <c r="HV28" s="17"/>
      <c r="HW28" s="17"/>
      <c r="HX28" s="17"/>
      <c r="HY28" s="17"/>
      <c r="HZ28" s="17"/>
      <c r="IA28" s="17"/>
      <c r="IB28" s="17"/>
      <c r="IC28" s="17"/>
      <c r="ID28" s="17"/>
      <c r="IE28" s="17"/>
      <c r="IF28" s="17"/>
      <c r="IG28" s="17"/>
      <c r="IH28" s="17"/>
      <c r="II28" s="17"/>
      <c r="IJ28" s="17"/>
      <c r="IK28" s="17"/>
      <c r="IL28" s="17"/>
      <c r="IM28" s="17"/>
      <c r="IN28" s="17"/>
      <c r="IO28" s="17"/>
      <c r="IP28" s="17"/>
      <c r="IQ28" s="17"/>
      <c r="IR28" s="17"/>
      <c r="IS28" s="17"/>
      <c r="IT28" s="17"/>
      <c r="IU28" s="17"/>
    </row>
    <row r="29" spans="1:255" s="114" customFormat="1" ht="20.25">
      <c r="A29" s="115" t="s">
        <v>813</v>
      </c>
      <c r="B29" s="791" t="s">
        <v>814</v>
      </c>
      <c r="C29" s="792"/>
      <c r="D29" s="791" t="s">
        <v>815</v>
      </c>
      <c r="E29" s="792"/>
      <c r="F29" s="791" t="s">
        <v>816</v>
      </c>
      <c r="G29" s="792"/>
      <c r="H29" s="791" t="s">
        <v>817</v>
      </c>
      <c r="I29" s="790"/>
      <c r="J29" s="789" t="s">
        <v>818</v>
      </c>
      <c r="K29" s="790"/>
      <c r="L29" s="789" t="s">
        <v>819</v>
      </c>
      <c r="M29" s="790"/>
      <c r="N29" s="789" t="s">
        <v>820</v>
      </c>
      <c r="O29" s="790"/>
    </row>
    <row r="30" spans="1:255" s="114" customFormat="1">
      <c r="A30" s="112" t="s">
        <v>821</v>
      </c>
      <c r="B30" s="113" t="s">
        <v>822</v>
      </c>
      <c r="C30" s="113"/>
      <c r="D30" s="113" t="s">
        <v>822</v>
      </c>
      <c r="E30" s="113"/>
      <c r="F30" s="113" t="s">
        <v>822</v>
      </c>
      <c r="G30" s="113"/>
      <c r="H30" s="113" t="s">
        <v>822</v>
      </c>
      <c r="I30" s="119"/>
      <c r="J30" s="119" t="s">
        <v>822</v>
      </c>
      <c r="K30" s="119"/>
      <c r="L30" s="119" t="s">
        <v>822</v>
      </c>
      <c r="M30" s="119"/>
      <c r="N30" s="119" t="s">
        <v>822</v>
      </c>
      <c r="O30" s="119"/>
    </row>
    <row r="31" spans="1:255" s="114" customFormat="1">
      <c r="A31" s="115" t="s">
        <v>823</v>
      </c>
      <c r="B31" s="116" t="s">
        <v>824</v>
      </c>
      <c r="C31" s="116" t="s">
        <v>825</v>
      </c>
      <c r="D31" s="116" t="s">
        <v>824</v>
      </c>
      <c r="E31" s="116" t="s">
        <v>825</v>
      </c>
      <c r="F31" s="116" t="s">
        <v>824</v>
      </c>
      <c r="G31" s="116" t="s">
        <v>825</v>
      </c>
      <c r="H31" s="116" t="s">
        <v>824</v>
      </c>
      <c r="I31" s="120" t="s">
        <v>825</v>
      </c>
      <c r="J31" s="120" t="s">
        <v>824</v>
      </c>
      <c r="K31" s="120" t="s">
        <v>825</v>
      </c>
      <c r="L31" s="120" t="s">
        <v>824</v>
      </c>
      <c r="M31" s="120" t="s">
        <v>825</v>
      </c>
      <c r="N31" s="120" t="s">
        <v>824</v>
      </c>
      <c r="O31" s="120" t="s">
        <v>825</v>
      </c>
    </row>
    <row r="32" spans="1:255">
      <c r="A32" s="15" t="s">
        <v>57</v>
      </c>
      <c r="B32" s="12"/>
      <c r="C32" s="99"/>
      <c r="D32" s="12"/>
      <c r="E32" s="99"/>
      <c r="F32" s="12"/>
      <c r="G32" s="99"/>
      <c r="H32" s="12"/>
      <c r="J32" s="84"/>
      <c r="L32" s="84"/>
      <c r="N32" s="84"/>
    </row>
    <row r="33" spans="1:15">
      <c r="A33" s="12" t="s">
        <v>830</v>
      </c>
      <c r="B33" s="21">
        <v>0</v>
      </c>
      <c r="C33" s="26">
        <v>0</v>
      </c>
      <c r="D33" s="21" t="s">
        <v>47</v>
      </c>
      <c r="E33" s="26" t="s">
        <v>47</v>
      </c>
      <c r="F33" s="21" t="s">
        <v>47</v>
      </c>
      <c r="G33" s="26" t="s">
        <v>47</v>
      </c>
      <c r="H33" s="21" t="s">
        <v>47</v>
      </c>
      <c r="I33" s="95" t="s">
        <v>47</v>
      </c>
      <c r="J33" s="96" t="s">
        <v>47</v>
      </c>
      <c r="K33" s="95" t="s">
        <v>47</v>
      </c>
      <c r="L33" s="96" t="s">
        <v>47</v>
      </c>
      <c r="M33" s="95" t="s">
        <v>47</v>
      </c>
      <c r="N33" s="96" t="s">
        <v>47</v>
      </c>
      <c r="O33" s="95" t="s">
        <v>47</v>
      </c>
    </row>
    <row r="34" spans="1:15">
      <c r="A34" s="12" t="s">
        <v>831</v>
      </c>
      <c r="B34" s="21">
        <v>0</v>
      </c>
      <c r="C34" s="26">
        <v>0</v>
      </c>
      <c r="D34" s="21">
        <v>0</v>
      </c>
      <c r="E34" s="26">
        <v>0</v>
      </c>
      <c r="F34" s="21">
        <v>0</v>
      </c>
      <c r="G34" s="26">
        <v>0</v>
      </c>
      <c r="H34" s="21">
        <v>0</v>
      </c>
      <c r="I34" s="95">
        <v>0</v>
      </c>
      <c r="J34" s="96">
        <v>0</v>
      </c>
      <c r="K34" s="95">
        <v>0</v>
      </c>
      <c r="L34" s="96">
        <v>0</v>
      </c>
      <c r="M34" s="95">
        <v>0</v>
      </c>
      <c r="N34" s="96">
        <v>0</v>
      </c>
      <c r="O34" s="95">
        <v>0</v>
      </c>
    </row>
    <row r="35" spans="1:15">
      <c r="A35" s="12" t="s">
        <v>832</v>
      </c>
      <c r="B35" s="21">
        <v>4707</v>
      </c>
      <c r="C35" s="26">
        <v>0.99073800000000001</v>
      </c>
      <c r="D35" s="21">
        <v>4140</v>
      </c>
      <c r="E35" s="26">
        <v>0.55862900000000004</v>
      </c>
      <c r="F35" s="21">
        <v>4904</v>
      </c>
      <c r="G35" s="26">
        <v>0.59485600000000005</v>
      </c>
      <c r="H35" s="21">
        <v>3296</v>
      </c>
      <c r="I35" s="95">
        <v>0.490257</v>
      </c>
      <c r="J35" s="96">
        <v>3007</v>
      </c>
      <c r="K35" s="95">
        <v>0.47775600000000001</v>
      </c>
      <c r="L35" s="96">
        <v>3007</v>
      </c>
      <c r="M35" s="95">
        <v>0.47414000000000001</v>
      </c>
      <c r="N35" s="96">
        <v>2785</v>
      </c>
      <c r="O35" s="95">
        <v>0.45858700000000002</v>
      </c>
    </row>
    <row r="36" spans="1:15">
      <c r="A36" s="12" t="s">
        <v>833</v>
      </c>
      <c r="B36" s="21">
        <v>207</v>
      </c>
      <c r="C36" s="26">
        <v>4.3568999999999997E-2</v>
      </c>
      <c r="D36" s="21">
        <v>3251</v>
      </c>
      <c r="E36" s="26">
        <v>0.43867200000000001</v>
      </c>
      <c r="F36" s="21">
        <v>3385</v>
      </c>
      <c r="G36" s="26">
        <v>0.41060099999999999</v>
      </c>
      <c r="H36" s="21">
        <v>3428</v>
      </c>
      <c r="I36" s="95">
        <v>0.50989099999999998</v>
      </c>
      <c r="J36" s="96">
        <v>3298</v>
      </c>
      <c r="K36" s="95">
        <v>0.52399099999999998</v>
      </c>
      <c r="L36" s="96">
        <v>3344</v>
      </c>
      <c r="M36" s="95">
        <v>0.52727800000000002</v>
      </c>
      <c r="N36" s="96">
        <v>3294</v>
      </c>
      <c r="O36" s="95">
        <v>0.54239999999999999</v>
      </c>
    </row>
    <row r="37" spans="1:15">
      <c r="A37" s="12" t="s">
        <v>834</v>
      </c>
      <c r="B37" s="21">
        <v>6</v>
      </c>
      <c r="C37" s="26">
        <v>1.2620000000000001E-3</v>
      </c>
      <c r="D37" s="21">
        <v>6</v>
      </c>
      <c r="E37" s="26">
        <v>8.0900000000000004E-4</v>
      </c>
      <c r="F37" s="21">
        <v>2</v>
      </c>
      <c r="G37" s="26">
        <v>2.42E-4</v>
      </c>
      <c r="H37" s="21" t="s">
        <v>47</v>
      </c>
      <c r="I37" s="95" t="s">
        <v>47</v>
      </c>
      <c r="J37" s="96" t="s">
        <v>47</v>
      </c>
      <c r="K37" s="95" t="s">
        <v>47</v>
      </c>
      <c r="L37" s="96" t="s">
        <v>47</v>
      </c>
      <c r="M37" s="95" t="s">
        <v>47</v>
      </c>
      <c r="N37" s="96" t="s">
        <v>47</v>
      </c>
      <c r="O37" s="95" t="s">
        <v>47</v>
      </c>
    </row>
    <row r="38" spans="1:15">
      <c r="A38" s="15" t="s">
        <v>835</v>
      </c>
      <c r="B38" s="20">
        <v>4920</v>
      </c>
      <c r="C38" s="105">
        <v>1.035571</v>
      </c>
      <c r="D38" s="20">
        <v>7397</v>
      </c>
      <c r="E38" s="105">
        <v>0.99811000000000005</v>
      </c>
      <c r="F38" s="20">
        <v>8291</v>
      </c>
      <c r="G38" s="105">
        <v>1.005701</v>
      </c>
      <c r="H38" s="20">
        <v>6724</v>
      </c>
      <c r="I38" s="103">
        <v>1.000148</v>
      </c>
      <c r="J38" s="104">
        <v>6305</v>
      </c>
      <c r="K38" s="103">
        <v>1.0017469999999999</v>
      </c>
      <c r="L38" s="104">
        <v>6351</v>
      </c>
      <c r="M38" s="103">
        <v>1.0014190000000001</v>
      </c>
      <c r="N38" s="104">
        <v>6079</v>
      </c>
      <c r="O38" s="103">
        <v>1.0009870000000001</v>
      </c>
    </row>
    <row r="39" spans="1:15">
      <c r="A39" s="12"/>
      <c r="B39" s="12"/>
      <c r="C39" s="99"/>
      <c r="D39" s="12"/>
      <c r="E39" s="99"/>
      <c r="F39" s="12"/>
      <c r="G39" s="99"/>
      <c r="H39" s="12"/>
      <c r="J39" s="84"/>
      <c r="L39" s="84"/>
      <c r="N39" s="84"/>
    </row>
    <row r="40" spans="1:15">
      <c r="A40" s="12" t="s">
        <v>836</v>
      </c>
      <c r="B40" s="21">
        <v>-9</v>
      </c>
      <c r="C40" s="26">
        <v>-1.8940000000000001E-3</v>
      </c>
      <c r="D40" s="21" t="s">
        <v>47</v>
      </c>
      <c r="E40" s="26" t="s">
        <v>47</v>
      </c>
      <c r="F40" s="21" t="s">
        <v>47</v>
      </c>
      <c r="G40" s="26" t="s">
        <v>47</v>
      </c>
      <c r="H40" s="21" t="s">
        <v>47</v>
      </c>
      <c r="I40" s="95" t="s">
        <v>47</v>
      </c>
      <c r="J40" s="96" t="s">
        <v>47</v>
      </c>
      <c r="K40" s="95" t="s">
        <v>47</v>
      </c>
      <c r="L40" s="96" t="s">
        <v>47</v>
      </c>
      <c r="M40" s="95" t="s">
        <v>47</v>
      </c>
      <c r="N40" s="96" t="s">
        <v>47</v>
      </c>
      <c r="O40" s="95" t="s">
        <v>47</v>
      </c>
    </row>
    <row r="41" spans="1:15">
      <c r="A41" s="12" t="s">
        <v>837</v>
      </c>
      <c r="B41" s="21">
        <v>39</v>
      </c>
      <c r="C41" s="26">
        <v>8.208E-3</v>
      </c>
      <c r="D41" s="21">
        <v>34</v>
      </c>
      <c r="E41" s="26">
        <v>4.5869999999999999E-3</v>
      </c>
      <c r="F41" s="21">
        <v>30</v>
      </c>
      <c r="G41" s="26">
        <v>3.6389999999999999E-3</v>
      </c>
      <c r="H41" s="21">
        <v>21</v>
      </c>
      <c r="I41" s="95">
        <v>3.1229999999999999E-3</v>
      </c>
      <c r="J41" s="96">
        <v>17</v>
      </c>
      <c r="K41" s="95">
        <v>2.7000000000000001E-3</v>
      </c>
      <c r="L41" s="96">
        <v>16</v>
      </c>
      <c r="M41" s="95">
        <v>2.5219999999999999E-3</v>
      </c>
      <c r="N41" s="96">
        <v>14</v>
      </c>
      <c r="O41" s="95">
        <v>2.3050000000000002E-3</v>
      </c>
    </row>
    <row r="42" spans="1:15">
      <c r="A42" s="12" t="s">
        <v>838</v>
      </c>
      <c r="B42" s="21">
        <v>-199</v>
      </c>
      <c r="C42" s="26">
        <v>-4.1884999999999999E-2</v>
      </c>
      <c r="D42" s="21">
        <v>-20</v>
      </c>
      <c r="E42" s="26">
        <v>-2.6979999999999999E-3</v>
      </c>
      <c r="F42" s="21">
        <v>-77</v>
      </c>
      <c r="G42" s="26">
        <v>-9.3399999999999993E-3</v>
      </c>
      <c r="H42" s="21">
        <v>-22</v>
      </c>
      <c r="I42" s="95">
        <v>-3.2720000000000002E-3</v>
      </c>
      <c r="J42" s="96">
        <v>-28</v>
      </c>
      <c r="K42" s="95">
        <v>-4.4479999999999997E-3</v>
      </c>
      <c r="L42" s="96">
        <v>-25</v>
      </c>
      <c r="M42" s="95">
        <v>-3.9410000000000001E-3</v>
      </c>
      <c r="N42" s="96">
        <v>-20</v>
      </c>
      <c r="O42" s="95">
        <v>-3.2929999999999999E-3</v>
      </c>
    </row>
    <row r="43" spans="1:15">
      <c r="A43" s="15" t="s">
        <v>839</v>
      </c>
      <c r="B43" s="20">
        <v>4751</v>
      </c>
      <c r="C43" s="105">
        <v>1</v>
      </c>
      <c r="D43" s="20">
        <v>7411</v>
      </c>
      <c r="E43" s="105">
        <v>1</v>
      </c>
      <c r="F43" s="20">
        <v>8244</v>
      </c>
      <c r="G43" s="105">
        <v>1</v>
      </c>
      <c r="H43" s="20">
        <v>6723</v>
      </c>
      <c r="I43" s="103">
        <v>1</v>
      </c>
      <c r="J43" s="104">
        <v>6294</v>
      </c>
      <c r="K43" s="103">
        <v>1</v>
      </c>
      <c r="L43" s="104">
        <v>6342</v>
      </c>
      <c r="M43" s="103">
        <v>1</v>
      </c>
      <c r="N43" s="104">
        <v>6073</v>
      </c>
      <c r="O43" s="103">
        <v>1</v>
      </c>
    </row>
    <row r="44" spans="1:15">
      <c r="A44" s="12"/>
      <c r="B44" s="12"/>
      <c r="C44" s="99"/>
      <c r="D44" s="12"/>
      <c r="E44" s="99"/>
      <c r="F44" s="12"/>
      <c r="G44" s="99"/>
      <c r="H44" s="12"/>
      <c r="J44" s="84"/>
      <c r="L44" s="84"/>
      <c r="N44" s="84"/>
    </row>
    <row r="45" spans="1:15">
      <c r="A45" s="15" t="s">
        <v>840</v>
      </c>
      <c r="B45" s="12"/>
      <c r="C45" s="99"/>
      <c r="D45" s="12"/>
      <c r="E45" s="99"/>
      <c r="F45" s="12"/>
      <c r="G45" s="99"/>
      <c r="H45" s="12"/>
      <c r="J45" s="84"/>
      <c r="L45" s="84"/>
      <c r="N45" s="84"/>
    </row>
    <row r="46" spans="1:15">
      <c r="A46" s="12" t="s">
        <v>841</v>
      </c>
      <c r="B46" s="21">
        <v>1500</v>
      </c>
      <c r="C46" s="26" t="s">
        <v>47</v>
      </c>
      <c r="D46" s="21" t="s">
        <v>47</v>
      </c>
      <c r="E46" s="26" t="s">
        <v>47</v>
      </c>
      <c r="F46" s="21">
        <v>1</v>
      </c>
      <c r="G46" s="26" t="s">
        <v>47</v>
      </c>
      <c r="H46" s="21" t="s">
        <v>47</v>
      </c>
      <c r="I46" s="95" t="s">
        <v>47</v>
      </c>
      <c r="J46" s="96" t="s">
        <v>47</v>
      </c>
      <c r="K46" s="95" t="s">
        <v>47</v>
      </c>
      <c r="L46" s="96" t="s">
        <v>47</v>
      </c>
      <c r="M46" s="95" t="s">
        <v>47</v>
      </c>
      <c r="N46" s="96">
        <v>2460</v>
      </c>
      <c r="O46" s="95" t="s">
        <v>47</v>
      </c>
    </row>
    <row r="47" spans="1:15">
      <c r="A47" s="15" t="s">
        <v>842</v>
      </c>
      <c r="B47" s="20">
        <v>1500</v>
      </c>
      <c r="C47" s="105" t="s">
        <v>47</v>
      </c>
      <c r="D47" s="20" t="s">
        <v>47</v>
      </c>
      <c r="E47" s="105" t="s">
        <v>47</v>
      </c>
      <c r="F47" s="20">
        <v>1</v>
      </c>
      <c r="G47" s="105" t="s">
        <v>47</v>
      </c>
      <c r="H47" s="20" t="s">
        <v>47</v>
      </c>
      <c r="I47" s="103" t="s">
        <v>47</v>
      </c>
      <c r="J47" s="104" t="s">
        <v>47</v>
      </c>
      <c r="K47" s="103" t="s">
        <v>47</v>
      </c>
      <c r="L47" s="104" t="s">
        <v>47</v>
      </c>
      <c r="M47" s="103" t="s">
        <v>47</v>
      </c>
      <c r="N47" s="104">
        <v>2460</v>
      </c>
      <c r="O47" s="103" t="s">
        <v>47</v>
      </c>
    </row>
    <row r="48" spans="1:15">
      <c r="A48" s="12"/>
      <c r="B48" s="12"/>
      <c r="C48" s="99"/>
      <c r="D48" s="12"/>
      <c r="E48" s="99"/>
      <c r="F48" s="12"/>
      <c r="G48" s="99"/>
      <c r="H48" s="12"/>
      <c r="J48" s="84"/>
      <c r="L48" s="84"/>
      <c r="N48" s="84"/>
    </row>
    <row r="49" spans="1:15">
      <c r="A49" s="15" t="s">
        <v>843</v>
      </c>
      <c r="B49" s="12"/>
      <c r="C49" s="99"/>
      <c r="D49" s="12"/>
      <c r="E49" s="99"/>
      <c r="F49" s="12"/>
      <c r="G49" s="99"/>
      <c r="H49" s="12"/>
      <c r="J49" s="84"/>
      <c r="L49" s="84"/>
      <c r="N49" s="84"/>
    </row>
    <row r="50" spans="1:15">
      <c r="A50" s="12" t="s">
        <v>844</v>
      </c>
      <c r="B50" s="21">
        <v>1162</v>
      </c>
      <c r="C50" s="26" t="s">
        <v>47</v>
      </c>
      <c r="D50" s="21">
        <v>685</v>
      </c>
      <c r="E50" s="26" t="s">
        <v>47</v>
      </c>
      <c r="F50" s="21">
        <v>1679</v>
      </c>
      <c r="G50" s="26" t="s">
        <v>47</v>
      </c>
      <c r="H50" s="21">
        <v>1712</v>
      </c>
      <c r="I50" s="95" t="s">
        <v>47</v>
      </c>
      <c r="J50" s="96">
        <v>862</v>
      </c>
      <c r="K50" s="95" t="s">
        <v>47</v>
      </c>
      <c r="L50" s="96">
        <v>1034</v>
      </c>
      <c r="M50" s="95" t="s">
        <v>47</v>
      </c>
      <c r="N50" s="96">
        <v>1306</v>
      </c>
      <c r="O50" s="95" t="s">
        <v>47</v>
      </c>
    </row>
    <row r="51" spans="1:15">
      <c r="A51" s="12" t="s">
        <v>845</v>
      </c>
      <c r="B51" s="21">
        <v>3589</v>
      </c>
      <c r="C51" s="26" t="s">
        <v>47</v>
      </c>
      <c r="D51" s="21">
        <v>6726</v>
      </c>
      <c r="E51" s="26" t="s">
        <v>47</v>
      </c>
      <c r="F51" s="21">
        <v>6565</v>
      </c>
      <c r="G51" s="26" t="s">
        <v>47</v>
      </c>
      <c r="H51" s="21">
        <v>5011</v>
      </c>
      <c r="I51" s="95" t="s">
        <v>47</v>
      </c>
      <c r="J51" s="96">
        <v>5432</v>
      </c>
      <c r="K51" s="95" t="s">
        <v>47</v>
      </c>
      <c r="L51" s="96">
        <v>5308</v>
      </c>
      <c r="M51" s="95" t="s">
        <v>47</v>
      </c>
      <c r="N51" s="96">
        <v>4767</v>
      </c>
      <c r="O51" s="95" t="s">
        <v>47</v>
      </c>
    </row>
    <row r="52" spans="1:15">
      <c r="A52" s="12" t="s">
        <v>846</v>
      </c>
      <c r="B52" s="21">
        <v>4920</v>
      </c>
      <c r="C52" s="26">
        <v>1.035571</v>
      </c>
      <c r="D52" s="21">
        <v>7397</v>
      </c>
      <c r="E52" s="26">
        <v>0.99811000000000005</v>
      </c>
      <c r="F52" s="21">
        <v>8291</v>
      </c>
      <c r="G52" s="26">
        <v>1.005701</v>
      </c>
      <c r="H52" s="21">
        <v>6724</v>
      </c>
      <c r="I52" s="95">
        <v>1.000148</v>
      </c>
      <c r="J52" s="96">
        <v>6305</v>
      </c>
      <c r="K52" s="95">
        <v>1.0017469999999999</v>
      </c>
      <c r="L52" s="96">
        <v>6351</v>
      </c>
      <c r="M52" s="95">
        <v>1.0014190000000001</v>
      </c>
      <c r="N52" s="96">
        <v>6079</v>
      </c>
      <c r="O52" s="95">
        <v>1.0009870000000001</v>
      </c>
    </row>
    <row r="53" spans="1:15">
      <c r="A53" s="12" t="s">
        <v>847</v>
      </c>
      <c r="B53" s="21" t="s">
        <v>47</v>
      </c>
      <c r="C53" s="26" t="s">
        <v>47</v>
      </c>
      <c r="D53" s="21" t="s">
        <v>47</v>
      </c>
      <c r="E53" s="26" t="s">
        <v>47</v>
      </c>
      <c r="F53" s="21" t="s">
        <v>47</v>
      </c>
      <c r="G53" s="26" t="s">
        <v>47</v>
      </c>
      <c r="H53" s="21" t="s">
        <v>47</v>
      </c>
      <c r="I53" s="95" t="s">
        <v>47</v>
      </c>
      <c r="J53" s="96" t="s">
        <v>47</v>
      </c>
      <c r="K53" s="95" t="s">
        <v>47</v>
      </c>
      <c r="L53" s="96" t="s">
        <v>47</v>
      </c>
      <c r="M53" s="95" t="s">
        <v>47</v>
      </c>
      <c r="N53" s="96">
        <v>6</v>
      </c>
      <c r="O53" s="95">
        <v>9.8700000000000003E-4</v>
      </c>
    </row>
    <row r="54" spans="1:15">
      <c r="A54" s="12" t="s">
        <v>848</v>
      </c>
      <c r="B54" s="21">
        <v>43</v>
      </c>
      <c r="C54" s="26">
        <v>9.0500000000000008E-3</v>
      </c>
      <c r="D54" s="21">
        <v>872</v>
      </c>
      <c r="E54" s="26">
        <v>0.117662</v>
      </c>
      <c r="F54" s="21">
        <v>652</v>
      </c>
      <c r="G54" s="26">
        <v>7.9087000000000005E-2</v>
      </c>
      <c r="H54" s="21">
        <v>330</v>
      </c>
      <c r="I54" s="95">
        <v>4.9084999999999997E-2</v>
      </c>
      <c r="J54" s="96">
        <v>335</v>
      </c>
      <c r="K54" s="95">
        <v>5.3225000000000001E-2</v>
      </c>
      <c r="L54" s="96">
        <v>358</v>
      </c>
      <c r="M54" s="95">
        <v>5.6448999999999999E-2</v>
      </c>
      <c r="N54" s="96">
        <v>367</v>
      </c>
      <c r="O54" s="95">
        <v>6.0430999999999999E-2</v>
      </c>
    </row>
    <row r="55" spans="1:15">
      <c r="A55" s="12" t="s">
        <v>849</v>
      </c>
      <c r="B55" s="21">
        <v>4708</v>
      </c>
      <c r="C55" s="26">
        <v>0.99094899999999997</v>
      </c>
      <c r="D55" s="21">
        <v>6539</v>
      </c>
      <c r="E55" s="26">
        <v>0.88233700000000004</v>
      </c>
      <c r="F55" s="21">
        <v>7592</v>
      </c>
      <c r="G55" s="26">
        <v>0.92091199999999995</v>
      </c>
      <c r="H55" s="21">
        <v>6393</v>
      </c>
      <c r="I55" s="95">
        <v>0.95091400000000004</v>
      </c>
      <c r="J55" s="96">
        <v>5959</v>
      </c>
      <c r="K55" s="95">
        <v>0.946774</v>
      </c>
      <c r="L55" s="96">
        <v>5984</v>
      </c>
      <c r="M55" s="95">
        <v>0.94355</v>
      </c>
      <c r="N55" s="96">
        <v>5700</v>
      </c>
      <c r="O55" s="95">
        <v>0.93857999999999997</v>
      </c>
    </row>
    <row r="56" spans="1:15">
      <c r="A56" s="12" t="s">
        <v>850</v>
      </c>
      <c r="B56" s="21">
        <v>0</v>
      </c>
      <c r="C56" s="26">
        <v>0</v>
      </c>
      <c r="D56" s="21">
        <v>0</v>
      </c>
      <c r="E56" s="26">
        <v>0</v>
      </c>
      <c r="F56" s="21">
        <v>0</v>
      </c>
      <c r="G56" s="26">
        <v>0</v>
      </c>
      <c r="H56" s="21">
        <v>0</v>
      </c>
      <c r="I56" s="95">
        <v>0</v>
      </c>
      <c r="J56" s="96">
        <v>0</v>
      </c>
      <c r="K56" s="95">
        <v>0</v>
      </c>
      <c r="L56" s="96">
        <v>0</v>
      </c>
      <c r="M56" s="95">
        <v>0</v>
      </c>
      <c r="N56" s="96">
        <v>0</v>
      </c>
      <c r="O56" s="95">
        <v>0</v>
      </c>
    </row>
    <row r="57" spans="1:15">
      <c r="A57" s="12" t="s">
        <v>851</v>
      </c>
      <c r="B57" s="21">
        <v>207</v>
      </c>
      <c r="C57" s="26">
        <v>4.3568999999999997E-2</v>
      </c>
      <c r="D57" s="21">
        <v>3257</v>
      </c>
      <c r="E57" s="26">
        <v>0.43948100000000001</v>
      </c>
      <c r="F57" s="21">
        <v>4687</v>
      </c>
      <c r="G57" s="26">
        <v>0.56853399999999998</v>
      </c>
      <c r="H57" s="21">
        <v>3428</v>
      </c>
      <c r="I57" s="95">
        <v>0.50989099999999998</v>
      </c>
      <c r="J57" s="96">
        <v>3298</v>
      </c>
      <c r="K57" s="95">
        <v>0.52399099999999998</v>
      </c>
      <c r="L57" s="96">
        <v>3344</v>
      </c>
      <c r="M57" s="95">
        <v>0.52727800000000002</v>
      </c>
      <c r="N57" s="96">
        <v>3294</v>
      </c>
      <c r="O57" s="95">
        <v>0.54239999999999999</v>
      </c>
    </row>
    <row r="58" spans="1:15">
      <c r="A58" s="12" t="s">
        <v>852</v>
      </c>
      <c r="B58" s="21" t="s">
        <v>47</v>
      </c>
      <c r="C58" s="26" t="s">
        <v>47</v>
      </c>
      <c r="D58" s="21" t="s">
        <v>47</v>
      </c>
      <c r="E58" s="26" t="s">
        <v>47</v>
      </c>
      <c r="F58" s="21" t="s">
        <v>47</v>
      </c>
      <c r="G58" s="26" t="s">
        <v>47</v>
      </c>
      <c r="H58" s="21">
        <v>0</v>
      </c>
      <c r="I58" s="95">
        <v>0</v>
      </c>
      <c r="J58" s="96">
        <v>0</v>
      </c>
      <c r="K58" s="95">
        <v>0</v>
      </c>
      <c r="L58" s="96">
        <v>0</v>
      </c>
      <c r="M58" s="95">
        <v>0</v>
      </c>
      <c r="N58" s="96">
        <v>0</v>
      </c>
      <c r="O58" s="95">
        <v>0</v>
      </c>
    </row>
    <row r="59" spans="1:15">
      <c r="A59" s="12" t="s">
        <v>853</v>
      </c>
      <c r="B59" s="21" t="s">
        <v>47</v>
      </c>
      <c r="C59" s="26" t="s">
        <v>47</v>
      </c>
      <c r="D59" s="21" t="s">
        <v>47</v>
      </c>
      <c r="E59" s="26" t="s">
        <v>47</v>
      </c>
      <c r="F59" s="21">
        <v>1300</v>
      </c>
      <c r="G59" s="26">
        <v>0.15769</v>
      </c>
      <c r="H59" s="21" t="s">
        <v>47</v>
      </c>
      <c r="I59" s="95" t="s">
        <v>47</v>
      </c>
      <c r="J59" s="96" t="s">
        <v>47</v>
      </c>
      <c r="K59" s="95" t="s">
        <v>47</v>
      </c>
      <c r="L59" s="96" t="s">
        <v>47</v>
      </c>
      <c r="M59" s="95" t="s">
        <v>47</v>
      </c>
      <c r="N59" s="96" t="s">
        <v>47</v>
      </c>
      <c r="O59" s="95" t="s">
        <v>47</v>
      </c>
    </row>
    <row r="60" spans="1:15">
      <c r="A60" s="12" t="s">
        <v>854</v>
      </c>
      <c r="B60" s="21">
        <v>207</v>
      </c>
      <c r="C60" s="26">
        <v>4.3568999999999997E-2</v>
      </c>
      <c r="D60" s="21">
        <v>3257</v>
      </c>
      <c r="E60" s="26">
        <v>0.43948100000000001</v>
      </c>
      <c r="F60" s="21">
        <v>4687</v>
      </c>
      <c r="G60" s="26">
        <v>0.56853399999999998</v>
      </c>
      <c r="H60" s="21">
        <v>3428</v>
      </c>
      <c r="I60" s="95">
        <v>0.50989099999999998</v>
      </c>
      <c r="J60" s="96">
        <v>3298</v>
      </c>
      <c r="K60" s="95">
        <v>0.52399099999999998</v>
      </c>
      <c r="L60" s="96">
        <v>3344</v>
      </c>
      <c r="M60" s="95">
        <v>0.52727800000000002</v>
      </c>
      <c r="N60" s="96">
        <v>3294</v>
      </c>
      <c r="O60" s="95">
        <v>0.54239999999999999</v>
      </c>
    </row>
    <row r="61" spans="1:15">
      <c r="A61" s="12" t="s">
        <v>855</v>
      </c>
      <c r="B61" s="21">
        <v>4713</v>
      </c>
      <c r="C61" s="26">
        <v>0.99200100000000002</v>
      </c>
      <c r="D61" s="21">
        <v>4140</v>
      </c>
      <c r="E61" s="26">
        <v>0.55862900000000004</v>
      </c>
      <c r="F61" s="21">
        <v>3604</v>
      </c>
      <c r="G61" s="26">
        <v>0.437166</v>
      </c>
      <c r="H61" s="21">
        <v>3296</v>
      </c>
      <c r="I61" s="95">
        <v>0.490257</v>
      </c>
      <c r="J61" s="96">
        <v>3007</v>
      </c>
      <c r="K61" s="95">
        <v>0.47775600000000001</v>
      </c>
      <c r="L61" s="96">
        <v>3007</v>
      </c>
      <c r="M61" s="95">
        <v>0.47414000000000001</v>
      </c>
      <c r="N61" s="96">
        <v>2785</v>
      </c>
      <c r="O61" s="95">
        <v>0.45858700000000002</v>
      </c>
    </row>
    <row r="62" spans="1:15">
      <c r="A62" s="12" t="s">
        <v>856</v>
      </c>
      <c r="B62" s="21">
        <v>4707</v>
      </c>
      <c r="C62" s="26">
        <v>0.99073800000000001</v>
      </c>
      <c r="D62" s="21">
        <v>4140</v>
      </c>
      <c r="E62" s="26">
        <v>0.55862900000000004</v>
      </c>
      <c r="F62" s="21">
        <v>3604</v>
      </c>
      <c r="G62" s="26">
        <v>0.437166</v>
      </c>
      <c r="H62" s="21">
        <v>3296</v>
      </c>
      <c r="I62" s="95">
        <v>0.490257</v>
      </c>
      <c r="J62" s="96">
        <v>3007</v>
      </c>
      <c r="K62" s="95">
        <v>0.47775600000000001</v>
      </c>
      <c r="L62" s="96">
        <v>3007</v>
      </c>
      <c r="M62" s="95">
        <v>0.47414000000000001</v>
      </c>
      <c r="N62" s="96">
        <v>2785</v>
      </c>
      <c r="O62" s="95">
        <v>0.45858700000000002</v>
      </c>
    </row>
    <row r="63" spans="1:15">
      <c r="A63" s="12" t="s">
        <v>857</v>
      </c>
      <c r="B63" s="21">
        <v>4734</v>
      </c>
      <c r="C63" s="26">
        <v>0.996421</v>
      </c>
      <c r="D63" s="21">
        <v>4140</v>
      </c>
      <c r="E63" s="26">
        <v>0.55862900000000004</v>
      </c>
      <c r="F63" s="21">
        <v>4904</v>
      </c>
      <c r="G63" s="26">
        <v>0.59485600000000005</v>
      </c>
      <c r="H63" s="21">
        <v>3296</v>
      </c>
      <c r="I63" s="95">
        <v>0.490257</v>
      </c>
      <c r="J63" s="96">
        <v>3007</v>
      </c>
      <c r="K63" s="95">
        <v>0.47775600000000001</v>
      </c>
      <c r="L63" s="96">
        <v>3007</v>
      </c>
      <c r="M63" s="95">
        <v>0.47414000000000001</v>
      </c>
      <c r="N63" s="96">
        <v>2785</v>
      </c>
      <c r="O63" s="95">
        <v>0.45858700000000002</v>
      </c>
    </row>
    <row r="64" spans="1:15">
      <c r="A64" s="12" t="s">
        <v>858</v>
      </c>
      <c r="B64" s="21" t="s">
        <v>47</v>
      </c>
      <c r="C64" s="26" t="s">
        <v>47</v>
      </c>
      <c r="D64" s="21" t="s">
        <v>47</v>
      </c>
      <c r="E64" s="26" t="s">
        <v>47</v>
      </c>
      <c r="F64" s="21" t="s">
        <v>47</v>
      </c>
      <c r="G64" s="26" t="s">
        <v>47</v>
      </c>
      <c r="H64" s="21">
        <v>0</v>
      </c>
      <c r="I64" s="95">
        <v>0</v>
      </c>
      <c r="J64" s="96">
        <v>0</v>
      </c>
      <c r="K64" s="95">
        <v>0</v>
      </c>
      <c r="L64" s="96">
        <v>0</v>
      </c>
      <c r="M64" s="95">
        <v>0</v>
      </c>
      <c r="N64" s="96">
        <v>0</v>
      </c>
      <c r="O64" s="95">
        <v>0</v>
      </c>
    </row>
    <row r="65" spans="1:15">
      <c r="A65" s="12"/>
      <c r="B65" s="12"/>
      <c r="C65" s="99"/>
      <c r="D65" s="12"/>
      <c r="E65" s="99"/>
      <c r="F65" s="12"/>
      <c r="G65" s="99"/>
      <c r="H65" s="12"/>
      <c r="J65" s="84"/>
      <c r="L65" s="84"/>
      <c r="N65" s="84"/>
    </row>
    <row r="66" spans="1:15">
      <c r="A66" s="15" t="s">
        <v>859</v>
      </c>
      <c r="B66" s="12"/>
      <c r="C66" s="99"/>
      <c r="D66" s="12"/>
      <c r="E66" s="99"/>
      <c r="F66" s="12"/>
      <c r="G66" s="99"/>
      <c r="H66" s="12"/>
      <c r="J66" s="84"/>
      <c r="L66" s="84"/>
      <c r="N66" s="84"/>
    </row>
    <row r="67" spans="1:15">
      <c r="A67" s="12" t="s">
        <v>860</v>
      </c>
      <c r="B67" s="14">
        <v>1.6328480000000001</v>
      </c>
      <c r="C67" s="26" t="s">
        <v>47</v>
      </c>
      <c r="D67" s="14">
        <v>2.9512939999999999</v>
      </c>
      <c r="E67" s="26" t="s">
        <v>47</v>
      </c>
      <c r="F67" s="14">
        <v>30.393518</v>
      </c>
      <c r="G67" s="26" t="s">
        <v>47</v>
      </c>
      <c r="H67" s="14">
        <v>1.4812289999999999</v>
      </c>
      <c r="I67" s="95" t="s">
        <v>47</v>
      </c>
      <c r="J67" s="102">
        <v>2.0536859999999999</v>
      </c>
      <c r="K67" s="95" t="s">
        <v>47</v>
      </c>
      <c r="L67" s="102">
        <v>2.330114</v>
      </c>
      <c r="M67" s="95" t="s">
        <v>47</v>
      </c>
      <c r="N67" s="102">
        <v>2.5396899999999998</v>
      </c>
      <c r="O67" s="95" t="s">
        <v>47</v>
      </c>
    </row>
    <row r="68" spans="1:15">
      <c r="A68" s="12" t="s">
        <v>861</v>
      </c>
      <c r="B68" s="14">
        <v>2.1615099999999998</v>
      </c>
      <c r="C68" s="26" t="s">
        <v>47</v>
      </c>
      <c r="D68" s="14">
        <v>3.2518639999999999</v>
      </c>
      <c r="E68" s="26" t="s">
        <v>47</v>
      </c>
      <c r="F68" s="14">
        <v>38.166665999999999</v>
      </c>
      <c r="G68" s="26" t="s">
        <v>47</v>
      </c>
      <c r="H68" s="14">
        <v>1.9872890000000001</v>
      </c>
      <c r="I68" s="95" t="s">
        <v>47</v>
      </c>
      <c r="J68" s="102">
        <v>2.3795839999999999</v>
      </c>
      <c r="K68" s="95" t="s">
        <v>47</v>
      </c>
      <c r="L68" s="102">
        <v>2.7840210000000001</v>
      </c>
      <c r="M68" s="95" t="s">
        <v>47</v>
      </c>
      <c r="N68" s="102">
        <v>3.2354820000000002</v>
      </c>
      <c r="O68" s="95" t="s">
        <v>47</v>
      </c>
    </row>
    <row r="69" spans="1:15">
      <c r="A69" s="12" t="s">
        <v>862</v>
      </c>
      <c r="B69" s="14">
        <v>2.2383980000000001</v>
      </c>
      <c r="C69" s="26" t="s">
        <v>47</v>
      </c>
      <c r="D69" s="14">
        <v>3.2457210000000001</v>
      </c>
      <c r="E69" s="26" t="s">
        <v>47</v>
      </c>
      <c r="F69" s="14">
        <v>38.384259</v>
      </c>
      <c r="G69" s="26" t="s">
        <v>47</v>
      </c>
      <c r="H69" s="14">
        <v>1.987584</v>
      </c>
      <c r="I69" s="95" t="s">
        <v>47</v>
      </c>
      <c r="J69" s="102">
        <v>2.3837419999999998</v>
      </c>
      <c r="K69" s="95" t="s">
        <v>47</v>
      </c>
      <c r="L69" s="102">
        <v>2.7879710000000002</v>
      </c>
      <c r="M69" s="95" t="s">
        <v>47</v>
      </c>
      <c r="N69" s="102">
        <v>3.2386780000000002</v>
      </c>
      <c r="O69" s="95" t="s">
        <v>47</v>
      </c>
    </row>
    <row r="70" spans="1:15">
      <c r="A70" s="12" t="s">
        <v>863</v>
      </c>
      <c r="B70" s="14">
        <v>9.4175999999999996E-2</v>
      </c>
      <c r="C70" s="26" t="s">
        <v>47</v>
      </c>
      <c r="D70" s="14">
        <v>1.429135</v>
      </c>
      <c r="E70" s="26" t="s">
        <v>47</v>
      </c>
      <c r="F70" s="14">
        <v>21.699074</v>
      </c>
      <c r="G70" s="26" t="s">
        <v>47</v>
      </c>
      <c r="H70" s="14">
        <v>1.013301</v>
      </c>
      <c r="I70" s="95" t="s">
        <v>47</v>
      </c>
      <c r="J70" s="102">
        <v>1.24688</v>
      </c>
      <c r="K70" s="95" t="s">
        <v>47</v>
      </c>
      <c r="L70" s="102">
        <v>1.467954</v>
      </c>
      <c r="M70" s="95" t="s">
        <v>47</v>
      </c>
      <c r="N70" s="102">
        <v>1.754928</v>
      </c>
      <c r="O70" s="95" t="s">
        <v>47</v>
      </c>
    </row>
    <row r="71" spans="1:15">
      <c r="A71" s="12" t="s">
        <v>864</v>
      </c>
      <c r="B71" s="14">
        <v>2.3290069999999998</v>
      </c>
      <c r="C71" s="26" t="s">
        <v>47</v>
      </c>
      <c r="D71" s="14">
        <v>4.884531</v>
      </c>
      <c r="E71" s="26" t="s">
        <v>47</v>
      </c>
      <c r="F71" s="13" t="s">
        <v>55</v>
      </c>
      <c r="G71" s="26" t="s">
        <v>47</v>
      </c>
      <c r="H71" s="14">
        <v>1.6543410000000001</v>
      </c>
      <c r="I71" s="95" t="s">
        <v>47</v>
      </c>
      <c r="J71" s="102">
        <v>3.0916329999999999</v>
      </c>
      <c r="K71" s="95" t="s">
        <v>47</v>
      </c>
      <c r="L71" s="102">
        <v>3.2228289999999999</v>
      </c>
      <c r="M71" s="95" t="s">
        <v>47</v>
      </c>
      <c r="N71" s="102">
        <v>3.5077259999999999</v>
      </c>
      <c r="O71" s="95" t="s">
        <v>47</v>
      </c>
    </row>
    <row r="72" spans="1:15">
      <c r="A72" s="12" t="s">
        <v>865</v>
      </c>
      <c r="B72" s="14">
        <v>3.083062</v>
      </c>
      <c r="C72" s="26" t="s">
        <v>47</v>
      </c>
      <c r="D72" s="14">
        <v>5.3819889999999999</v>
      </c>
      <c r="E72" s="26" t="s">
        <v>47</v>
      </c>
      <c r="F72" s="13" t="s">
        <v>55</v>
      </c>
      <c r="G72" s="26" t="s">
        <v>47</v>
      </c>
      <c r="H72" s="14">
        <v>2.219544</v>
      </c>
      <c r="I72" s="95" t="s">
        <v>47</v>
      </c>
      <c r="J72" s="102">
        <v>3.5822419999999999</v>
      </c>
      <c r="K72" s="95" t="s">
        <v>47</v>
      </c>
      <c r="L72" s="102">
        <v>3.8506369999999999</v>
      </c>
      <c r="M72" s="95" t="s">
        <v>47</v>
      </c>
      <c r="N72" s="102">
        <v>4.4687270000000003</v>
      </c>
      <c r="O72" s="95" t="s">
        <v>47</v>
      </c>
    </row>
    <row r="73" spans="1:15">
      <c r="A73" s="12" t="s">
        <v>866</v>
      </c>
      <c r="B73" s="14">
        <v>3.1927310000000002</v>
      </c>
      <c r="C73" s="26" t="s">
        <v>47</v>
      </c>
      <c r="D73" s="14">
        <v>5.3718219999999999</v>
      </c>
      <c r="E73" s="26" t="s">
        <v>47</v>
      </c>
      <c r="F73" s="13" t="s">
        <v>55</v>
      </c>
      <c r="G73" s="26" t="s">
        <v>47</v>
      </c>
      <c r="H73" s="14">
        <v>2.2198739999999999</v>
      </c>
      <c r="I73" s="95" t="s">
        <v>47</v>
      </c>
      <c r="J73" s="102">
        <v>3.5885030000000002</v>
      </c>
      <c r="K73" s="95" t="s">
        <v>47</v>
      </c>
      <c r="L73" s="102">
        <v>3.8561019999999999</v>
      </c>
      <c r="M73" s="95" t="s">
        <v>47</v>
      </c>
      <c r="N73" s="102">
        <v>4.4731420000000002</v>
      </c>
      <c r="O73" s="95" t="s">
        <v>47</v>
      </c>
    </row>
    <row r="74" spans="1:15">
      <c r="A74" s="12" t="s">
        <v>867</v>
      </c>
      <c r="B74" s="14">
        <v>0.134328</v>
      </c>
      <c r="C74" s="26" t="s">
        <v>47</v>
      </c>
      <c r="D74" s="14">
        <v>2.3652860000000002</v>
      </c>
      <c r="E74" s="26" t="s">
        <v>47</v>
      </c>
      <c r="F74" s="14" t="s">
        <v>55</v>
      </c>
      <c r="G74" s="26" t="s">
        <v>47</v>
      </c>
      <c r="H74" s="14">
        <v>1.131726</v>
      </c>
      <c r="I74" s="95" t="s">
        <v>47</v>
      </c>
      <c r="J74" s="102">
        <v>1.8770629999999999</v>
      </c>
      <c r="K74" s="95" t="s">
        <v>47</v>
      </c>
      <c r="L74" s="102">
        <v>2.0303580000000001</v>
      </c>
      <c r="M74" s="95" t="s">
        <v>47</v>
      </c>
      <c r="N74" s="102">
        <v>2.4238409999999999</v>
      </c>
      <c r="O74" s="95" t="s">
        <v>47</v>
      </c>
    </row>
    <row r="75" spans="1:15">
      <c r="A75" s="12"/>
      <c r="B75" s="12"/>
      <c r="C75" s="99"/>
      <c r="D75" s="12"/>
      <c r="E75" s="99"/>
      <c r="F75" s="12"/>
      <c r="G75" s="99"/>
      <c r="H75" s="12"/>
      <c r="J75" s="84"/>
      <c r="L75" s="84"/>
      <c r="N75" s="84"/>
    </row>
    <row r="76" spans="1:15">
      <c r="A76" s="15" t="s">
        <v>868</v>
      </c>
      <c r="B76" s="12"/>
      <c r="C76" s="99"/>
      <c r="D76" s="12"/>
      <c r="E76" s="99"/>
      <c r="F76" s="12"/>
      <c r="G76" s="99"/>
      <c r="H76" s="12"/>
      <c r="J76" s="84"/>
      <c r="L76" s="84"/>
      <c r="N76" s="84"/>
    </row>
    <row r="77" spans="1:15">
      <c r="A77" s="12" t="s">
        <v>869</v>
      </c>
      <c r="B77" s="21">
        <v>223</v>
      </c>
      <c r="C77" s="26">
        <v>4.6937486845000001E-2</v>
      </c>
      <c r="D77" s="21">
        <v>539</v>
      </c>
      <c r="E77" s="26">
        <v>7.2729726083000004E-2</v>
      </c>
      <c r="F77" s="21">
        <v>449.66979199999997</v>
      </c>
      <c r="G77" s="26">
        <v>5.4545098495999998E-2</v>
      </c>
      <c r="H77" s="21">
        <v>667</v>
      </c>
      <c r="I77" s="95">
        <v>9.9211661460999995E-2</v>
      </c>
      <c r="J77" s="96">
        <v>2</v>
      </c>
      <c r="K77" s="95">
        <v>3.1776294899999997E-4</v>
      </c>
      <c r="L77" s="96">
        <v>2</v>
      </c>
      <c r="M77" s="95">
        <v>3.1535793100000002E-4</v>
      </c>
      <c r="N77" s="96">
        <v>7.9741470000000003</v>
      </c>
      <c r="O77" s="95">
        <v>1.3130490700000001E-3</v>
      </c>
    </row>
    <row r="78" spans="1:15">
      <c r="A78" s="12" t="s">
        <v>870</v>
      </c>
      <c r="B78" s="21">
        <v>540.74418600000001</v>
      </c>
      <c r="C78" s="26">
        <v>0.11381691980600001</v>
      </c>
      <c r="D78" s="21">
        <v>455.03225800000001</v>
      </c>
      <c r="E78" s="26">
        <v>6.1399576035999999E-2</v>
      </c>
      <c r="F78" s="21">
        <v>843.89262399999996</v>
      </c>
      <c r="G78" s="26">
        <v>0.10236446191199999</v>
      </c>
      <c r="H78" s="21">
        <v>469.125</v>
      </c>
      <c r="I78" s="95">
        <v>6.9779116466000005E-2</v>
      </c>
      <c r="J78" s="96">
        <v>8.120908</v>
      </c>
      <c r="K78" s="95">
        <v>1.2902618369999999E-3</v>
      </c>
      <c r="L78" s="96">
        <v>7.9820419999999999</v>
      </c>
      <c r="M78" s="95">
        <v>1.2586001260000001E-3</v>
      </c>
      <c r="N78" s="96">
        <v>1.95</v>
      </c>
      <c r="O78" s="95">
        <v>3.2109336400000001E-4</v>
      </c>
    </row>
    <row r="79" spans="1:15">
      <c r="A79" s="12" t="s">
        <v>871</v>
      </c>
      <c r="B79" s="21">
        <v>554.74418600000001</v>
      </c>
      <c r="C79" s="26">
        <v>0.116763667859</v>
      </c>
      <c r="D79" s="21">
        <v>2.0322580000000001</v>
      </c>
      <c r="E79" s="26">
        <v>2.7422183199999998E-4</v>
      </c>
      <c r="F79" s="21">
        <v>618.07688800000005</v>
      </c>
      <c r="G79" s="26">
        <v>7.4972936439000007E-2</v>
      </c>
      <c r="H79" s="21">
        <v>8.125</v>
      </c>
      <c r="I79" s="95">
        <v>1.208537855E-3</v>
      </c>
      <c r="J79" s="96">
        <v>2.1428569999999998</v>
      </c>
      <c r="K79" s="95">
        <v>3.4046028000000002E-4</v>
      </c>
      <c r="L79" s="96">
        <v>1.3333330000000001</v>
      </c>
      <c r="M79" s="95">
        <v>2.10238568E-4</v>
      </c>
      <c r="N79" s="96">
        <v>62.687162999999998</v>
      </c>
      <c r="O79" s="95">
        <v>1.0322272847E-2</v>
      </c>
    </row>
    <row r="80" spans="1:15">
      <c r="A80" s="12" t="s">
        <v>872</v>
      </c>
      <c r="B80" s="21">
        <v>1.744186</v>
      </c>
      <c r="C80" s="26">
        <v>3.6711976399999999E-4</v>
      </c>
      <c r="D80" s="21">
        <v>852.03225799999996</v>
      </c>
      <c r="E80" s="26">
        <v>0.114968595061</v>
      </c>
      <c r="F80" s="21">
        <v>1313.3516540000001</v>
      </c>
      <c r="G80" s="26">
        <v>0.159310001698</v>
      </c>
      <c r="H80" s="21">
        <v>2.125</v>
      </c>
      <c r="I80" s="95">
        <v>3.16079131E-4</v>
      </c>
      <c r="J80" s="96">
        <v>72.168844000000007</v>
      </c>
      <c r="K80" s="95">
        <v>1.1466292342000001E-2</v>
      </c>
      <c r="L80" s="96">
        <v>72.120829000000001</v>
      </c>
      <c r="M80" s="95">
        <v>1.1371937717E-2</v>
      </c>
      <c r="N80" s="96">
        <v>176.541652</v>
      </c>
      <c r="O80" s="95">
        <v>2.9069924584000002E-2</v>
      </c>
    </row>
    <row r="81" spans="1:15">
      <c r="A81" s="12" t="s">
        <v>873</v>
      </c>
      <c r="B81" s="21">
        <v>1151.7441859999999</v>
      </c>
      <c r="C81" s="26">
        <v>0.24242142412100001</v>
      </c>
      <c r="D81" s="21">
        <v>624.03225799999996</v>
      </c>
      <c r="E81" s="26">
        <v>8.4203516125000002E-2</v>
      </c>
      <c r="F81" s="21">
        <v>2.035714</v>
      </c>
      <c r="G81" s="26">
        <v>2.469328E-4</v>
      </c>
      <c r="H81" s="21">
        <v>72.416667000000004</v>
      </c>
      <c r="I81" s="95">
        <v>1.0771481035000001E-2</v>
      </c>
      <c r="J81" s="96">
        <v>207.67133799999999</v>
      </c>
      <c r="K81" s="95">
        <v>3.2995128376000001E-2</v>
      </c>
      <c r="L81" s="96">
        <v>207.047113</v>
      </c>
      <c r="M81" s="95">
        <v>3.2646974613999999E-2</v>
      </c>
      <c r="N81" s="96">
        <v>410.52908400000001</v>
      </c>
      <c r="O81" s="95">
        <v>6.7599058784999999E-2</v>
      </c>
    </row>
    <row r="82" spans="1:15">
      <c r="A82" s="12" t="s">
        <v>874</v>
      </c>
      <c r="B82" s="21">
        <v>2471.9767440000001</v>
      </c>
      <c r="C82" s="26">
        <v>0.52030661839600001</v>
      </c>
      <c r="D82" s="21">
        <v>2472.1290319999998</v>
      </c>
      <c r="E82" s="26">
        <v>0.333575635137</v>
      </c>
      <c r="F82" s="21">
        <v>3227.026672</v>
      </c>
      <c r="G82" s="26">
        <v>0.391439431344</v>
      </c>
      <c r="H82" s="21">
        <v>1218.791667</v>
      </c>
      <c r="I82" s="95">
        <v>0.181286875948</v>
      </c>
      <c r="J82" s="96">
        <v>292.10394700000001</v>
      </c>
      <c r="K82" s="95">
        <v>4.6409905782999999E-2</v>
      </c>
      <c r="L82" s="96">
        <v>290.483317</v>
      </c>
      <c r="M82" s="95">
        <v>4.5803108955999997E-2</v>
      </c>
      <c r="N82" s="96">
        <v>659.68204600000001</v>
      </c>
      <c r="O82" s="95">
        <v>0.10862539865</v>
      </c>
    </row>
    <row r="83" spans="1:15">
      <c r="A83" s="12" t="s">
        <v>875</v>
      </c>
      <c r="B83" s="21">
        <v>2447.0232559999999</v>
      </c>
      <c r="C83" s="26">
        <v>0.51505435824000001</v>
      </c>
      <c r="D83" s="21">
        <v>1694.8709679999999</v>
      </c>
      <c r="E83" s="26">
        <v>0.228696662799</v>
      </c>
      <c r="F83" s="21">
        <v>1652.973328</v>
      </c>
      <c r="G83" s="26">
        <v>0.20050622610400001</v>
      </c>
      <c r="H83" s="21">
        <v>2095.208333</v>
      </c>
      <c r="I83" s="95">
        <v>0.31164782582200001</v>
      </c>
      <c r="J83" s="96">
        <v>2720.8960529999999</v>
      </c>
      <c r="K83" s="95">
        <v>0.43229997664399999</v>
      </c>
      <c r="L83" s="96">
        <v>2721.5166840000002</v>
      </c>
      <c r="M83" s="95">
        <v>0.42912593566700002</v>
      </c>
      <c r="N83" s="96">
        <v>2128.3179530000002</v>
      </c>
      <c r="O83" s="95">
        <v>0.35045578017500001</v>
      </c>
    </row>
    <row r="84" spans="1:15">
      <c r="A84" s="12"/>
      <c r="B84" s="12"/>
      <c r="C84" s="99"/>
      <c r="D84" s="12"/>
      <c r="E84" s="99"/>
      <c r="F84" s="12"/>
      <c r="G84" s="99"/>
      <c r="H84" s="12"/>
      <c r="J84" s="84"/>
      <c r="L84" s="84"/>
      <c r="N84" s="84"/>
    </row>
    <row r="85" spans="1:15">
      <c r="A85" s="12" t="s">
        <v>876</v>
      </c>
      <c r="B85" s="21">
        <v>181</v>
      </c>
      <c r="C85" s="26" t="s">
        <v>47</v>
      </c>
      <c r="D85" s="21">
        <v>2</v>
      </c>
      <c r="E85" s="26" t="s">
        <v>47</v>
      </c>
      <c r="F85" s="21">
        <v>2</v>
      </c>
      <c r="G85" s="26" t="s">
        <v>47</v>
      </c>
      <c r="H85" s="21">
        <v>2</v>
      </c>
      <c r="I85" s="95" t="s">
        <v>47</v>
      </c>
      <c r="J85" s="96">
        <v>2</v>
      </c>
      <c r="K85" s="95" t="s">
        <v>47</v>
      </c>
      <c r="L85" s="96">
        <v>2</v>
      </c>
      <c r="M85" s="95" t="s">
        <v>47</v>
      </c>
      <c r="N85" s="96">
        <v>2</v>
      </c>
      <c r="O85" s="95" t="s">
        <v>47</v>
      </c>
    </row>
    <row r="86" spans="1:15">
      <c r="A86" s="12" t="s">
        <v>877</v>
      </c>
      <c r="B86" s="21">
        <v>1.744186</v>
      </c>
      <c r="C86" s="26" t="s">
        <v>47</v>
      </c>
      <c r="D86" s="21">
        <v>2.0322580000000001</v>
      </c>
      <c r="E86" s="26" t="s">
        <v>47</v>
      </c>
      <c r="F86" s="21">
        <v>2.035714</v>
      </c>
      <c r="G86" s="26" t="s">
        <v>47</v>
      </c>
      <c r="H86" s="21">
        <v>2.125</v>
      </c>
      <c r="I86" s="95" t="s">
        <v>47</v>
      </c>
      <c r="J86" s="96">
        <v>2.1428569999999998</v>
      </c>
      <c r="K86" s="95" t="s">
        <v>47</v>
      </c>
      <c r="L86" s="96">
        <v>2</v>
      </c>
      <c r="M86" s="95" t="s">
        <v>47</v>
      </c>
      <c r="N86" s="96">
        <v>1.95</v>
      </c>
      <c r="O86" s="95" t="s">
        <v>47</v>
      </c>
    </row>
    <row r="87" spans="1:15">
      <c r="A87" s="12" t="s">
        <v>878</v>
      </c>
      <c r="B87" s="21">
        <v>1.744186</v>
      </c>
      <c r="C87" s="26" t="s">
        <v>47</v>
      </c>
      <c r="D87" s="21">
        <v>2.0322580000000001</v>
      </c>
      <c r="E87" s="26" t="s">
        <v>47</v>
      </c>
      <c r="F87" s="21">
        <v>2.035714</v>
      </c>
      <c r="G87" s="26" t="s">
        <v>47</v>
      </c>
      <c r="H87" s="21">
        <v>2.125</v>
      </c>
      <c r="I87" s="95" t="s">
        <v>47</v>
      </c>
      <c r="J87" s="96">
        <v>2.1428569999999998</v>
      </c>
      <c r="K87" s="95" t="s">
        <v>47</v>
      </c>
      <c r="L87" s="96">
        <v>1.3333330000000001</v>
      </c>
      <c r="M87" s="95" t="s">
        <v>47</v>
      </c>
      <c r="N87" s="96">
        <v>1.95</v>
      </c>
      <c r="O87" s="95" t="s">
        <v>47</v>
      </c>
    </row>
    <row r="88" spans="1:15">
      <c r="A88" s="12" t="s">
        <v>879</v>
      </c>
      <c r="B88" s="21">
        <v>1.744186</v>
      </c>
      <c r="C88" s="26" t="s">
        <v>47</v>
      </c>
      <c r="D88" s="21">
        <v>2.0322580000000001</v>
      </c>
      <c r="E88" s="26" t="s">
        <v>47</v>
      </c>
      <c r="F88" s="21">
        <v>2.035714</v>
      </c>
      <c r="G88" s="26" t="s">
        <v>47</v>
      </c>
      <c r="H88" s="21">
        <v>2.125</v>
      </c>
      <c r="I88" s="95" t="s">
        <v>47</v>
      </c>
      <c r="J88" s="96">
        <v>1.428571</v>
      </c>
      <c r="K88" s="95" t="s">
        <v>47</v>
      </c>
      <c r="L88" s="96">
        <v>1.3333330000000001</v>
      </c>
      <c r="M88" s="95" t="s">
        <v>47</v>
      </c>
      <c r="N88" s="96">
        <v>1.3</v>
      </c>
      <c r="O88" s="95" t="s">
        <v>47</v>
      </c>
    </row>
    <row r="89" spans="1:15">
      <c r="A89" s="12" t="s">
        <v>880</v>
      </c>
      <c r="B89" s="21">
        <v>1.744186</v>
      </c>
      <c r="C89" s="26" t="s">
        <v>47</v>
      </c>
      <c r="D89" s="21">
        <v>2.0322580000000001</v>
      </c>
      <c r="E89" s="26" t="s">
        <v>47</v>
      </c>
      <c r="F89" s="21">
        <v>2.035714</v>
      </c>
      <c r="G89" s="26" t="s">
        <v>47</v>
      </c>
      <c r="H89" s="21">
        <v>1.4166669999999999</v>
      </c>
      <c r="I89" s="95" t="s">
        <v>47</v>
      </c>
      <c r="J89" s="96">
        <v>1.428571</v>
      </c>
      <c r="K89" s="95" t="s">
        <v>47</v>
      </c>
      <c r="L89" s="96">
        <v>0.66666700000000001</v>
      </c>
      <c r="M89" s="95" t="s">
        <v>47</v>
      </c>
      <c r="N89" s="96">
        <v>1.3</v>
      </c>
      <c r="O89" s="95" t="s">
        <v>47</v>
      </c>
    </row>
    <row r="90" spans="1:15">
      <c r="A90" s="12" t="s">
        <v>881</v>
      </c>
      <c r="B90" s="21">
        <v>187.976744</v>
      </c>
      <c r="C90" s="26" t="s">
        <v>47</v>
      </c>
      <c r="D90" s="21">
        <v>10.129032</v>
      </c>
      <c r="E90" s="26" t="s">
        <v>47</v>
      </c>
      <c r="F90" s="21">
        <v>10.142856</v>
      </c>
      <c r="G90" s="26" t="s">
        <v>47</v>
      </c>
      <c r="H90" s="21">
        <v>9.7916670000000003</v>
      </c>
      <c r="I90" s="95" t="s">
        <v>47</v>
      </c>
      <c r="J90" s="96">
        <v>9.1428560000000001</v>
      </c>
      <c r="K90" s="95" t="s">
        <v>47</v>
      </c>
      <c r="L90" s="96">
        <v>7.3333329999999997</v>
      </c>
      <c r="M90" s="95" t="s">
        <v>47</v>
      </c>
      <c r="N90" s="96">
        <v>8.5</v>
      </c>
      <c r="O90" s="95" t="s">
        <v>47</v>
      </c>
    </row>
    <row r="91" spans="1:15">
      <c r="A91" s="12" t="s">
        <v>882</v>
      </c>
      <c r="B91" s="21">
        <v>18.023256</v>
      </c>
      <c r="C91" s="26" t="s">
        <v>47</v>
      </c>
      <c r="D91" s="21">
        <v>12.870968</v>
      </c>
      <c r="E91" s="26" t="s">
        <v>47</v>
      </c>
      <c r="F91" s="21">
        <v>10.857144</v>
      </c>
      <c r="G91" s="26" t="s">
        <v>47</v>
      </c>
      <c r="H91" s="21">
        <v>9.2083329999999997</v>
      </c>
      <c r="I91" s="95" t="s">
        <v>47</v>
      </c>
      <c r="J91" s="96">
        <v>7.8571439999999999</v>
      </c>
      <c r="K91" s="95" t="s">
        <v>47</v>
      </c>
      <c r="L91" s="96">
        <v>6.6666670000000003</v>
      </c>
      <c r="M91" s="95" t="s">
        <v>47</v>
      </c>
      <c r="N91" s="96">
        <v>6.5</v>
      </c>
      <c r="O91" s="95" t="s">
        <v>47</v>
      </c>
    </row>
    <row r="92" spans="1:15">
      <c r="A92" s="12" t="s">
        <v>883</v>
      </c>
      <c r="B92" s="21" t="s">
        <v>47</v>
      </c>
      <c r="C92" s="26" t="s">
        <v>47</v>
      </c>
      <c r="D92" s="21" t="s">
        <v>47</v>
      </c>
      <c r="E92" s="26" t="s">
        <v>47</v>
      </c>
      <c r="F92" s="21" t="s">
        <v>47</v>
      </c>
      <c r="G92" s="26" t="s">
        <v>47</v>
      </c>
      <c r="H92" s="21" t="s">
        <v>47</v>
      </c>
      <c r="I92" s="95" t="s">
        <v>47</v>
      </c>
      <c r="J92" s="96" t="s">
        <v>47</v>
      </c>
      <c r="K92" s="95" t="s">
        <v>47</v>
      </c>
      <c r="L92" s="96" t="s">
        <v>47</v>
      </c>
      <c r="M92" s="95" t="s">
        <v>47</v>
      </c>
      <c r="N92" s="96">
        <v>3</v>
      </c>
      <c r="O92" s="95" t="s">
        <v>47</v>
      </c>
    </row>
    <row r="93" spans="1:15">
      <c r="A93" s="12"/>
      <c r="B93" s="12"/>
      <c r="C93" s="99"/>
      <c r="D93" s="12"/>
      <c r="E93" s="99"/>
      <c r="F93" s="12"/>
      <c r="G93" s="99"/>
      <c r="H93" s="12"/>
      <c r="J93" s="84"/>
      <c r="L93" s="84"/>
      <c r="N93" s="84"/>
    </row>
    <row r="94" spans="1:15">
      <c r="A94" s="12" t="s">
        <v>884</v>
      </c>
      <c r="B94" s="21">
        <v>325</v>
      </c>
      <c r="C94" s="26" t="s">
        <v>47</v>
      </c>
      <c r="D94" s="21">
        <v>362</v>
      </c>
      <c r="E94" s="26" t="s">
        <v>47</v>
      </c>
      <c r="F94" s="21">
        <v>239</v>
      </c>
      <c r="G94" s="26" t="s">
        <v>47</v>
      </c>
      <c r="H94" s="21">
        <v>358</v>
      </c>
      <c r="I94" s="95" t="s">
        <v>47</v>
      </c>
      <c r="J94" s="96">
        <v>340</v>
      </c>
      <c r="K94" s="95" t="s">
        <v>47</v>
      </c>
      <c r="L94" s="96">
        <v>357</v>
      </c>
      <c r="M94" s="95" t="s">
        <v>47</v>
      </c>
      <c r="N94" s="96">
        <v>365</v>
      </c>
      <c r="O94" s="95" t="s">
        <v>47</v>
      </c>
    </row>
    <row r="95" spans="1:15">
      <c r="A95" s="12" t="s">
        <v>885</v>
      </c>
      <c r="B95" s="21">
        <v>315</v>
      </c>
      <c r="C95" s="26" t="s">
        <v>47</v>
      </c>
      <c r="D95" s="21">
        <v>345</v>
      </c>
      <c r="E95" s="26" t="s">
        <v>47</v>
      </c>
      <c r="F95" s="21">
        <v>350</v>
      </c>
      <c r="G95" s="26" t="s">
        <v>47</v>
      </c>
      <c r="H95" s="21">
        <v>352</v>
      </c>
      <c r="I95" s="95" t="s">
        <v>47</v>
      </c>
      <c r="J95" s="96">
        <v>375</v>
      </c>
      <c r="K95" s="95" t="s">
        <v>47</v>
      </c>
      <c r="L95" s="96">
        <v>385</v>
      </c>
      <c r="M95" s="95" t="s">
        <v>47</v>
      </c>
      <c r="N95" s="96">
        <v>388</v>
      </c>
      <c r="O95" s="95" t="s">
        <v>47</v>
      </c>
    </row>
    <row r="96" spans="1:15">
      <c r="A96" s="12" t="s">
        <v>886</v>
      </c>
      <c r="B96" s="21">
        <v>309</v>
      </c>
      <c r="C96" s="26" t="s">
        <v>47</v>
      </c>
      <c r="D96" s="21">
        <v>322</v>
      </c>
      <c r="E96" s="26" t="s">
        <v>47</v>
      </c>
      <c r="F96" s="21">
        <v>344</v>
      </c>
      <c r="G96" s="26" t="s">
        <v>47</v>
      </c>
      <c r="H96" s="21">
        <v>346</v>
      </c>
      <c r="I96" s="95" t="s">
        <v>47</v>
      </c>
      <c r="J96" s="96">
        <v>371</v>
      </c>
      <c r="K96" s="95" t="s">
        <v>47</v>
      </c>
      <c r="L96" s="96">
        <v>368</v>
      </c>
      <c r="M96" s="95" t="s">
        <v>47</v>
      </c>
      <c r="N96" s="96">
        <v>369</v>
      </c>
      <c r="O96" s="95" t="s">
        <v>47</v>
      </c>
    </row>
    <row r="97" spans="1:15">
      <c r="A97" s="12" t="s">
        <v>887</v>
      </c>
      <c r="B97" s="21">
        <v>283</v>
      </c>
      <c r="C97" s="26" t="s">
        <v>47</v>
      </c>
      <c r="D97" s="21">
        <v>317</v>
      </c>
      <c r="E97" s="26" t="s">
        <v>47</v>
      </c>
      <c r="F97" s="21">
        <v>334</v>
      </c>
      <c r="G97" s="26" t="s">
        <v>47</v>
      </c>
      <c r="H97" s="21">
        <v>342</v>
      </c>
      <c r="I97" s="95" t="s">
        <v>47</v>
      </c>
      <c r="J97" s="96">
        <v>355</v>
      </c>
      <c r="K97" s="95" t="s">
        <v>47</v>
      </c>
      <c r="L97" s="96">
        <v>350</v>
      </c>
      <c r="M97" s="95" t="s">
        <v>47</v>
      </c>
      <c r="N97" s="96">
        <v>349</v>
      </c>
      <c r="O97" s="95" t="s">
        <v>47</v>
      </c>
    </row>
    <row r="98" spans="1:15">
      <c r="A98" s="12" t="s">
        <v>888</v>
      </c>
      <c r="B98" s="21">
        <v>264</v>
      </c>
      <c r="C98" s="26" t="s">
        <v>47</v>
      </c>
      <c r="D98" s="21">
        <v>300</v>
      </c>
      <c r="E98" s="26" t="s">
        <v>47</v>
      </c>
      <c r="F98" s="21">
        <v>329</v>
      </c>
      <c r="G98" s="26" t="s">
        <v>47</v>
      </c>
      <c r="H98" s="21">
        <v>326</v>
      </c>
      <c r="I98" s="95" t="s">
        <v>47</v>
      </c>
      <c r="J98" s="96">
        <v>340</v>
      </c>
      <c r="K98" s="95" t="s">
        <v>47</v>
      </c>
      <c r="L98" s="96">
        <v>328</v>
      </c>
      <c r="M98" s="95" t="s">
        <v>47</v>
      </c>
      <c r="N98" s="96">
        <v>321</v>
      </c>
      <c r="O98" s="95" t="s">
        <v>47</v>
      </c>
    </row>
    <row r="99" spans="1:15">
      <c r="A99" s="12" t="s">
        <v>889</v>
      </c>
      <c r="B99" s="21">
        <v>1496</v>
      </c>
      <c r="C99" s="26" t="s">
        <v>47</v>
      </c>
      <c r="D99" s="21">
        <v>1646</v>
      </c>
      <c r="E99" s="26" t="s">
        <v>47</v>
      </c>
      <c r="F99" s="21">
        <v>1596</v>
      </c>
      <c r="G99" s="26" t="s">
        <v>47</v>
      </c>
      <c r="H99" s="21">
        <v>1724</v>
      </c>
      <c r="I99" s="95" t="s">
        <v>47</v>
      </c>
      <c r="J99" s="96">
        <v>1781</v>
      </c>
      <c r="K99" s="95" t="s">
        <v>47</v>
      </c>
      <c r="L99" s="96">
        <v>1788</v>
      </c>
      <c r="M99" s="95" t="s">
        <v>47</v>
      </c>
      <c r="N99" s="96">
        <v>1792</v>
      </c>
      <c r="O99" s="95" t="s">
        <v>47</v>
      </c>
    </row>
    <row r="100" spans="1:15">
      <c r="A100" s="12" t="s">
        <v>890</v>
      </c>
      <c r="B100" s="21">
        <v>2758</v>
      </c>
      <c r="C100" s="26" t="s">
        <v>47</v>
      </c>
      <c r="D100" s="21">
        <v>5265</v>
      </c>
      <c r="E100" s="26" t="s">
        <v>47</v>
      </c>
      <c r="F100" s="21">
        <v>5443</v>
      </c>
      <c r="G100" s="26" t="s">
        <v>47</v>
      </c>
      <c r="H100" s="21">
        <v>5181</v>
      </c>
      <c r="I100" s="95" t="s">
        <v>47</v>
      </c>
      <c r="J100" s="96">
        <v>5051</v>
      </c>
      <c r="K100" s="95" t="s">
        <v>47</v>
      </c>
      <c r="L100" s="96">
        <v>4737</v>
      </c>
      <c r="M100" s="95" t="s">
        <v>47</v>
      </c>
      <c r="N100" s="96">
        <v>4535</v>
      </c>
      <c r="O100" s="95" t="s">
        <v>47</v>
      </c>
    </row>
    <row r="101" spans="1:15">
      <c r="A101" s="12"/>
      <c r="B101" s="12"/>
      <c r="C101" s="99"/>
      <c r="D101" s="12"/>
      <c r="E101" s="99"/>
      <c r="F101" s="12"/>
      <c r="G101" s="99"/>
      <c r="H101" s="12"/>
      <c r="J101" s="84"/>
      <c r="L101" s="84"/>
      <c r="N101" s="84"/>
    </row>
    <row r="102" spans="1:15">
      <c r="A102" s="12" t="s">
        <v>891</v>
      </c>
      <c r="B102" s="21">
        <v>3402</v>
      </c>
      <c r="C102" s="26" t="s">
        <v>47</v>
      </c>
      <c r="D102" s="21">
        <v>2966</v>
      </c>
      <c r="E102" s="26" t="s">
        <v>47</v>
      </c>
      <c r="F102" s="21">
        <v>2813</v>
      </c>
      <c r="G102" s="26" t="s">
        <v>47</v>
      </c>
      <c r="H102" s="21" t="s">
        <v>47</v>
      </c>
      <c r="I102" s="95" t="s">
        <v>47</v>
      </c>
      <c r="J102" s="96" t="s">
        <v>47</v>
      </c>
      <c r="K102" s="95" t="s">
        <v>47</v>
      </c>
      <c r="L102" s="96" t="s">
        <v>47</v>
      </c>
      <c r="M102" s="95" t="s">
        <v>47</v>
      </c>
      <c r="N102" s="96" t="s">
        <v>47</v>
      </c>
      <c r="O102" s="95" t="s">
        <v>47</v>
      </c>
    </row>
    <row r="103" spans="1:15">
      <c r="A103" s="12" t="s">
        <v>892</v>
      </c>
      <c r="B103" s="21">
        <v>613.5</v>
      </c>
      <c r="C103" s="26" t="s">
        <v>47</v>
      </c>
      <c r="D103" s="21">
        <v>420.5</v>
      </c>
      <c r="E103" s="26" t="s">
        <v>47</v>
      </c>
      <c r="F103" s="21">
        <v>483</v>
      </c>
      <c r="G103" s="26" t="s">
        <v>47</v>
      </c>
      <c r="H103" s="21" t="s">
        <v>47</v>
      </c>
      <c r="I103" s="95" t="s">
        <v>47</v>
      </c>
      <c r="J103" s="96" t="s">
        <v>47</v>
      </c>
      <c r="K103" s="95" t="s">
        <v>47</v>
      </c>
      <c r="L103" s="96" t="s">
        <v>47</v>
      </c>
      <c r="M103" s="95" t="s">
        <v>47</v>
      </c>
      <c r="N103" s="96" t="s">
        <v>47</v>
      </c>
      <c r="O103" s="95" t="s">
        <v>47</v>
      </c>
    </row>
    <row r="104" spans="1:15">
      <c r="A104" s="12" t="s">
        <v>893</v>
      </c>
      <c r="B104" s="21">
        <v>613.5</v>
      </c>
      <c r="C104" s="26" t="s">
        <v>47</v>
      </c>
      <c r="D104" s="21">
        <v>420.5</v>
      </c>
      <c r="E104" s="26" t="s">
        <v>47</v>
      </c>
      <c r="F104" s="21">
        <v>483</v>
      </c>
      <c r="G104" s="26" t="s">
        <v>47</v>
      </c>
      <c r="H104" s="21" t="s">
        <v>47</v>
      </c>
      <c r="I104" s="95" t="s">
        <v>47</v>
      </c>
      <c r="J104" s="96" t="s">
        <v>47</v>
      </c>
      <c r="K104" s="95" t="s">
        <v>47</v>
      </c>
      <c r="L104" s="96" t="s">
        <v>47</v>
      </c>
      <c r="M104" s="95" t="s">
        <v>47</v>
      </c>
      <c r="N104" s="96" t="s">
        <v>47</v>
      </c>
      <c r="O104" s="95" t="s">
        <v>47</v>
      </c>
    </row>
    <row r="105" spans="1:15">
      <c r="A105" s="12" t="s">
        <v>894</v>
      </c>
      <c r="B105" s="21">
        <v>313</v>
      </c>
      <c r="C105" s="26" t="s">
        <v>47</v>
      </c>
      <c r="D105" s="21">
        <v>240.5</v>
      </c>
      <c r="E105" s="26" t="s">
        <v>47</v>
      </c>
      <c r="F105" s="21">
        <v>278</v>
      </c>
      <c r="G105" s="26" t="s">
        <v>47</v>
      </c>
      <c r="H105" s="21" t="s">
        <v>47</v>
      </c>
      <c r="I105" s="95" t="s">
        <v>47</v>
      </c>
      <c r="J105" s="96" t="s">
        <v>47</v>
      </c>
      <c r="K105" s="95" t="s">
        <v>47</v>
      </c>
      <c r="L105" s="96" t="s">
        <v>47</v>
      </c>
      <c r="M105" s="95" t="s">
        <v>47</v>
      </c>
      <c r="N105" s="96" t="s">
        <v>47</v>
      </c>
      <c r="O105" s="95" t="s">
        <v>47</v>
      </c>
    </row>
    <row r="106" spans="1:15">
      <c r="A106" s="12" t="s">
        <v>895</v>
      </c>
      <c r="B106" s="21">
        <v>313</v>
      </c>
      <c r="C106" s="26" t="s">
        <v>47</v>
      </c>
      <c r="D106" s="21">
        <v>240.5</v>
      </c>
      <c r="E106" s="26" t="s">
        <v>47</v>
      </c>
      <c r="F106" s="21">
        <v>278</v>
      </c>
      <c r="G106" s="26" t="s">
        <v>47</v>
      </c>
      <c r="H106" s="21" t="s">
        <v>47</v>
      </c>
      <c r="I106" s="95" t="s">
        <v>47</v>
      </c>
      <c r="J106" s="96" t="s">
        <v>47</v>
      </c>
      <c r="K106" s="95" t="s">
        <v>47</v>
      </c>
      <c r="L106" s="96" t="s">
        <v>47</v>
      </c>
      <c r="M106" s="95" t="s">
        <v>47</v>
      </c>
      <c r="N106" s="96" t="s">
        <v>47</v>
      </c>
      <c r="O106" s="95" t="s">
        <v>47</v>
      </c>
    </row>
    <row r="107" spans="1:15">
      <c r="A107" s="12" t="s">
        <v>896</v>
      </c>
      <c r="B107" s="21">
        <v>5255</v>
      </c>
      <c r="C107" s="26" t="s">
        <v>47</v>
      </c>
      <c r="D107" s="21">
        <v>4288</v>
      </c>
      <c r="E107" s="26" t="s">
        <v>47</v>
      </c>
      <c r="F107" s="21">
        <v>4335</v>
      </c>
      <c r="G107" s="26" t="s">
        <v>47</v>
      </c>
      <c r="H107" s="21" t="s">
        <v>47</v>
      </c>
      <c r="I107" s="95" t="s">
        <v>47</v>
      </c>
      <c r="J107" s="96" t="s">
        <v>47</v>
      </c>
      <c r="K107" s="95" t="s">
        <v>47</v>
      </c>
      <c r="L107" s="96" t="s">
        <v>47</v>
      </c>
      <c r="M107" s="95" t="s">
        <v>47</v>
      </c>
      <c r="N107" s="96" t="s">
        <v>47</v>
      </c>
      <c r="O107" s="95" t="s">
        <v>47</v>
      </c>
    </row>
    <row r="108" spans="1:15">
      <c r="A108" s="12" t="s">
        <v>897</v>
      </c>
      <c r="B108" s="21">
        <v>1836</v>
      </c>
      <c r="C108" s="26" t="s">
        <v>47</v>
      </c>
      <c r="D108" s="21">
        <v>1709</v>
      </c>
      <c r="E108" s="26" t="s">
        <v>47</v>
      </c>
      <c r="F108" s="21">
        <v>1566</v>
      </c>
      <c r="G108" s="26" t="s">
        <v>47</v>
      </c>
      <c r="H108" s="21" t="s">
        <v>47</v>
      </c>
      <c r="I108" s="95" t="s">
        <v>47</v>
      </c>
      <c r="J108" s="96" t="s">
        <v>47</v>
      </c>
      <c r="K108" s="95" t="s">
        <v>47</v>
      </c>
      <c r="L108" s="96" t="s">
        <v>47</v>
      </c>
      <c r="M108" s="95" t="s">
        <v>47</v>
      </c>
      <c r="N108" s="96" t="s">
        <v>47</v>
      </c>
      <c r="O108" s="95" t="s">
        <v>47</v>
      </c>
    </row>
    <row r="109" spans="1:15">
      <c r="A109" s="12" t="s">
        <v>898</v>
      </c>
      <c r="B109" s="21">
        <v>7091</v>
      </c>
      <c r="C109" s="26" t="s">
        <v>47</v>
      </c>
      <c r="D109" s="21">
        <v>5997</v>
      </c>
      <c r="E109" s="26" t="s">
        <v>47</v>
      </c>
      <c r="F109" s="21">
        <v>5901</v>
      </c>
      <c r="G109" s="26" t="s">
        <v>47</v>
      </c>
      <c r="H109" s="21" t="s">
        <v>47</v>
      </c>
      <c r="I109" s="95" t="s">
        <v>47</v>
      </c>
      <c r="J109" s="96" t="s">
        <v>47</v>
      </c>
      <c r="K109" s="95" t="s">
        <v>47</v>
      </c>
      <c r="L109" s="96" t="s">
        <v>47</v>
      </c>
      <c r="M109" s="95" t="s">
        <v>47</v>
      </c>
      <c r="N109" s="96" t="s">
        <v>47</v>
      </c>
      <c r="O109" s="95" t="s">
        <v>47</v>
      </c>
    </row>
    <row r="110" spans="1:15">
      <c r="A110" s="12"/>
      <c r="B110" s="12"/>
      <c r="C110" s="99"/>
      <c r="D110" s="12"/>
      <c r="E110" s="99"/>
      <c r="F110" s="12"/>
      <c r="G110" s="99"/>
      <c r="H110" s="12"/>
      <c r="J110" s="84"/>
      <c r="L110" s="84"/>
      <c r="N110" s="84"/>
    </row>
    <row r="111" spans="1:15">
      <c r="A111" s="15" t="s">
        <v>899</v>
      </c>
      <c r="B111" s="12"/>
      <c r="C111" s="99"/>
      <c r="D111" s="12"/>
      <c r="E111" s="99"/>
      <c r="F111" s="12"/>
      <c r="G111" s="99"/>
      <c r="H111" s="12"/>
      <c r="J111" s="84"/>
      <c r="L111" s="84"/>
      <c r="N111" s="84"/>
    </row>
    <row r="112" spans="1:15">
      <c r="A112" s="12" t="s">
        <v>809</v>
      </c>
      <c r="B112" s="101">
        <v>44284</v>
      </c>
      <c r="C112" s="26" t="s">
        <v>47</v>
      </c>
      <c r="D112" s="101">
        <v>44645</v>
      </c>
      <c r="E112" s="26" t="s">
        <v>47</v>
      </c>
      <c r="F112" s="101">
        <v>45009</v>
      </c>
      <c r="G112" s="26" t="s">
        <v>47</v>
      </c>
      <c r="H112" s="101">
        <v>45373</v>
      </c>
      <c r="I112" s="95" t="s">
        <v>47</v>
      </c>
      <c r="J112" s="100">
        <v>45737</v>
      </c>
      <c r="K112" s="95" t="s">
        <v>47</v>
      </c>
      <c r="L112" s="100">
        <v>45737</v>
      </c>
      <c r="M112" s="95" t="s">
        <v>47</v>
      </c>
      <c r="N112" s="100">
        <v>45737</v>
      </c>
      <c r="O112" s="95" t="s">
        <v>47</v>
      </c>
    </row>
    <row r="113" spans="1:15">
      <c r="A113" s="12"/>
      <c r="B113" s="12" t="s">
        <v>57</v>
      </c>
      <c r="C113" s="99"/>
      <c r="D113" s="12" t="s">
        <v>57</v>
      </c>
      <c r="E113" s="99"/>
      <c r="F113" s="12" t="s">
        <v>57</v>
      </c>
      <c r="G113" s="99"/>
      <c r="H113" s="12" t="s">
        <v>57</v>
      </c>
      <c r="J113" s="84" t="s">
        <v>57</v>
      </c>
      <c r="L113" s="84" t="s">
        <v>57</v>
      </c>
      <c r="N113" s="84" t="s">
        <v>57</v>
      </c>
    </row>
    <row r="114" spans="1:15">
      <c r="A114" s="12" t="s">
        <v>43</v>
      </c>
      <c r="B114" s="13" t="s">
        <v>44</v>
      </c>
      <c r="C114" s="98"/>
      <c r="D114" s="13" t="s">
        <v>44</v>
      </c>
      <c r="E114" s="98"/>
      <c r="F114" s="13" t="s">
        <v>44</v>
      </c>
      <c r="G114" s="98"/>
      <c r="H114" s="13" t="s">
        <v>44</v>
      </c>
      <c r="I114" s="97"/>
      <c r="J114" s="63" t="s">
        <v>44</v>
      </c>
      <c r="K114" s="97"/>
      <c r="L114" s="63" t="s">
        <v>44</v>
      </c>
      <c r="M114" s="97"/>
      <c r="N114" s="63" t="s">
        <v>44</v>
      </c>
      <c r="O114" s="97"/>
    </row>
    <row r="115" spans="1:15">
      <c r="A115" s="12" t="s">
        <v>58</v>
      </c>
      <c r="B115" s="21">
        <v>1</v>
      </c>
      <c r="C115" s="26"/>
      <c r="D115" s="21">
        <v>1</v>
      </c>
      <c r="E115" s="26"/>
      <c r="F115" s="21">
        <v>1</v>
      </c>
      <c r="G115" s="26"/>
      <c r="H115" s="21">
        <v>1</v>
      </c>
      <c r="I115" s="95"/>
      <c r="J115" s="96">
        <v>1</v>
      </c>
      <c r="K115" s="95"/>
      <c r="L115" s="96">
        <v>1</v>
      </c>
      <c r="M115" s="95"/>
      <c r="N115" s="96">
        <v>1</v>
      </c>
      <c r="O115" s="95"/>
    </row>
    <row r="116" spans="1:15">
      <c r="A116" s="12" t="s">
        <v>59</v>
      </c>
      <c r="B116" s="13" t="s">
        <v>60</v>
      </c>
      <c r="C116" s="26"/>
      <c r="D116" s="13" t="s">
        <v>60</v>
      </c>
      <c r="E116" s="26"/>
      <c r="F116" s="13" t="s">
        <v>60</v>
      </c>
      <c r="G116" s="26"/>
      <c r="H116" s="13" t="s">
        <v>60</v>
      </c>
      <c r="I116" s="95"/>
      <c r="J116" s="63" t="s">
        <v>60</v>
      </c>
      <c r="K116" s="95"/>
      <c r="L116" s="63" t="s">
        <v>60</v>
      </c>
      <c r="M116" s="95"/>
      <c r="N116" s="63" t="s">
        <v>60</v>
      </c>
      <c r="O116" s="95"/>
    </row>
    <row r="117" spans="1:15" ht="60.75">
      <c r="A117" s="94" t="s">
        <v>96</v>
      </c>
      <c r="B117" s="11"/>
      <c r="C117" s="11"/>
      <c r="D117" s="11"/>
      <c r="E117" s="11"/>
      <c r="F117" s="11"/>
      <c r="G117" s="11"/>
      <c r="H117" s="11"/>
    </row>
  </sheetData>
  <mergeCells count="14">
    <mergeCell ref="L29:M29"/>
    <mergeCell ref="N29:O29"/>
    <mergeCell ref="B14:C14"/>
    <mergeCell ref="D14:E14"/>
    <mergeCell ref="B29:C29"/>
    <mergeCell ref="D29:E29"/>
    <mergeCell ref="F29:G29"/>
    <mergeCell ref="H29:I29"/>
    <mergeCell ref="J29:K29"/>
    <mergeCell ref="F14:G14"/>
    <mergeCell ref="H14:I14"/>
    <mergeCell ref="J14:K14"/>
    <mergeCell ref="L14:M14"/>
    <mergeCell ref="N14:O14"/>
  </mergeCells>
  <pageMargins left="0.2" right="0.2" top="0.5" bottom="0.5" header="0.5" footer="0.5"/>
  <pageSetup fitToWidth="0" fitToHeight="0"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CD9E0-49EA-6A4A-B9B1-02AC1EE718C5}">
  <sheetPr codeName="Sheet22">
    <tabColor theme="5" tint="-0.249977111117893"/>
  </sheetPr>
  <dimension ref="A1:BZ157"/>
  <sheetViews>
    <sheetView showGridLines="0" zoomScale="125" zoomScaleNormal="90" workbookViewId="0">
      <pane xSplit="2" ySplit="2" topLeftCell="C35" activePane="bottomRight" state="frozen"/>
      <selection pane="topRight" activeCell="C1" sqref="C1"/>
      <selection pane="bottomLeft" activeCell="A3" sqref="A3"/>
      <selection pane="bottomRight" activeCell="J59" sqref="J59"/>
    </sheetView>
  </sheetViews>
  <sheetFormatPr defaultColWidth="8.8125" defaultRowHeight="12" outlineLevelCol="1"/>
  <cols>
    <col min="1" max="1" width="8.8125" style="515" bestFit="1" customWidth="1"/>
    <col min="2" max="2" width="18.1875" style="515" customWidth="1"/>
    <col min="3" max="3" width="9" style="515" customWidth="1"/>
    <col min="4" max="5" width="8.8125" style="515"/>
    <col min="6" max="9" width="8.8125" style="515" hidden="1" customWidth="1" outlineLevel="1"/>
    <col min="10" max="10" width="11.3125" style="515" bestFit="1" customWidth="1" collapsed="1"/>
    <col min="11" max="14" width="8.8125" style="515" hidden="1" customWidth="1" outlineLevel="1"/>
    <col min="15" max="15" width="9.6875" style="515" bestFit="1" customWidth="1" collapsed="1"/>
    <col min="16" max="19" width="8.8125" style="515" hidden="1" customWidth="1" outlineLevel="1"/>
    <col min="20" max="20" width="11.1875" style="515" bestFit="1" customWidth="1" collapsed="1"/>
    <col min="21" max="24" width="8.8125" style="515" hidden="1" customWidth="1" outlineLevel="1"/>
    <col min="25" max="25" width="11.1875" style="515" bestFit="1" customWidth="1" collapsed="1"/>
    <col min="26" max="29" width="8.8125" style="515" hidden="1" customWidth="1" outlineLevel="1"/>
    <col min="30" max="30" width="11.1875" style="515" bestFit="1" customWidth="1" collapsed="1"/>
    <col min="31" max="34" width="8.8125" style="515" hidden="1" customWidth="1" outlineLevel="1"/>
    <col min="35" max="35" width="11.1875" style="515" bestFit="1" customWidth="1" collapsed="1"/>
    <col min="36" max="39" width="8.8125" style="515" hidden="1" customWidth="1" outlineLevel="1"/>
    <col min="40" max="40" width="8.8125" style="515" collapsed="1"/>
    <col min="41" max="44" width="8.8125" style="515" hidden="1" customWidth="1" outlineLevel="1"/>
    <col min="45" max="45" width="8.8125" style="515" collapsed="1"/>
    <col min="46" max="49" width="8.8125" style="515" hidden="1" customWidth="1" outlineLevel="1"/>
    <col min="50" max="50" width="8.8125" style="621" collapsed="1"/>
    <col min="51" max="51" width="8.8125" style="621"/>
    <col min="52" max="53" width="8.8125" style="515"/>
    <col min="54" max="54" width="13.3125" style="515" bestFit="1" customWidth="1"/>
    <col min="55" max="56" width="8.8125" style="515"/>
    <col min="57" max="57" width="10" style="515" bestFit="1" customWidth="1"/>
    <col min="58" max="16384" width="8.8125" style="515"/>
  </cols>
  <sheetData>
    <row r="1" spans="1:78">
      <c r="A1" s="549" t="s">
        <v>445</v>
      </c>
      <c r="B1" s="549"/>
      <c r="C1" s="549"/>
      <c r="D1" s="549"/>
      <c r="E1" s="550"/>
      <c r="F1" s="549"/>
      <c r="G1" s="549"/>
      <c r="H1" s="549"/>
      <c r="I1" s="549"/>
      <c r="J1" s="549"/>
      <c r="K1" s="549"/>
      <c r="L1" s="549"/>
      <c r="M1" s="549"/>
      <c r="N1" s="549"/>
      <c r="O1" s="549"/>
      <c r="P1" s="549"/>
      <c r="Q1" s="549"/>
      <c r="R1" s="549"/>
      <c r="S1" s="549"/>
      <c r="T1" s="549"/>
      <c r="U1" s="549"/>
      <c r="V1" s="549"/>
      <c r="W1" s="549"/>
      <c r="X1" s="549"/>
      <c r="Y1" s="549"/>
      <c r="Z1" s="549"/>
      <c r="AA1" s="549"/>
      <c r="AB1" s="549"/>
      <c r="AC1" s="549"/>
      <c r="AD1" s="549"/>
      <c r="AE1" s="549"/>
      <c r="AF1" s="549"/>
      <c r="AG1" s="549"/>
      <c r="AH1" s="549"/>
      <c r="AI1" s="549"/>
      <c r="AJ1" s="549"/>
      <c r="AK1" s="549"/>
      <c r="AL1" s="549"/>
      <c r="AM1" s="549"/>
      <c r="AN1" s="549"/>
      <c r="AO1" s="549"/>
      <c r="AP1" s="549"/>
      <c r="AQ1" s="549"/>
      <c r="AR1" s="549"/>
      <c r="AS1" s="549"/>
      <c r="AT1" s="549"/>
      <c r="AU1" s="549"/>
      <c r="AV1" s="549"/>
      <c r="AW1" s="549"/>
      <c r="AX1" s="549"/>
      <c r="AY1" s="549"/>
      <c r="AZ1" s="549"/>
      <c r="BJ1" s="516" t="s">
        <v>446</v>
      </c>
      <c r="BK1" s="516"/>
      <c r="BL1" s="516"/>
      <c r="BM1" s="516"/>
      <c r="BN1" s="516"/>
      <c r="BO1" s="516"/>
      <c r="BP1" s="516"/>
      <c r="BQ1" s="516"/>
      <c r="BR1" s="516"/>
      <c r="BS1" s="516"/>
      <c r="BT1" s="516"/>
      <c r="BU1" s="516"/>
      <c r="BV1" s="516"/>
      <c r="BW1" s="516"/>
      <c r="BX1" s="516"/>
      <c r="BY1" s="516"/>
      <c r="BZ1" s="516"/>
    </row>
    <row r="2" spans="1:78" ht="16.5" customHeight="1">
      <c r="A2" s="551"/>
      <c r="B2" s="551"/>
      <c r="C2" s="551"/>
      <c r="D2" s="551"/>
      <c r="E2" s="552" t="s">
        <v>447</v>
      </c>
      <c r="F2" s="553" t="s">
        <v>371</v>
      </c>
      <c r="G2" s="553" t="s">
        <v>372</v>
      </c>
      <c r="H2" s="553" t="s">
        <v>373</v>
      </c>
      <c r="I2" s="553" t="s">
        <v>374</v>
      </c>
      <c r="J2" s="554" t="s">
        <v>26</v>
      </c>
      <c r="K2" s="553" t="s">
        <v>375</v>
      </c>
      <c r="L2" s="553" t="s">
        <v>376</v>
      </c>
      <c r="M2" s="553" t="s">
        <v>377</v>
      </c>
      <c r="N2" s="553" t="s">
        <v>378</v>
      </c>
      <c r="O2" s="555" t="s">
        <v>27</v>
      </c>
      <c r="P2" s="556" t="s">
        <v>379</v>
      </c>
      <c r="Q2" s="556" t="s">
        <v>380</v>
      </c>
      <c r="R2" s="556" t="s">
        <v>381</v>
      </c>
      <c r="S2" s="556" t="s">
        <v>382</v>
      </c>
      <c r="T2" s="555" t="s">
        <v>28</v>
      </c>
      <c r="U2" s="556" t="s">
        <v>383</v>
      </c>
      <c r="V2" s="556" t="s">
        <v>384</v>
      </c>
      <c r="W2" s="556" t="s">
        <v>385</v>
      </c>
      <c r="X2" s="556" t="s">
        <v>386</v>
      </c>
      <c r="Y2" s="555" t="s">
        <v>29</v>
      </c>
      <c r="Z2" s="556" t="s">
        <v>387</v>
      </c>
      <c r="AA2" s="556" t="s">
        <v>388</v>
      </c>
      <c r="AB2" s="556" t="s">
        <v>389</v>
      </c>
      <c r="AC2" s="556" t="s">
        <v>390</v>
      </c>
      <c r="AD2" s="555" t="s">
        <v>30</v>
      </c>
      <c r="AE2" s="556" t="s">
        <v>391</v>
      </c>
      <c r="AF2" s="556" t="s">
        <v>392</v>
      </c>
      <c r="AG2" s="556" t="s">
        <v>393</v>
      </c>
      <c r="AH2" s="556" t="s">
        <v>394</v>
      </c>
      <c r="AI2" s="555" t="s">
        <v>31</v>
      </c>
      <c r="AJ2" s="553" t="s">
        <v>395</v>
      </c>
      <c r="AK2" s="553" t="s">
        <v>396</v>
      </c>
      <c r="AL2" s="553" t="s">
        <v>397</v>
      </c>
      <c r="AM2" s="553" t="s">
        <v>398</v>
      </c>
      <c r="AN2" s="555" t="s">
        <v>33</v>
      </c>
      <c r="AO2" s="553" t="s">
        <v>399</v>
      </c>
      <c r="AP2" s="553" t="s">
        <v>400</v>
      </c>
      <c r="AQ2" s="553" t="s">
        <v>401</v>
      </c>
      <c r="AR2" s="553" t="s">
        <v>402</v>
      </c>
      <c r="AS2" s="555" t="s">
        <v>84</v>
      </c>
      <c r="AT2" s="553" t="s">
        <v>448</v>
      </c>
      <c r="AU2" s="553" t="s">
        <v>449</v>
      </c>
      <c r="AV2" s="553" t="s">
        <v>450</v>
      </c>
      <c r="AW2" s="556" t="s">
        <v>451</v>
      </c>
      <c r="AX2" s="555" t="s">
        <v>85</v>
      </c>
      <c r="AY2" s="555" t="s">
        <v>86</v>
      </c>
      <c r="AZ2" s="557" t="s">
        <v>415</v>
      </c>
      <c r="BJ2" s="516" t="s">
        <v>900</v>
      </c>
      <c r="BK2" s="516"/>
      <c r="BL2" s="516"/>
      <c r="BM2" s="516"/>
      <c r="BN2" s="516"/>
      <c r="BO2" s="516"/>
      <c r="BP2" s="516"/>
      <c r="BQ2" s="516"/>
      <c r="BR2" s="516"/>
      <c r="BS2" s="516"/>
      <c r="BT2" s="516"/>
      <c r="BU2" s="516"/>
      <c r="BV2" s="516"/>
      <c r="BW2" s="516"/>
      <c r="BX2" s="516"/>
      <c r="BY2" s="516"/>
      <c r="BZ2" s="516"/>
    </row>
    <row r="3" spans="1:78" ht="15.75" customHeight="1">
      <c r="A3" s="515" t="s">
        <v>454</v>
      </c>
      <c r="E3" s="512" t="s">
        <v>44</v>
      </c>
      <c r="F3" s="558">
        <v>5698</v>
      </c>
      <c r="G3" s="559">
        <v>5758</v>
      </c>
      <c r="H3" s="559">
        <v>5589</v>
      </c>
      <c r="I3" s="559">
        <v>8695</v>
      </c>
      <c r="J3" s="720">
        <f>24560+771</f>
        <v>25331</v>
      </c>
      <c r="K3" s="559">
        <v>5676</v>
      </c>
      <c r="L3" s="559">
        <v>5722</v>
      </c>
      <c r="M3" s="559">
        <v>5356</v>
      </c>
      <c r="N3" s="559">
        <v>8577</v>
      </c>
      <c r="O3" s="720">
        <f>17346+751</f>
        <v>18097</v>
      </c>
      <c r="P3" s="559">
        <v>3148</v>
      </c>
      <c r="Q3" s="559">
        <v>3727</v>
      </c>
      <c r="R3" s="559">
        <v>4185</v>
      </c>
      <c r="S3" s="559">
        <v>7037</v>
      </c>
      <c r="T3" s="721">
        <v>25399</v>
      </c>
      <c r="U3" s="721"/>
      <c r="V3" s="721"/>
      <c r="W3" s="721"/>
      <c r="X3" s="721"/>
      <c r="Y3" s="721">
        <v>25449</v>
      </c>
      <c r="Z3" s="721"/>
      <c r="AA3" s="721"/>
      <c r="AB3" s="721"/>
      <c r="AC3" s="721"/>
      <c r="AD3" s="721">
        <v>23866</v>
      </c>
      <c r="AE3" s="720">
        <v>5173</v>
      </c>
      <c r="AF3" s="720">
        <v>5280</v>
      </c>
      <c r="AG3" s="720">
        <v>5038</v>
      </c>
      <c r="AH3" s="720">
        <v>8375</v>
      </c>
      <c r="AI3" s="722">
        <v>23006</v>
      </c>
      <c r="AJ3" s="511"/>
      <c r="AK3" s="511"/>
      <c r="AL3" s="511"/>
      <c r="AM3" s="511"/>
      <c r="AN3" s="720">
        <f>AN24</f>
        <v>21386.845399656766</v>
      </c>
      <c r="AO3" s="720" t="e" vm="1">
        <v>#VALUE!</v>
      </c>
      <c r="AP3" s="720" t="e" vm="1">
        <v>#VALUE!</v>
      </c>
      <c r="AQ3" s="720" t="e" vm="1">
        <v>#VALUE!</v>
      </c>
      <c r="AR3" s="720" t="e" vm="1">
        <v>#VALUE!</v>
      </c>
      <c r="AS3" s="720">
        <f>AS24</f>
        <v>19801.228246455099</v>
      </c>
      <c r="AT3" s="720" t="e" vm="1">
        <v>#VALUE!</v>
      </c>
      <c r="AU3" s="720" t="e" vm="1">
        <v>#VALUE!</v>
      </c>
      <c r="AV3" s="720" t="e" vm="1">
        <v>#VALUE!</v>
      </c>
      <c r="AW3" s="720" t="e" vm="1">
        <v>#VALUE!</v>
      </c>
      <c r="AX3" s="720">
        <f>AX24</f>
        <v>19742.623780564456</v>
      </c>
      <c r="AY3" s="720">
        <f>AY24</f>
        <v>19702.671457576824</v>
      </c>
      <c r="AZ3" s="720">
        <f>AZ24</f>
        <v>19681.044062305245</v>
      </c>
      <c r="BJ3" s="516"/>
      <c r="BK3" s="516"/>
      <c r="BL3" s="516"/>
      <c r="BM3" s="516"/>
      <c r="BN3" s="516"/>
      <c r="BO3" s="516"/>
      <c r="BP3" s="516"/>
      <c r="BQ3" s="516"/>
      <c r="BR3" s="516"/>
      <c r="BS3" s="516"/>
      <c r="BT3" s="516"/>
      <c r="BU3" s="516"/>
      <c r="BV3" s="516"/>
      <c r="BW3" s="516"/>
      <c r="BX3" s="516"/>
      <c r="BY3" s="516"/>
      <c r="BZ3" s="516"/>
    </row>
    <row r="4" spans="1:78" s="536" customFormat="1" ht="15.75" customHeight="1">
      <c r="A4" s="535" t="s">
        <v>455</v>
      </c>
      <c r="E4" s="537"/>
      <c r="F4" s="538"/>
      <c r="G4" s="539"/>
      <c r="H4" s="539"/>
      <c r="I4" s="539"/>
      <c r="J4" s="540"/>
      <c r="K4" s="539">
        <f t="shared" ref="K4:AX4" si="0">(K3-F3)/F3</f>
        <v>-3.8610038610038611E-3</v>
      </c>
      <c r="L4" s="539">
        <f t="shared" si="0"/>
        <v>-6.252170892671066E-3</v>
      </c>
      <c r="M4" s="539">
        <f t="shared" si="0"/>
        <v>-4.1689032027196281E-2</v>
      </c>
      <c r="N4" s="539">
        <f t="shared" si="0"/>
        <v>-1.3571017826336976E-2</v>
      </c>
      <c r="O4" s="539">
        <f t="shared" si="0"/>
        <v>-0.28557893490189884</v>
      </c>
      <c r="P4" s="539">
        <f t="shared" si="0"/>
        <v>-0.44538407329105001</v>
      </c>
      <c r="Q4" s="539">
        <f t="shared" si="0"/>
        <v>-0.34865431667249214</v>
      </c>
      <c r="R4" s="539">
        <f t="shared" si="0"/>
        <v>-0.21863330843913367</v>
      </c>
      <c r="S4" s="539">
        <f t="shared" si="0"/>
        <v>-0.17954995919319108</v>
      </c>
      <c r="T4" s="539">
        <f t="shared" si="0"/>
        <v>0.40349229154003424</v>
      </c>
      <c r="U4" s="539">
        <f t="shared" si="0"/>
        <v>-1</v>
      </c>
      <c r="V4" s="539">
        <f t="shared" si="0"/>
        <v>-1</v>
      </c>
      <c r="W4" s="539">
        <f t="shared" si="0"/>
        <v>-1</v>
      </c>
      <c r="X4" s="539">
        <f t="shared" si="0"/>
        <v>-1</v>
      </c>
      <c r="Y4" s="539">
        <f t="shared" si="0"/>
        <v>1.9685814402141816E-3</v>
      </c>
      <c r="Z4" s="539" t="e">
        <f t="shared" si="0"/>
        <v>#DIV/0!</v>
      </c>
      <c r="AA4" s="539" t="e">
        <f t="shared" si="0"/>
        <v>#DIV/0!</v>
      </c>
      <c r="AB4" s="539" t="e">
        <f t="shared" si="0"/>
        <v>#DIV/0!</v>
      </c>
      <c r="AC4" s="539" t="e">
        <f t="shared" si="0"/>
        <v>#DIV/0!</v>
      </c>
      <c r="AD4" s="539">
        <f t="shared" si="0"/>
        <v>-6.2202837046642305E-2</v>
      </c>
      <c r="AE4" s="539" t="e">
        <f t="shared" si="0"/>
        <v>#DIV/0!</v>
      </c>
      <c r="AF4" s="539" t="e">
        <f t="shared" si="0"/>
        <v>#DIV/0!</v>
      </c>
      <c r="AG4" s="539" t="e">
        <f t="shared" si="0"/>
        <v>#DIV/0!</v>
      </c>
      <c r="AH4" s="539" t="e">
        <f t="shared" si="0"/>
        <v>#DIV/0!</v>
      </c>
      <c r="AI4" s="539">
        <f t="shared" si="0"/>
        <v>-3.6034526104081123E-2</v>
      </c>
      <c r="AJ4" s="539">
        <f t="shared" si="0"/>
        <v>-1</v>
      </c>
      <c r="AK4" s="539">
        <f t="shared" si="0"/>
        <v>-1</v>
      </c>
      <c r="AL4" s="539">
        <f t="shared" si="0"/>
        <v>-1</v>
      </c>
      <c r="AM4" s="539">
        <f t="shared" si="0"/>
        <v>-1</v>
      </c>
      <c r="AN4" s="539">
        <f t="shared" si="0"/>
        <v>-7.0379666188960882E-2</v>
      </c>
      <c r="AO4" s="539" t="e" vm="2">
        <f t="shared" si="0"/>
        <v>#VALUE!</v>
      </c>
      <c r="AP4" s="539" t="e" vm="2">
        <f t="shared" si="0"/>
        <v>#VALUE!</v>
      </c>
      <c r="AQ4" s="539" t="e" vm="2">
        <f t="shared" si="0"/>
        <v>#VALUE!</v>
      </c>
      <c r="AR4" s="539" t="e" vm="2">
        <f t="shared" si="0"/>
        <v>#VALUE!</v>
      </c>
      <c r="AS4" s="539">
        <f t="shared" si="0"/>
        <v>-7.4139833321426374E-2</v>
      </c>
      <c r="AT4" s="539" t="e" vm="2">
        <f t="shared" si="0"/>
        <v>#VALUE!</v>
      </c>
      <c r="AU4" s="539" t="e" vm="2">
        <f t="shared" si="0"/>
        <v>#VALUE!</v>
      </c>
      <c r="AV4" s="539" t="e" vm="2">
        <f t="shared" si="0"/>
        <v>#VALUE!</v>
      </c>
      <c r="AW4" s="539" t="e" vm="2">
        <f t="shared" si="0"/>
        <v>#VALUE!</v>
      </c>
      <c r="AX4" s="539">
        <f t="shared" si="0"/>
        <v>-2.9596379154477282E-3</v>
      </c>
      <c r="AY4" s="539">
        <f>(AY3-AX3)/AX3</f>
        <v>-2.0236582245447593E-3</v>
      </c>
      <c r="AZ4" s="539">
        <f>(AZ3-AY3)/AY3</f>
        <v>-1.0976884692081332E-3</v>
      </c>
      <c r="BA4" s="515"/>
      <c r="BB4" s="515"/>
      <c r="BC4" s="515"/>
      <c r="BD4" s="515"/>
      <c r="BE4" s="515"/>
      <c r="BF4" s="515"/>
      <c r="BG4" s="515"/>
      <c r="BH4" s="515"/>
      <c r="BI4" s="515"/>
      <c r="BJ4" s="542" t="s">
        <v>901</v>
      </c>
      <c r="BK4" s="542"/>
      <c r="BL4" s="542"/>
      <c r="BM4" s="542"/>
      <c r="BN4" s="542"/>
      <c r="BO4" s="542"/>
      <c r="BP4" s="542"/>
      <c r="BQ4" s="542"/>
      <c r="BR4" s="542"/>
      <c r="BS4" s="542"/>
      <c r="BT4" s="542"/>
      <c r="BU4" s="542"/>
      <c r="BV4" s="542"/>
      <c r="BW4" s="542"/>
      <c r="BX4" s="542"/>
      <c r="BY4" s="542"/>
      <c r="BZ4" s="542"/>
    </row>
    <row r="5" spans="1:78" ht="15.75" customHeight="1">
      <c r="A5" s="511" t="s">
        <v>456</v>
      </c>
      <c r="B5" s="511"/>
      <c r="C5" s="511"/>
      <c r="D5" s="511"/>
      <c r="E5" s="512"/>
      <c r="F5" s="525">
        <v>3382</v>
      </c>
      <c r="G5" s="526">
        <v>3320</v>
      </c>
      <c r="H5" s="526">
        <v>3226</v>
      </c>
      <c r="I5" s="526">
        <v>5288</v>
      </c>
      <c r="J5" s="527">
        <v>15171</v>
      </c>
      <c r="K5" s="526">
        <v>2201</v>
      </c>
      <c r="L5" s="526">
        <v>2718</v>
      </c>
      <c r="M5" s="526">
        <v>2569</v>
      </c>
      <c r="N5" s="526">
        <v>4798</v>
      </c>
      <c r="O5" s="527">
        <f>SUM(K5:N5)</f>
        <v>12286</v>
      </c>
      <c r="P5" s="526">
        <v>2889</v>
      </c>
      <c r="Q5" s="526">
        <v>3353</v>
      </c>
      <c r="R5" s="526">
        <v>3207</v>
      </c>
      <c r="S5" s="526">
        <v>5507</v>
      </c>
      <c r="T5" s="527">
        <f>SUM(P5:S5)</f>
        <v>14956</v>
      </c>
      <c r="U5" s="527">
        <v>3231</v>
      </c>
      <c r="V5" s="527">
        <v>3422</v>
      </c>
      <c r="W5" s="527">
        <v>3204</v>
      </c>
      <c r="X5" s="527">
        <v>5450</v>
      </c>
      <c r="Y5" s="527">
        <v>15347</v>
      </c>
      <c r="Z5" s="527">
        <v>2988</v>
      </c>
      <c r="AA5" s="527">
        <v>3176</v>
      </c>
      <c r="AB5" s="527">
        <v>2905</v>
      </c>
      <c r="AC5" s="527">
        <v>5154</v>
      </c>
      <c r="AD5" s="527">
        <v>14224</v>
      </c>
      <c r="AE5" s="527">
        <v>2988</v>
      </c>
      <c r="AF5" s="527">
        <v>3176</v>
      </c>
      <c r="AG5" s="527">
        <v>2905</v>
      </c>
      <c r="AH5" s="527">
        <v>5154</v>
      </c>
      <c r="AI5" s="528">
        <v>13740</v>
      </c>
      <c r="AJ5" s="511"/>
      <c r="AK5" s="511"/>
      <c r="AL5" s="511"/>
      <c r="AM5" s="511"/>
      <c r="AN5" s="527">
        <f t="shared" ref="AN5:AZ5" si="1">AN3*AN6</f>
        <v>13174.296766188567</v>
      </c>
      <c r="AO5" s="527" t="e" vm="2">
        <f t="shared" si="1"/>
        <v>#VALUE!</v>
      </c>
      <c r="AP5" s="527" t="e" vm="2">
        <f t="shared" si="1"/>
        <v>#VALUE!</v>
      </c>
      <c r="AQ5" s="527" t="e" vm="2">
        <f t="shared" si="1"/>
        <v>#VALUE!</v>
      </c>
      <c r="AR5" s="527" t="e" vm="2">
        <f t="shared" si="1"/>
        <v>#VALUE!</v>
      </c>
      <c r="AS5" s="527">
        <f t="shared" si="1"/>
        <v>12197.55659981634</v>
      </c>
      <c r="AT5" s="527" t="e" vm="2">
        <f t="shared" si="1"/>
        <v>#VALUE!</v>
      </c>
      <c r="AU5" s="527" t="e" vm="2">
        <f t="shared" si="1"/>
        <v>#VALUE!</v>
      </c>
      <c r="AV5" s="527" t="e" vm="2">
        <f t="shared" si="1"/>
        <v>#VALUE!</v>
      </c>
      <c r="AW5" s="527" t="e" vm="2">
        <f t="shared" si="1"/>
        <v>#VALUE!</v>
      </c>
      <c r="AX5" s="527">
        <f t="shared" si="1"/>
        <v>12161.456248827704</v>
      </c>
      <c r="AY5" s="527">
        <f t="shared" si="1"/>
        <v>12136.845617867324</v>
      </c>
      <c r="AZ5" s="527">
        <f t="shared" si="1"/>
        <v>12123.523142380031</v>
      </c>
      <c r="BJ5" s="516" t="s">
        <v>902</v>
      </c>
      <c r="BK5" s="516"/>
      <c r="BL5" s="516"/>
      <c r="BM5" s="516"/>
      <c r="BN5" s="516"/>
      <c r="BO5" s="516"/>
      <c r="BP5" s="516"/>
      <c r="BQ5" s="516"/>
      <c r="BR5" s="516"/>
      <c r="BS5" s="516"/>
      <c r="BT5" s="516"/>
      <c r="BU5" s="516"/>
      <c r="BV5" s="516"/>
      <c r="BW5" s="516"/>
      <c r="BX5" s="516"/>
      <c r="BY5" s="516"/>
      <c r="BZ5" s="516"/>
    </row>
    <row r="6" spans="1:78" s="535" customFormat="1">
      <c r="A6" s="543" t="s">
        <v>457</v>
      </c>
      <c r="B6" s="544"/>
      <c r="C6" s="544"/>
      <c r="D6" s="544"/>
      <c r="E6" s="545" t="s">
        <v>419</v>
      </c>
      <c r="F6" s="535">
        <f t="shared" ref="F6:AI6" si="2">F5/F3</f>
        <v>0.59354159354159353</v>
      </c>
      <c r="G6" s="544">
        <f t="shared" si="2"/>
        <v>0.57658909343522058</v>
      </c>
      <c r="H6" s="544">
        <f t="shared" si="2"/>
        <v>0.57720522454821976</v>
      </c>
      <c r="I6" s="544">
        <f t="shared" si="2"/>
        <v>0.60816561242093159</v>
      </c>
      <c r="J6" s="544">
        <f t="shared" si="2"/>
        <v>0.59891042596028576</v>
      </c>
      <c r="K6" s="544">
        <f t="shared" si="2"/>
        <v>0.38777307963354474</v>
      </c>
      <c r="L6" s="544">
        <f t="shared" si="2"/>
        <v>0.47500873820342537</v>
      </c>
      <c r="M6" s="544">
        <f t="shared" si="2"/>
        <v>0.4796489917849141</v>
      </c>
      <c r="N6" s="544">
        <f t="shared" si="2"/>
        <v>0.55940305468112395</v>
      </c>
      <c r="O6" s="544">
        <f t="shared" si="2"/>
        <v>0.67889705476045759</v>
      </c>
      <c r="P6" s="544">
        <f t="shared" si="2"/>
        <v>0.91772554002541296</v>
      </c>
      <c r="Q6" s="544">
        <f t="shared" si="2"/>
        <v>0.89965119398980409</v>
      </c>
      <c r="R6" s="544">
        <f t="shared" si="2"/>
        <v>0.76630824372759854</v>
      </c>
      <c r="S6" s="544">
        <f t="shared" si="2"/>
        <v>0.78257780304106861</v>
      </c>
      <c r="T6" s="544">
        <f t="shared" si="2"/>
        <v>0.58884208039686603</v>
      </c>
      <c r="U6" s="544" t="e">
        <f t="shared" si="2"/>
        <v>#DIV/0!</v>
      </c>
      <c r="V6" s="544" t="e">
        <f t="shared" si="2"/>
        <v>#DIV/0!</v>
      </c>
      <c r="W6" s="544" t="e">
        <f t="shared" si="2"/>
        <v>#DIV/0!</v>
      </c>
      <c r="X6" s="544" t="e">
        <f t="shared" si="2"/>
        <v>#DIV/0!</v>
      </c>
      <c r="Y6" s="544">
        <f t="shared" si="2"/>
        <v>0.60304923572635472</v>
      </c>
      <c r="Z6" s="544" t="e">
        <f t="shared" si="2"/>
        <v>#DIV/0!</v>
      </c>
      <c r="AA6" s="544" t="e">
        <f t="shared" si="2"/>
        <v>#DIV/0!</v>
      </c>
      <c r="AB6" s="544" t="e">
        <f t="shared" si="2"/>
        <v>#DIV/0!</v>
      </c>
      <c r="AC6" s="544" t="e">
        <f t="shared" si="2"/>
        <v>#DIV/0!</v>
      </c>
      <c r="AD6" s="544">
        <f t="shared" si="2"/>
        <v>0.59599430151680211</v>
      </c>
      <c r="AE6" s="544">
        <f t="shared" si="2"/>
        <v>0.57761453701913779</v>
      </c>
      <c r="AF6" s="544">
        <f t="shared" si="2"/>
        <v>0.60151515151515156</v>
      </c>
      <c r="AG6" s="544">
        <f t="shared" si="2"/>
        <v>0.57661770543866608</v>
      </c>
      <c r="AH6" s="544">
        <f t="shared" si="2"/>
        <v>0.61540298507462687</v>
      </c>
      <c r="AI6" s="544">
        <f t="shared" si="2"/>
        <v>0.59723550378162216</v>
      </c>
      <c r="AJ6" s="541"/>
      <c r="AK6" s="511"/>
      <c r="AL6" s="511"/>
      <c r="AM6" s="511"/>
      <c r="AN6" s="513">
        <v>0.61599999999999999</v>
      </c>
      <c r="AO6" s="546"/>
      <c r="AP6" s="546"/>
      <c r="AQ6" s="546"/>
      <c r="AR6" s="546"/>
      <c r="AS6" s="513">
        <v>0.61599999999999999</v>
      </c>
      <c r="AT6" s="546"/>
      <c r="AU6" s="514"/>
      <c r="AV6" s="514"/>
      <c r="AW6" s="514"/>
      <c r="AX6" s="514">
        <v>0.61599999999999999</v>
      </c>
      <c r="AY6" s="514">
        <v>0.61599999999999999</v>
      </c>
      <c r="AZ6" s="514">
        <v>0.61599999999999999</v>
      </c>
      <c r="BA6" s="515"/>
      <c r="BB6" s="515"/>
      <c r="BC6" s="515"/>
      <c r="BD6" s="515"/>
      <c r="BE6" s="515"/>
      <c r="BF6" s="515"/>
      <c r="BG6" s="515"/>
      <c r="BH6" s="515"/>
      <c r="BI6" s="515"/>
      <c r="BJ6" s="547" t="s">
        <v>903</v>
      </c>
      <c r="BK6" s="547"/>
      <c r="BL6" s="547"/>
      <c r="BM6" s="547"/>
      <c r="BN6" s="547"/>
      <c r="BO6" s="547"/>
      <c r="BP6" s="547"/>
      <c r="BQ6" s="547"/>
      <c r="BR6" s="547"/>
      <c r="BS6" s="547"/>
      <c r="BT6" s="547"/>
      <c r="BU6" s="547"/>
      <c r="BV6" s="547"/>
      <c r="BW6" s="547"/>
      <c r="BX6" s="547"/>
      <c r="BY6" s="547"/>
      <c r="BZ6" s="547"/>
    </row>
    <row r="7" spans="1:78">
      <c r="A7" s="548" t="s">
        <v>458</v>
      </c>
      <c r="B7" s="511"/>
      <c r="C7" s="511"/>
      <c r="D7" s="511"/>
      <c r="E7" s="512" t="s">
        <v>419</v>
      </c>
      <c r="F7" s="536">
        <f t="shared" ref="F7:AI7" si="3">1-F6</f>
        <v>0.40645840645840647</v>
      </c>
      <c r="G7" s="541">
        <f t="shared" si="3"/>
        <v>0.42341090656477942</v>
      </c>
      <c r="H7" s="541">
        <f t="shared" si="3"/>
        <v>0.42279477545178024</v>
      </c>
      <c r="I7" s="541">
        <f t="shared" si="3"/>
        <v>0.39183438757906841</v>
      </c>
      <c r="J7" s="541">
        <f t="shared" si="3"/>
        <v>0.40108957403971424</v>
      </c>
      <c r="K7" s="541">
        <f t="shared" si="3"/>
        <v>0.61222692036645521</v>
      </c>
      <c r="L7" s="541">
        <f t="shared" si="3"/>
        <v>0.52499126179657463</v>
      </c>
      <c r="M7" s="541">
        <f t="shared" si="3"/>
        <v>0.52035100821508595</v>
      </c>
      <c r="N7" s="541">
        <f t="shared" si="3"/>
        <v>0.44059694531887605</v>
      </c>
      <c r="O7" s="541">
        <f t="shared" si="3"/>
        <v>0.32110294523954241</v>
      </c>
      <c r="P7" s="541">
        <f t="shared" si="3"/>
        <v>8.2274459974587044E-2</v>
      </c>
      <c r="Q7" s="541">
        <f t="shared" si="3"/>
        <v>0.10034880601019591</v>
      </c>
      <c r="R7" s="541">
        <f t="shared" si="3"/>
        <v>0.23369175627240146</v>
      </c>
      <c r="S7" s="541">
        <f t="shared" si="3"/>
        <v>0.21742219695893139</v>
      </c>
      <c r="T7" s="541">
        <f t="shared" si="3"/>
        <v>0.41115791960313397</v>
      </c>
      <c r="U7" s="541" t="e">
        <f t="shared" si="3"/>
        <v>#DIV/0!</v>
      </c>
      <c r="V7" s="541" t="e">
        <f t="shared" si="3"/>
        <v>#DIV/0!</v>
      </c>
      <c r="W7" s="541" t="e">
        <f t="shared" si="3"/>
        <v>#DIV/0!</v>
      </c>
      <c r="X7" s="541" t="e">
        <f t="shared" si="3"/>
        <v>#DIV/0!</v>
      </c>
      <c r="Y7" s="541">
        <f t="shared" si="3"/>
        <v>0.39695076427364528</v>
      </c>
      <c r="Z7" s="541" t="e">
        <f t="shared" si="3"/>
        <v>#DIV/0!</v>
      </c>
      <c r="AA7" s="541" t="e">
        <f t="shared" si="3"/>
        <v>#DIV/0!</v>
      </c>
      <c r="AB7" s="541" t="e">
        <f t="shared" si="3"/>
        <v>#DIV/0!</v>
      </c>
      <c r="AC7" s="541" t="e">
        <f t="shared" si="3"/>
        <v>#DIV/0!</v>
      </c>
      <c r="AD7" s="541">
        <f t="shared" si="3"/>
        <v>0.40400569848319789</v>
      </c>
      <c r="AE7" s="541">
        <f t="shared" si="3"/>
        <v>0.42238546298086221</v>
      </c>
      <c r="AF7" s="541">
        <f t="shared" si="3"/>
        <v>0.39848484848484844</v>
      </c>
      <c r="AG7" s="541">
        <f t="shared" si="3"/>
        <v>0.42338229456133392</v>
      </c>
      <c r="AH7" s="541">
        <f t="shared" si="3"/>
        <v>0.38459701492537313</v>
      </c>
      <c r="AI7" s="541">
        <f t="shared" si="3"/>
        <v>0.40276449621837784</v>
      </c>
      <c r="AJ7" s="511"/>
      <c r="AK7" s="511"/>
      <c r="AL7" s="511"/>
      <c r="AM7" s="511"/>
      <c r="AN7" s="513">
        <v>0.4</v>
      </c>
      <c r="AO7" s="514"/>
      <c r="AP7" s="514"/>
      <c r="AQ7" s="514"/>
      <c r="AR7" s="514"/>
      <c r="AS7" s="513">
        <v>0.4</v>
      </c>
      <c r="AT7" s="514"/>
      <c r="AU7" s="514"/>
      <c r="AV7" s="514"/>
      <c r="AW7" s="514"/>
      <c r="AX7" s="514">
        <v>0.4</v>
      </c>
      <c r="AY7" s="514">
        <v>0.4</v>
      </c>
      <c r="AZ7" s="514">
        <v>0.4</v>
      </c>
      <c r="BJ7" s="516" t="s">
        <v>904</v>
      </c>
      <c r="BK7" s="516"/>
      <c r="BL7" s="516"/>
      <c r="BM7" s="516"/>
      <c r="BN7" s="516"/>
      <c r="BO7" s="516"/>
      <c r="BP7" s="516"/>
      <c r="BQ7" s="516"/>
      <c r="BR7" s="516"/>
      <c r="BS7" s="516"/>
      <c r="BT7" s="516"/>
      <c r="BU7" s="516"/>
      <c r="BV7" s="516"/>
      <c r="BW7" s="516"/>
      <c r="BX7" s="516"/>
      <c r="BY7" s="516"/>
      <c r="BZ7" s="516"/>
    </row>
    <row r="8" spans="1:78">
      <c r="A8" s="511"/>
      <c r="B8" s="511"/>
      <c r="C8" s="511"/>
      <c r="D8" s="511"/>
      <c r="E8" s="512"/>
      <c r="G8" s="511"/>
      <c r="H8" s="511"/>
      <c r="I8" s="511"/>
      <c r="J8" s="511"/>
      <c r="K8" s="511"/>
      <c r="L8" s="511"/>
      <c r="M8" s="511"/>
      <c r="N8" s="511"/>
      <c r="O8" s="511"/>
      <c r="P8" s="511"/>
      <c r="Q8" s="511"/>
      <c r="R8" s="511"/>
      <c r="S8" s="511"/>
      <c r="T8" s="511"/>
      <c r="U8" s="511"/>
      <c r="V8" s="511"/>
      <c r="W8" s="511"/>
      <c r="X8" s="511"/>
      <c r="Y8" s="511"/>
      <c r="Z8" s="511"/>
      <c r="AA8" s="511"/>
      <c r="AB8" s="511"/>
      <c r="AC8" s="511"/>
      <c r="AD8" s="511"/>
      <c r="AE8" s="511"/>
      <c r="AF8" s="511"/>
      <c r="AG8" s="511"/>
      <c r="AH8" s="511"/>
      <c r="AI8" s="511"/>
      <c r="AJ8" s="511"/>
      <c r="AK8" s="511"/>
      <c r="AL8" s="511"/>
      <c r="AM8" s="511"/>
      <c r="AO8" s="511"/>
      <c r="AP8" s="511"/>
      <c r="AQ8" s="511"/>
      <c r="AR8" s="511"/>
      <c r="AT8" s="511"/>
      <c r="AU8" s="511"/>
      <c r="AV8" s="511"/>
      <c r="AW8" s="511"/>
      <c r="AX8" s="511"/>
      <c r="AY8" s="511"/>
      <c r="AZ8" s="511"/>
      <c r="BJ8" s="516" t="s">
        <v>905</v>
      </c>
      <c r="BK8" s="516"/>
      <c r="BL8" s="516"/>
      <c r="BM8" s="516"/>
      <c r="BN8" s="516"/>
      <c r="BO8" s="516"/>
      <c r="BP8" s="516"/>
      <c r="BQ8" s="516"/>
      <c r="BR8" s="516"/>
      <c r="BS8" s="516"/>
      <c r="BT8" s="516"/>
      <c r="BU8" s="516"/>
      <c r="BV8" s="516"/>
      <c r="BW8" s="516"/>
      <c r="BX8" s="516"/>
      <c r="BY8" s="516"/>
      <c r="BZ8" s="516"/>
    </row>
    <row r="9" spans="1:78">
      <c r="A9" s="531" t="s">
        <v>459</v>
      </c>
      <c r="B9" s="511"/>
      <c r="C9" s="511"/>
      <c r="D9" s="511"/>
      <c r="E9" s="512"/>
      <c r="G9" s="511"/>
      <c r="H9" s="511"/>
      <c r="I9" s="511"/>
      <c r="J9" s="511"/>
      <c r="K9" s="511"/>
      <c r="L9" s="511"/>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511"/>
      <c r="AM9" s="511"/>
      <c r="AO9" s="511"/>
      <c r="AP9" s="511"/>
      <c r="AQ9" s="511"/>
      <c r="AR9" s="511"/>
      <c r="AT9" s="511"/>
      <c r="AU9" s="511"/>
      <c r="AV9" s="511"/>
      <c r="AW9" s="511"/>
      <c r="AX9" s="511"/>
      <c r="AY9" s="511"/>
      <c r="AZ9" s="511"/>
      <c r="BJ9" s="516" t="s">
        <v>906</v>
      </c>
      <c r="BK9" s="516"/>
      <c r="BL9" s="516"/>
      <c r="BM9" s="516"/>
      <c r="BN9" s="516"/>
      <c r="BO9" s="516"/>
      <c r="BP9" s="516"/>
      <c r="BQ9" s="516"/>
      <c r="BR9" s="516"/>
      <c r="BS9" s="516"/>
      <c r="BT9" s="516"/>
      <c r="BU9" s="516"/>
      <c r="BV9" s="516"/>
      <c r="BW9" s="516"/>
      <c r="BX9" s="516"/>
      <c r="BY9" s="516"/>
      <c r="BZ9" s="516"/>
    </row>
    <row r="10" spans="1:78">
      <c r="A10" s="532" t="s">
        <v>460</v>
      </c>
      <c r="B10" s="511"/>
      <c r="C10" s="511"/>
      <c r="D10" s="511"/>
      <c r="E10" s="512"/>
      <c r="F10" s="525">
        <v>2072</v>
      </c>
      <c r="G10" s="526">
        <v>2153</v>
      </c>
      <c r="H10" s="526">
        <v>2246</v>
      </c>
      <c r="I10" s="526">
        <v>2530</v>
      </c>
      <c r="J10" s="527">
        <f>SUM(F10:I10)</f>
        <v>9001</v>
      </c>
      <c r="K10" s="526">
        <v>2105</v>
      </c>
      <c r="L10" s="526">
        <v>2169</v>
      </c>
      <c r="M10" s="526">
        <v>2194</v>
      </c>
      <c r="N10" s="526">
        <v>2501</v>
      </c>
      <c r="O10" s="527">
        <f>SUM(K10:N10)</f>
        <v>8969</v>
      </c>
      <c r="P10" s="526">
        <v>1589</v>
      </c>
      <c r="Q10" s="526">
        <v>1386</v>
      </c>
      <c r="R10" s="526">
        <v>1710</v>
      </c>
      <c r="S10" s="526">
        <v>2027</v>
      </c>
      <c r="T10" s="527">
        <v>6713</v>
      </c>
      <c r="U10" s="526">
        <v>1733</v>
      </c>
      <c r="V10" s="526">
        <v>1881</v>
      </c>
      <c r="W10" s="526">
        <v>1956</v>
      </c>
      <c r="X10" s="526">
        <v>2412</v>
      </c>
      <c r="Y10" s="527">
        <f>SUM(U10:X10)</f>
        <v>7982</v>
      </c>
      <c r="Z10" s="527">
        <v>1898</v>
      </c>
      <c r="AA10" s="527">
        <v>2004</v>
      </c>
      <c r="AB10" s="527">
        <v>2081</v>
      </c>
      <c r="AC10" s="527">
        <v>2457</v>
      </c>
      <c r="AD10" s="527">
        <f>SUM(Z10:AC10)</f>
        <v>8440</v>
      </c>
      <c r="AE10" s="527">
        <v>1946</v>
      </c>
      <c r="AF10" s="527">
        <v>1976</v>
      </c>
      <c r="AG10" s="527">
        <v>2038</v>
      </c>
      <c r="AH10" s="527">
        <v>2404</v>
      </c>
      <c r="AI10" s="528">
        <f>SUM(AE10:AH10)</f>
        <v>8364</v>
      </c>
      <c r="AJ10" s="511"/>
      <c r="AK10" s="511"/>
      <c r="AL10" s="511"/>
      <c r="AM10" s="511"/>
      <c r="AN10" s="527">
        <f>AN3*AN11</f>
        <v>8233.9354788678556</v>
      </c>
      <c r="AO10" s="527"/>
      <c r="AP10" s="527"/>
      <c r="AQ10" s="527"/>
      <c r="AR10" s="527"/>
      <c r="AS10" s="527">
        <f>AS3*AS11</f>
        <v>7821.4851573497644</v>
      </c>
      <c r="AT10" s="527"/>
      <c r="AU10" s="527"/>
      <c r="AV10" s="527"/>
      <c r="AW10" s="527"/>
      <c r="AX10" s="527">
        <f>AX3*AX11</f>
        <v>7995.7626311286049</v>
      </c>
      <c r="AY10" s="527">
        <f>AY3*AY11</f>
        <v>8176.6086548943813</v>
      </c>
      <c r="AZ10" s="527">
        <f>AZ3*AZ11</f>
        <v>8167.6332858566766</v>
      </c>
      <c r="BJ10" s="516" t="s">
        <v>907</v>
      </c>
      <c r="BK10" s="516"/>
      <c r="BL10" s="516"/>
      <c r="BM10" s="516"/>
      <c r="BN10" s="516"/>
      <c r="BO10" s="516"/>
      <c r="BP10" s="516"/>
      <c r="BQ10" s="516"/>
      <c r="BR10" s="516"/>
      <c r="BS10" s="516"/>
      <c r="BT10" s="516"/>
      <c r="BU10" s="516"/>
      <c r="BV10" s="516"/>
      <c r="BW10" s="516"/>
      <c r="BX10" s="516"/>
      <c r="BY10" s="516"/>
      <c r="BZ10" s="516"/>
    </row>
    <row r="11" spans="1:78">
      <c r="A11" s="510" t="s">
        <v>908</v>
      </c>
      <c r="B11" s="511"/>
      <c r="C11" s="511"/>
      <c r="D11" s="511"/>
      <c r="E11" s="512"/>
      <c r="F11" s="523" t="e" vm="1">
        <v>#VALUE!</v>
      </c>
      <c r="G11" s="524"/>
      <c r="H11" s="524"/>
      <c r="I11" s="524"/>
      <c r="J11" s="524">
        <f>J10/J3</f>
        <v>0.35533535983577436</v>
      </c>
      <c r="K11" s="524" t="e" vm="1">
        <v>#VALUE!</v>
      </c>
      <c r="L11" s="524"/>
      <c r="M11" s="524"/>
      <c r="N11" s="524"/>
      <c r="O11" s="524">
        <f>O10/O3</f>
        <v>0.49560700668619107</v>
      </c>
      <c r="P11" s="524"/>
      <c r="Q11" s="524"/>
      <c r="R11" s="524"/>
      <c r="S11" s="524"/>
      <c r="T11" s="524">
        <f>T10/T3</f>
        <v>0.26430174416315605</v>
      </c>
      <c r="U11" s="524"/>
      <c r="V11" s="524"/>
      <c r="W11" s="524"/>
      <c r="X11" s="524"/>
      <c r="Y11" s="524">
        <f>Y10/Y3</f>
        <v>0.31364690164643011</v>
      </c>
      <c r="Z11" s="524"/>
      <c r="AA11" s="524"/>
      <c r="AB11" s="524"/>
      <c r="AC11" s="524"/>
      <c r="AD11" s="524">
        <f>AD10/AD3</f>
        <v>0.35364116316098215</v>
      </c>
      <c r="AE11" s="524"/>
      <c r="AF11" s="524"/>
      <c r="AG11" s="524"/>
      <c r="AH11" s="524"/>
      <c r="AI11" s="524">
        <f>AI10/AI3</f>
        <v>0.36355733286968617</v>
      </c>
      <c r="AJ11" s="511"/>
      <c r="AK11" s="511"/>
      <c r="AL11" s="511"/>
      <c r="AM11" s="511"/>
      <c r="AN11" s="513">
        <v>0.38500000000000001</v>
      </c>
      <c r="AO11" s="514"/>
      <c r="AP11" s="514"/>
      <c r="AQ11" s="514"/>
      <c r="AR11" s="514"/>
      <c r="AS11" s="513">
        <v>0.39500000000000002</v>
      </c>
      <c r="AT11" s="514"/>
      <c r="AU11" s="514"/>
      <c r="AV11" s="514"/>
      <c r="AW11" s="514"/>
      <c r="AX11" s="514">
        <v>0.40500000000000003</v>
      </c>
      <c r="AY11" s="514">
        <v>0.41499999999999998</v>
      </c>
      <c r="AZ11" s="514">
        <v>0.41499999999999998</v>
      </c>
      <c r="BJ11" s="516" t="s">
        <v>909</v>
      </c>
      <c r="BK11" s="516"/>
      <c r="BL11" s="516"/>
      <c r="BM11" s="516"/>
      <c r="BN11" s="516"/>
      <c r="BO11" s="516"/>
      <c r="BP11" s="516"/>
      <c r="BQ11" s="516"/>
      <c r="BR11" s="516"/>
      <c r="BS11" s="516"/>
      <c r="BT11" s="516"/>
      <c r="BU11" s="516"/>
      <c r="BV11" s="516"/>
      <c r="BW11" s="516"/>
      <c r="BX11" s="516"/>
      <c r="BY11" s="516"/>
      <c r="BZ11" s="516"/>
    </row>
    <row r="12" spans="1:78">
      <c r="A12" s="517" t="s">
        <v>461</v>
      </c>
      <c r="B12" s="511"/>
      <c r="C12" s="511"/>
      <c r="D12" s="511"/>
      <c r="E12" s="512"/>
      <c r="F12" s="525" t="s">
        <v>47</v>
      </c>
      <c r="G12" s="526" t="s">
        <v>47</v>
      </c>
      <c r="H12" s="526" t="s">
        <v>47</v>
      </c>
      <c r="I12" s="526">
        <v>-8</v>
      </c>
      <c r="J12" s="527">
        <f>SUM(F12:I12)</f>
        <v>-8</v>
      </c>
      <c r="K12" s="526">
        <v>1</v>
      </c>
      <c r="L12" s="526">
        <v>1</v>
      </c>
      <c r="M12" s="526">
        <v>8</v>
      </c>
      <c r="N12" s="526">
        <v>-10</v>
      </c>
      <c r="O12" s="527">
        <f>SUM(K12:N12)</f>
        <v>0</v>
      </c>
      <c r="P12" s="526">
        <v>9</v>
      </c>
      <c r="Q12" s="526">
        <v>58</v>
      </c>
      <c r="R12" s="526">
        <v>12</v>
      </c>
      <c r="S12" s="526">
        <v>-79</v>
      </c>
      <c r="T12" s="527" t="s">
        <v>47</v>
      </c>
      <c r="U12" s="526" t="s">
        <v>47</v>
      </c>
      <c r="V12" s="526" t="s">
        <v>47</v>
      </c>
      <c r="W12" s="526" t="s">
        <v>47</v>
      </c>
      <c r="X12" s="526">
        <v>21</v>
      </c>
      <c r="Y12" s="527">
        <f>SUM(U12:X12)</f>
        <v>21</v>
      </c>
      <c r="Z12" s="527" t="s">
        <v>47</v>
      </c>
      <c r="AA12" s="527" t="s">
        <v>47</v>
      </c>
      <c r="AB12" s="527" t="s">
        <v>47</v>
      </c>
      <c r="AC12" s="527">
        <v>21</v>
      </c>
      <c r="AD12" s="527">
        <f>SUM(Z12:AC12)</f>
        <v>21</v>
      </c>
      <c r="AE12" s="527" t="s">
        <v>47</v>
      </c>
      <c r="AF12" s="527" t="s">
        <v>47</v>
      </c>
      <c r="AG12" s="527" t="s">
        <v>47</v>
      </c>
      <c r="AH12" s="527">
        <v>15</v>
      </c>
      <c r="AI12" s="528">
        <v>15</v>
      </c>
      <c r="AJ12" s="511"/>
      <c r="AK12" s="511"/>
      <c r="AL12" s="511"/>
      <c r="AM12" s="511"/>
      <c r="AN12" s="518">
        <v>15</v>
      </c>
      <c r="AO12" s="519"/>
      <c r="AP12" s="519"/>
      <c r="AQ12" s="519"/>
      <c r="AR12" s="519"/>
      <c r="AS12" s="518">
        <v>15</v>
      </c>
      <c r="AT12" s="519"/>
      <c r="AU12" s="519"/>
      <c r="AV12" s="519"/>
      <c r="AW12" s="519"/>
      <c r="AX12" s="520">
        <v>15</v>
      </c>
      <c r="AY12" s="520">
        <v>15</v>
      </c>
      <c r="AZ12" s="520">
        <v>15</v>
      </c>
      <c r="BJ12" s="516" t="s">
        <v>910</v>
      </c>
      <c r="BK12" s="516"/>
      <c r="BL12" s="516"/>
      <c r="BM12" s="516"/>
      <c r="BN12" s="516"/>
      <c r="BO12" s="516"/>
      <c r="BP12" s="516"/>
      <c r="BQ12" s="516"/>
      <c r="BR12" s="516"/>
      <c r="BS12" s="516"/>
      <c r="BT12" s="516"/>
      <c r="BU12" s="516"/>
      <c r="BV12" s="516"/>
      <c r="BW12" s="516"/>
      <c r="BX12" s="516"/>
      <c r="BY12" s="516"/>
      <c r="BZ12" s="516"/>
    </row>
    <row r="13" spans="1:78" ht="12.4" thickBot="1">
      <c r="A13" s="521" t="s">
        <v>462</v>
      </c>
      <c r="B13" s="511"/>
      <c r="C13" s="511"/>
      <c r="D13" s="511"/>
      <c r="E13" s="512"/>
      <c r="F13" s="529"/>
      <c r="G13" s="530"/>
      <c r="H13" s="530"/>
      <c r="I13" s="530"/>
      <c r="J13" s="527">
        <v>1142</v>
      </c>
      <c r="K13" s="530"/>
      <c r="L13" s="530"/>
      <c r="M13" s="530"/>
      <c r="N13" s="530"/>
      <c r="O13" s="527">
        <v>818</v>
      </c>
      <c r="P13" s="527"/>
      <c r="Q13" s="527"/>
      <c r="R13" s="527"/>
      <c r="S13" s="527"/>
      <c r="T13" s="527">
        <v>1177</v>
      </c>
      <c r="U13" s="527"/>
      <c r="V13" s="527"/>
      <c r="W13" s="527"/>
      <c r="X13" s="527"/>
      <c r="Y13" s="527">
        <v>1163</v>
      </c>
      <c r="Z13" s="527"/>
      <c r="AA13" s="527"/>
      <c r="AB13" s="527"/>
      <c r="AC13" s="527"/>
      <c r="AD13" s="527">
        <v>1107</v>
      </c>
      <c r="AE13" s="527"/>
      <c r="AF13" s="527"/>
      <c r="AG13" s="527"/>
      <c r="AH13" s="527"/>
      <c r="AI13" s="527">
        <v>1102</v>
      </c>
      <c r="AJ13" s="511"/>
      <c r="AK13" s="511"/>
      <c r="AL13" s="511"/>
      <c r="AM13" s="511"/>
      <c r="AN13" s="560">
        <v>1100</v>
      </c>
      <c r="AO13" s="561"/>
      <c r="AP13" s="561"/>
      <c r="AQ13" s="561"/>
      <c r="AR13" s="561"/>
      <c r="AS13" s="560">
        <v>1100</v>
      </c>
      <c r="AT13" s="561"/>
      <c r="AU13" s="561"/>
      <c r="AV13" s="561"/>
      <c r="AW13" s="561"/>
      <c r="AX13" s="561">
        <v>1100</v>
      </c>
      <c r="AY13" s="561">
        <v>1100</v>
      </c>
      <c r="AZ13" s="561">
        <v>1100</v>
      </c>
      <c r="BJ13" s="516" t="s">
        <v>911</v>
      </c>
      <c r="BK13" s="516"/>
      <c r="BL13" s="516"/>
      <c r="BM13" s="516"/>
      <c r="BN13" s="516"/>
      <c r="BO13" s="516"/>
      <c r="BP13" s="516"/>
      <c r="BQ13" s="516"/>
      <c r="BR13" s="516"/>
      <c r="BS13" s="516"/>
      <c r="BT13" s="516"/>
      <c r="BU13" s="516"/>
      <c r="BV13" s="516"/>
      <c r="BW13" s="516"/>
      <c r="BX13" s="516"/>
      <c r="BY13" s="516"/>
      <c r="BZ13" s="516"/>
    </row>
    <row r="14" spans="1:78" s="568" customFormat="1" ht="12.4" thickBot="1">
      <c r="A14" s="562" t="s">
        <v>912</v>
      </c>
      <c r="B14" s="563"/>
      <c r="C14" s="563"/>
      <c r="D14" s="563"/>
      <c r="E14" s="564"/>
      <c r="F14" s="565"/>
      <c r="G14" s="566"/>
      <c r="H14" s="566"/>
      <c r="I14" s="566"/>
      <c r="J14" s="567">
        <f>SUM(J10,J12,J13)</f>
        <v>10135</v>
      </c>
      <c r="K14" s="566"/>
      <c r="L14" s="566"/>
      <c r="M14" s="566"/>
      <c r="N14" s="566"/>
      <c r="O14" s="567">
        <f>SUM(O10,O12,O13)</f>
        <v>9787</v>
      </c>
      <c r="P14" s="566"/>
      <c r="Q14" s="566"/>
      <c r="R14" s="566"/>
      <c r="S14" s="566"/>
      <c r="T14" s="567">
        <f>SUM(T10,T12,T13)</f>
        <v>7890</v>
      </c>
      <c r="U14" s="566"/>
      <c r="V14" s="566"/>
      <c r="W14" s="566"/>
      <c r="X14" s="566"/>
      <c r="Y14" s="567">
        <f>SUM(Y10,Y12,Y13)</f>
        <v>9166</v>
      </c>
      <c r="Z14" s="566"/>
      <c r="AA14" s="566"/>
      <c r="AB14" s="566"/>
      <c r="AC14" s="566"/>
      <c r="AD14" s="567">
        <f>SUM(AD10,AD12,AD13)</f>
        <v>9568</v>
      </c>
      <c r="AE14" s="566"/>
      <c r="AF14" s="566"/>
      <c r="AG14" s="566"/>
      <c r="AH14" s="566"/>
      <c r="AI14" s="567">
        <f>SUM(AI10,AI12,AI13)</f>
        <v>9481</v>
      </c>
      <c r="AJ14" s="563"/>
      <c r="AK14" s="563"/>
      <c r="AL14" s="563"/>
      <c r="AM14" s="563"/>
      <c r="AN14" s="567">
        <f>SUM(AN10,AN12,AN13)</f>
        <v>9348.9354788678556</v>
      </c>
      <c r="AO14" s="565"/>
      <c r="AP14" s="565"/>
      <c r="AQ14" s="565"/>
      <c r="AR14" s="565"/>
      <c r="AS14" s="567">
        <f>SUM(AS10,AS12,AS13)</f>
        <v>8936.4851573497654</v>
      </c>
      <c r="AT14" s="565"/>
      <c r="AU14" s="565"/>
      <c r="AV14" s="565"/>
      <c r="AW14" s="565"/>
      <c r="AX14" s="567">
        <f>SUM(AX10,AX12,AX13)</f>
        <v>9110.762631128604</v>
      </c>
      <c r="AY14" s="567">
        <f>SUM(AY10,AY12,AY13)</f>
        <v>9291.6086548943822</v>
      </c>
      <c r="AZ14" s="567">
        <f>SUM(AZ10,AZ12,AZ13)</f>
        <v>9282.6332858566766</v>
      </c>
    </row>
    <row r="15" spans="1:78" ht="11" customHeight="1">
      <c r="A15" s="549" t="s">
        <v>463</v>
      </c>
      <c r="B15" s="549"/>
      <c r="C15" s="549"/>
      <c r="D15" s="549"/>
      <c r="E15" s="550"/>
      <c r="F15" s="550"/>
      <c r="G15" s="550"/>
      <c r="H15" s="550"/>
      <c r="I15" s="550"/>
      <c r="J15" s="550"/>
      <c r="K15" s="550"/>
      <c r="L15" s="550"/>
      <c r="M15" s="550"/>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Q15" s="550"/>
      <c r="AR15" s="550"/>
      <c r="AS15" s="550"/>
      <c r="AT15" s="550"/>
      <c r="AU15" s="550"/>
      <c r="AV15" s="550"/>
      <c r="AW15" s="550"/>
      <c r="AX15" s="550"/>
      <c r="AY15" s="550"/>
      <c r="AZ15" s="550"/>
      <c r="BJ15" s="723" t="s">
        <v>913</v>
      </c>
      <c r="BK15" s="569"/>
      <c r="BL15" s="569"/>
      <c r="BM15" s="569"/>
      <c r="BN15" s="569"/>
      <c r="BO15" s="569"/>
      <c r="BP15" s="724"/>
    </row>
    <row r="16" spans="1:78">
      <c r="AX16" s="515"/>
      <c r="AY16" s="515"/>
      <c r="BJ16" s="570"/>
      <c r="BK16" s="571" t="s">
        <v>540</v>
      </c>
      <c r="BL16" s="571" t="s">
        <v>541</v>
      </c>
      <c r="BP16" s="572"/>
      <c r="BR16" s="723" t="s">
        <v>914</v>
      </c>
      <c r="BS16" s="569"/>
      <c r="BT16" s="569"/>
      <c r="BU16" s="724"/>
    </row>
    <row r="17" spans="1:74">
      <c r="A17" s="573" t="s">
        <v>488</v>
      </c>
      <c r="C17" s="574"/>
      <c r="D17" s="574"/>
      <c r="E17" s="574"/>
      <c r="F17" s="574"/>
      <c r="G17" s="574"/>
      <c r="H17" s="574"/>
      <c r="I17" s="574"/>
      <c r="J17" s="574"/>
      <c r="K17" s="574"/>
      <c r="L17" s="574"/>
      <c r="M17" s="574"/>
      <c r="N17" s="574"/>
      <c r="O17" s="574"/>
      <c r="P17" s="574"/>
      <c r="Q17" s="574"/>
      <c r="R17" s="574"/>
      <c r="S17" s="574"/>
      <c r="T17" s="574"/>
      <c r="U17" s="574"/>
      <c r="V17" s="574"/>
      <c r="W17" s="574"/>
      <c r="X17" s="574"/>
      <c r="Y17" s="574"/>
      <c r="Z17" s="574"/>
      <c r="AA17" s="574"/>
      <c r="AB17" s="574"/>
      <c r="AC17" s="574"/>
      <c r="AD17" s="574"/>
      <c r="AE17" s="574"/>
      <c r="AF17" s="574"/>
      <c r="AG17" s="574"/>
      <c r="AH17" s="574"/>
      <c r="AI17" s="574"/>
      <c r="AJ17" s="574"/>
      <c r="AK17" s="574"/>
      <c r="AL17" s="574"/>
      <c r="AM17" s="574"/>
      <c r="AN17" s="574"/>
      <c r="AO17" s="574"/>
      <c r="AP17" s="574"/>
      <c r="AQ17" s="574"/>
      <c r="AR17" s="574"/>
      <c r="AS17" s="574"/>
      <c r="AX17" s="515"/>
      <c r="AY17" s="515"/>
      <c r="BJ17" s="570" t="s">
        <v>543</v>
      </c>
      <c r="BK17" s="536">
        <v>-1.2999999999999999E-2</v>
      </c>
      <c r="BL17" s="575">
        <v>0.81787350421605376</v>
      </c>
      <c r="BM17" s="575">
        <f>BK17*BL17</f>
        <v>-1.0632355554808699E-2</v>
      </c>
      <c r="BP17" s="572"/>
      <c r="BR17" s="570"/>
      <c r="BS17" s="522">
        <v>2022</v>
      </c>
      <c r="BT17" s="522">
        <v>2023</v>
      </c>
      <c r="BU17" s="576">
        <v>2024</v>
      </c>
    </row>
    <row r="18" spans="1:74">
      <c r="A18" s="577" t="s">
        <v>552</v>
      </c>
      <c r="C18" s="574"/>
      <c r="D18" s="574"/>
      <c r="E18" s="574"/>
      <c r="F18" s="574"/>
      <c r="G18" s="574"/>
      <c r="H18" s="574"/>
      <c r="I18" s="574"/>
      <c r="J18" s="574"/>
      <c r="K18" s="574"/>
      <c r="L18" s="574"/>
      <c r="M18" s="574"/>
      <c r="N18" s="574"/>
      <c r="O18" s="574"/>
      <c r="P18" s="574"/>
      <c r="Q18" s="574"/>
      <c r="R18" s="574"/>
      <c r="S18" s="574"/>
      <c r="T18" s="574"/>
      <c r="U18" s="574"/>
      <c r="V18" s="574"/>
      <c r="W18" s="574"/>
      <c r="X18" s="574"/>
      <c r="Y18" s="574"/>
      <c r="Z18" s="574"/>
      <c r="AA18" s="574"/>
      <c r="AB18" s="574"/>
      <c r="AC18" s="574"/>
      <c r="AD18" s="574"/>
      <c r="AE18" s="574"/>
      <c r="AF18" s="574"/>
      <c r="AG18" s="574"/>
      <c r="AH18" s="574"/>
      <c r="AI18" s="574">
        <f>BL17*$AI$21</f>
        <v>18232.854029488488</v>
      </c>
      <c r="AJ18" s="574"/>
      <c r="AK18" s="574"/>
      <c r="AL18" s="574"/>
      <c r="AM18" s="574"/>
      <c r="AN18" s="574">
        <f t="shared" ref="AN18:AR20" si="4">AI18*(1+$BK17)*BL24/BK24</f>
        <v>15996.290601871231</v>
      </c>
      <c r="AO18" s="574">
        <f t="shared" si="4"/>
        <v>0</v>
      </c>
      <c r="AP18" s="574">
        <f t="shared" si="4"/>
        <v>0</v>
      </c>
      <c r="AQ18" s="574">
        <f t="shared" si="4"/>
        <v>0</v>
      </c>
      <c r="AR18" s="574">
        <f t="shared" si="4"/>
        <v>0</v>
      </c>
      <c r="AS18" s="574">
        <f>AN18*(1+$BK17)*BM24/BL24</f>
        <v>13814.796471041043</v>
      </c>
      <c r="AT18" s="574" t="e">
        <f t="shared" ref="AT18:AW20" si="5">AO18*(1+$BK17)*BR24/BQ24</f>
        <v>#VALUE!</v>
      </c>
      <c r="AU18" s="574" t="e">
        <f t="shared" si="5"/>
        <v>#DIV/0!</v>
      </c>
      <c r="AV18" s="574" t="e">
        <f t="shared" si="5"/>
        <v>#DIV/0!</v>
      </c>
      <c r="AW18" s="574" t="e">
        <f t="shared" si="5"/>
        <v>#DIV/0!</v>
      </c>
      <c r="AX18" s="574">
        <f>AS18*(1+$BK17)*BN24/BM24</f>
        <v>13635.20411691751</v>
      </c>
      <c r="AY18" s="574">
        <f t="shared" ref="AY18:AZ20" si="6">AX18*(1+$BK17)*BO24/BN24</f>
        <v>13457.946463397582</v>
      </c>
      <c r="AZ18" s="574">
        <f t="shared" si="6"/>
        <v>13282.993159373413</v>
      </c>
      <c r="BJ18" s="570" t="s">
        <v>544</v>
      </c>
      <c r="BK18" s="536">
        <v>2.5000000000000001E-2</v>
      </c>
      <c r="BL18" s="575">
        <v>0.17684824671005567</v>
      </c>
      <c r="BM18" s="575">
        <f>BK18*BL18</f>
        <v>4.4212061677513922E-3</v>
      </c>
      <c r="BP18" s="572"/>
      <c r="BR18" s="570" t="s">
        <v>915</v>
      </c>
      <c r="BS18" s="575">
        <f>Y22/T22-1</f>
        <v>7.24174653887113E-2</v>
      </c>
      <c r="BT18" s="575">
        <f>AD22/Y22-1</f>
        <v>-0.2313803376365442</v>
      </c>
      <c r="BU18" s="578">
        <f>AI22/AD22-1</f>
        <v>-7.8811369509043883E-2</v>
      </c>
    </row>
    <row r="19" spans="1:74">
      <c r="A19" s="577" t="s">
        <v>553</v>
      </c>
      <c r="C19" s="574"/>
      <c r="D19" s="574"/>
      <c r="E19" s="574"/>
      <c r="F19" s="574"/>
      <c r="G19" s="574"/>
      <c r="H19" s="574"/>
      <c r="I19" s="574"/>
      <c r="J19" s="574"/>
      <c r="K19" s="574"/>
      <c r="L19" s="574"/>
      <c r="M19" s="574"/>
      <c r="N19" s="574"/>
      <c r="O19" s="574"/>
      <c r="P19" s="574"/>
      <c r="Q19" s="574"/>
      <c r="R19" s="574"/>
      <c r="S19" s="574"/>
      <c r="T19" s="574"/>
      <c r="U19" s="574"/>
      <c r="V19" s="574"/>
      <c r="W19" s="574"/>
      <c r="X19" s="574"/>
      <c r="Y19" s="574"/>
      <c r="Z19" s="574"/>
      <c r="AA19" s="574"/>
      <c r="AB19" s="574"/>
      <c r="AC19" s="574"/>
      <c r="AD19" s="574"/>
      <c r="AE19" s="574"/>
      <c r="AF19" s="574"/>
      <c r="AG19" s="574"/>
      <c r="AH19" s="574"/>
      <c r="AI19" s="574">
        <f>BL18*$AI$21</f>
        <v>3942.4779639072708</v>
      </c>
      <c r="AJ19" s="574"/>
      <c r="AK19" s="574"/>
      <c r="AL19" s="574"/>
      <c r="AM19" s="574"/>
      <c r="AN19" s="574">
        <f t="shared" si="4"/>
        <v>4588.9775283276576</v>
      </c>
      <c r="AO19" s="574">
        <f t="shared" si="4"/>
        <v>0</v>
      </c>
      <c r="AP19" s="574">
        <f t="shared" si="4"/>
        <v>0</v>
      </c>
      <c r="AQ19" s="574">
        <f t="shared" si="4"/>
        <v>0</v>
      </c>
      <c r="AR19" s="574">
        <f t="shared" si="4"/>
        <v>0</v>
      </c>
      <c r="AS19" s="574">
        <f>AN19*(1+$BK18)*BM25/BL25</f>
        <v>5195.1335152783995</v>
      </c>
      <c r="AT19" s="574" t="e">
        <f t="shared" si="5"/>
        <v>#VALUE!</v>
      </c>
      <c r="AU19" s="574" t="e">
        <f t="shared" si="5"/>
        <v>#DIV/0!</v>
      </c>
      <c r="AV19" s="574" t="e">
        <f t="shared" si="5"/>
        <v>#DIV/0!</v>
      </c>
      <c r="AW19" s="574" t="e">
        <f t="shared" si="5"/>
        <v>#DIV/0!</v>
      </c>
      <c r="AX19" s="574">
        <f>AS19*(1+$BK18)*BN25/BM25</f>
        <v>5325.0118531603594</v>
      </c>
      <c r="AY19" s="574">
        <f t="shared" si="6"/>
        <v>5458.1371494893683</v>
      </c>
      <c r="AZ19" s="574">
        <f t="shared" si="6"/>
        <v>5594.5905782266018</v>
      </c>
      <c r="BJ19" s="570" t="s">
        <v>545</v>
      </c>
      <c r="BK19" s="536">
        <v>0.04</v>
      </c>
      <c r="BL19" s="536">
        <v>5.2786477197302407E-3</v>
      </c>
      <c r="BM19" s="536">
        <f>BK19*BL19</f>
        <v>2.1114590878920964E-4</v>
      </c>
      <c r="BO19" s="571" t="s">
        <v>546</v>
      </c>
      <c r="BP19" s="572"/>
      <c r="BR19" s="570"/>
      <c r="BS19" s="569"/>
      <c r="BT19" s="569"/>
      <c r="BU19" s="725">
        <f>AVERAGE(BS18:BU18)</f>
        <v>-7.9258080585625598E-2</v>
      </c>
    </row>
    <row r="20" spans="1:74">
      <c r="A20" s="577" t="s">
        <v>554</v>
      </c>
      <c r="C20" s="574"/>
      <c r="D20" s="574"/>
      <c r="E20" s="574"/>
      <c r="F20" s="574"/>
      <c r="G20" s="574"/>
      <c r="H20" s="574"/>
      <c r="I20" s="574"/>
      <c r="J20" s="574"/>
      <c r="K20" s="574"/>
      <c r="L20" s="574"/>
      <c r="M20" s="574"/>
      <c r="N20" s="574"/>
      <c r="O20" s="574"/>
      <c r="P20" s="574"/>
      <c r="Q20" s="574"/>
      <c r="R20" s="574"/>
      <c r="S20" s="574"/>
      <c r="T20" s="574"/>
      <c r="U20" s="574"/>
      <c r="V20" s="574"/>
      <c r="W20" s="574"/>
      <c r="X20" s="574"/>
      <c r="Y20" s="574"/>
      <c r="Z20" s="574"/>
      <c r="AA20" s="574"/>
      <c r="AB20" s="574"/>
      <c r="AC20" s="574"/>
      <c r="AD20" s="574"/>
      <c r="AE20" s="574"/>
      <c r="AF20" s="574"/>
      <c r="AG20" s="574"/>
      <c r="AH20" s="574"/>
      <c r="AI20" s="574">
        <f>BL19*$AI$21</f>
        <v>117.67689361594626</v>
      </c>
      <c r="AJ20" s="574"/>
      <c r="AK20" s="574"/>
      <c r="AL20" s="574"/>
      <c r="AM20" s="574"/>
      <c r="AN20" s="574">
        <f t="shared" si="4"/>
        <v>133.83510099666213</v>
      </c>
      <c r="AO20" s="574">
        <f t="shared" si="4"/>
        <v>0</v>
      </c>
      <c r="AP20" s="574">
        <f t="shared" si="4"/>
        <v>0</v>
      </c>
      <c r="AQ20" s="574">
        <f t="shared" si="4"/>
        <v>0</v>
      </c>
      <c r="AR20" s="574">
        <f t="shared" si="4"/>
        <v>0</v>
      </c>
      <c r="AS20" s="574">
        <f>AN20*(1+$BK19)*BM26/BL26</f>
        <v>152.58632905073995</v>
      </c>
      <c r="AT20" s="574" t="e">
        <f t="shared" si="5"/>
        <v>#VALUE!</v>
      </c>
      <c r="AU20" s="574" t="e">
        <f t="shared" si="5"/>
        <v>#DIV/0!</v>
      </c>
      <c r="AV20" s="574" t="e">
        <f t="shared" si="5"/>
        <v>#DIV/0!</v>
      </c>
      <c r="AW20" s="574" t="e">
        <f t="shared" si="5"/>
        <v>#DIV/0!</v>
      </c>
      <c r="AX20" s="574">
        <f>AS20*(1+$BK19)*BN26/BM26</f>
        <v>158.68978221276956</v>
      </c>
      <c r="AY20" s="574">
        <f t="shared" si="6"/>
        <v>165.03737350128034</v>
      </c>
      <c r="AZ20" s="574">
        <f t="shared" si="6"/>
        <v>171.63886844133157</v>
      </c>
      <c r="BJ20" s="579"/>
      <c r="BK20" s="726"/>
      <c r="BL20" s="727">
        <f>SUM(BL17:BL19)</f>
        <v>1.0000003986458397</v>
      </c>
      <c r="BM20" s="727">
        <f>SUM(BM17:BM19)</f>
        <v>-6.0000034782680964E-3</v>
      </c>
      <c r="BN20" s="522"/>
      <c r="BO20" s="580">
        <v>-6.0000000000000001E-3</v>
      </c>
      <c r="BP20" s="576" t="b">
        <f>ROUND(BM20,5)=BO20</f>
        <v>1</v>
      </c>
      <c r="BR20" s="570" t="s">
        <v>916</v>
      </c>
      <c r="BU20" s="581">
        <f>(AI22/T22)^(1/3)-1</f>
        <v>-8.7692358513347446E-2</v>
      </c>
    </row>
    <row r="21" spans="1:74">
      <c r="A21" s="582" t="s">
        <v>504</v>
      </c>
      <c r="C21" s="574"/>
      <c r="D21" s="574"/>
      <c r="E21" s="574"/>
      <c r="F21" s="574"/>
      <c r="G21" s="574"/>
      <c r="H21" s="574"/>
      <c r="I21" s="574"/>
      <c r="J21" s="574"/>
      <c r="K21" s="574"/>
      <c r="L21" s="574"/>
      <c r="M21" s="574"/>
      <c r="N21" s="574"/>
      <c r="O21" s="574"/>
      <c r="P21" s="574"/>
      <c r="Q21" s="574"/>
      <c r="R21" s="574"/>
      <c r="S21" s="574"/>
      <c r="T21" s="574">
        <v>24460</v>
      </c>
      <c r="U21" s="574"/>
      <c r="V21" s="574"/>
      <c r="W21" s="574"/>
      <c r="X21" s="574"/>
      <c r="Y21" s="574">
        <v>24442</v>
      </c>
      <c r="Z21" s="574"/>
      <c r="AA21" s="574"/>
      <c r="AB21" s="574"/>
      <c r="AC21" s="574"/>
      <c r="AD21" s="574">
        <v>23092</v>
      </c>
      <c r="AE21" s="574"/>
      <c r="AF21" s="574"/>
      <c r="AG21" s="574"/>
      <c r="AH21" s="574"/>
      <c r="AI21" s="574">
        <v>22293</v>
      </c>
      <c r="AJ21" s="574"/>
      <c r="AK21" s="574"/>
      <c r="AL21" s="574"/>
      <c r="AM21" s="574"/>
      <c r="AN21" s="574">
        <f t="shared" ref="AN21:AZ21" si="7">SUM(AN18:AN20)</f>
        <v>20719.10323119555</v>
      </c>
      <c r="AO21" s="574">
        <f t="shared" si="7"/>
        <v>0</v>
      </c>
      <c r="AP21" s="574">
        <f t="shared" si="7"/>
        <v>0</v>
      </c>
      <c r="AQ21" s="574">
        <f t="shared" si="7"/>
        <v>0</v>
      </c>
      <c r="AR21" s="574">
        <f t="shared" si="7"/>
        <v>0</v>
      </c>
      <c r="AS21" s="574">
        <f t="shared" si="7"/>
        <v>19162.516315370183</v>
      </c>
      <c r="AT21" s="574" t="e">
        <f t="shared" si="7"/>
        <v>#VALUE!</v>
      </c>
      <c r="AU21" s="574" t="e">
        <f t="shared" si="7"/>
        <v>#DIV/0!</v>
      </c>
      <c r="AV21" s="574" t="e">
        <f t="shared" si="7"/>
        <v>#DIV/0!</v>
      </c>
      <c r="AW21" s="574" t="e">
        <f t="shared" si="7"/>
        <v>#DIV/0!</v>
      </c>
      <c r="AX21" s="574">
        <f t="shared" si="7"/>
        <v>19118.905752290637</v>
      </c>
      <c r="AY21" s="574">
        <f t="shared" si="7"/>
        <v>19081.120986388229</v>
      </c>
      <c r="AZ21" s="574">
        <f t="shared" si="7"/>
        <v>19049.222606041345</v>
      </c>
      <c r="BR21" s="583" t="s">
        <v>917</v>
      </c>
      <c r="BS21" s="728"/>
      <c r="BT21" s="728"/>
      <c r="BU21" s="729">
        <f>AVERAGE(BU19:BU20)</f>
        <v>-8.3475219549486529E-2</v>
      </c>
    </row>
    <row r="22" spans="1:74" ht="15.75" customHeight="1">
      <c r="A22" s="515" t="s">
        <v>260</v>
      </c>
      <c r="C22" s="574"/>
      <c r="D22" s="574"/>
      <c r="E22" s="574"/>
      <c r="F22" s="574"/>
      <c r="G22" s="574"/>
      <c r="H22" s="574"/>
      <c r="I22" s="574"/>
      <c r="J22" s="574"/>
      <c r="K22" s="574"/>
      <c r="L22" s="574"/>
      <c r="M22" s="574"/>
      <c r="N22" s="574"/>
      <c r="O22" s="574"/>
      <c r="P22" s="574"/>
      <c r="Q22" s="574"/>
      <c r="R22" s="574"/>
      <c r="S22" s="574"/>
      <c r="T22" s="574">
        <v>939</v>
      </c>
      <c r="U22" s="574"/>
      <c r="V22" s="574"/>
      <c r="W22" s="574"/>
      <c r="X22" s="574"/>
      <c r="Y22" s="574">
        <v>1007</v>
      </c>
      <c r="Z22" s="574"/>
      <c r="AA22" s="574"/>
      <c r="AB22" s="574"/>
      <c r="AC22" s="574"/>
      <c r="AD22" s="574">
        <v>774</v>
      </c>
      <c r="AE22" s="574"/>
      <c r="AF22" s="574"/>
      <c r="AG22" s="574"/>
      <c r="AH22" s="574"/>
      <c r="AI22" s="574">
        <v>713</v>
      </c>
      <c r="AJ22" s="574"/>
      <c r="AK22" s="574"/>
      <c r="AL22" s="574"/>
      <c r="AM22" s="574"/>
      <c r="AN22" s="574">
        <f>AI22*(1+AN23)</f>
        <v>667.74216846121612</v>
      </c>
      <c r="AO22" s="574"/>
      <c r="AP22" s="574"/>
      <c r="AQ22" s="574"/>
      <c r="AR22" s="574"/>
      <c r="AS22" s="574">
        <f>AN22*(1+AS23)</f>
        <v>638.71193108491457</v>
      </c>
      <c r="AX22" s="574">
        <f>AS22*(1+AX23)</f>
        <v>623.71802827381975</v>
      </c>
      <c r="AY22" s="574">
        <f>AX22*(1+AY23)</f>
        <v>621.55047118859545</v>
      </c>
      <c r="AZ22" s="574">
        <f>AY22*(1+AZ23)</f>
        <v>631.82145626390025</v>
      </c>
      <c r="BJ22" s="723"/>
      <c r="BK22" s="793" t="s">
        <v>547</v>
      </c>
      <c r="BL22" s="793"/>
      <c r="BM22" s="793"/>
      <c r="BN22" s="793"/>
      <c r="BO22" s="793"/>
      <c r="BP22" s="794"/>
      <c r="BR22" s="579" t="s">
        <v>918</v>
      </c>
      <c r="BS22" s="522"/>
      <c r="BT22" s="522"/>
      <c r="BU22" s="584">
        <v>0.02</v>
      </c>
      <c r="BV22" s="515" t="s">
        <v>919</v>
      </c>
    </row>
    <row r="23" spans="1:74">
      <c r="A23" s="582" t="s">
        <v>555</v>
      </c>
      <c r="C23" s="513"/>
      <c r="D23" s="513"/>
      <c r="E23" s="513"/>
      <c r="F23" s="513"/>
      <c r="G23" s="513"/>
      <c r="H23" s="513"/>
      <c r="I23" s="513"/>
      <c r="J23" s="513"/>
      <c r="K23" s="513"/>
      <c r="L23" s="513"/>
      <c r="M23" s="513"/>
      <c r="N23" s="513"/>
      <c r="O23" s="513"/>
      <c r="P23" s="513"/>
      <c r="Q23" s="513"/>
      <c r="R23" s="513"/>
      <c r="S23" s="513"/>
      <c r="T23" s="513"/>
      <c r="U23" s="513"/>
      <c r="V23" s="513"/>
      <c r="W23" s="513"/>
      <c r="X23" s="513"/>
      <c r="Y23" s="513">
        <f>BS18</f>
        <v>7.24174653887113E-2</v>
      </c>
      <c r="Z23" s="513"/>
      <c r="AA23" s="513"/>
      <c r="AB23" s="513"/>
      <c r="AC23" s="513"/>
      <c r="AD23" s="513">
        <f>BT18</f>
        <v>-0.2313803376365442</v>
      </c>
      <c r="AE23" s="513"/>
      <c r="AF23" s="513"/>
      <c r="AG23" s="513"/>
      <c r="AH23" s="513"/>
      <c r="AI23" s="513">
        <f>BU18</f>
        <v>-7.8811369509043883E-2</v>
      </c>
      <c r="AJ23" s="513"/>
      <c r="AK23" s="513"/>
      <c r="AL23" s="513"/>
      <c r="AM23" s="513"/>
      <c r="AN23" s="513">
        <f>BU21+BU22</f>
        <v>-6.3475219549486525E-2</v>
      </c>
      <c r="AO23" s="513"/>
      <c r="AP23" s="513"/>
      <c r="AQ23" s="513"/>
      <c r="AR23" s="513"/>
      <c r="AS23" s="513">
        <f>AN23+$BU$22</f>
        <v>-4.3475219549486521E-2</v>
      </c>
      <c r="AX23" s="513">
        <f>AS23+$BU$22</f>
        <v>-2.3475219549486521E-2</v>
      </c>
      <c r="AY23" s="513">
        <f>AX23+$BU$22</f>
        <v>-3.4752195494865204E-3</v>
      </c>
      <c r="AZ23" s="513">
        <f>AY23+$BU$22</f>
        <v>1.652478045051348E-2</v>
      </c>
      <c r="BJ23" s="570"/>
      <c r="BK23" s="571">
        <v>2024</v>
      </c>
      <c r="BL23" s="585">
        <v>2025</v>
      </c>
      <c r="BM23" s="585">
        <v>2026</v>
      </c>
      <c r="BN23" s="585">
        <v>2027</v>
      </c>
      <c r="BO23" s="585">
        <v>2028</v>
      </c>
      <c r="BP23" s="586">
        <v>2029</v>
      </c>
    </row>
    <row r="24" spans="1:74" s="587" customFormat="1">
      <c r="A24" s="587" t="s">
        <v>480</v>
      </c>
      <c r="C24" s="588"/>
      <c r="D24" s="588"/>
      <c r="E24" s="588"/>
      <c r="F24" s="588"/>
      <c r="G24" s="588"/>
      <c r="H24" s="588"/>
      <c r="I24" s="588"/>
      <c r="J24" s="588"/>
      <c r="K24" s="588"/>
      <c r="L24" s="588"/>
      <c r="M24" s="588"/>
      <c r="N24" s="588"/>
      <c r="O24" s="588"/>
      <c r="P24" s="588"/>
      <c r="Q24" s="588"/>
      <c r="R24" s="588"/>
      <c r="S24" s="588"/>
      <c r="T24" s="588">
        <f>T21+T22</f>
        <v>25399</v>
      </c>
      <c r="U24" s="588"/>
      <c r="V24" s="588"/>
      <c r="W24" s="588"/>
      <c r="X24" s="588"/>
      <c r="Y24" s="588">
        <f>Y21+Y22</f>
        <v>25449</v>
      </c>
      <c r="Z24" s="588"/>
      <c r="AA24" s="588"/>
      <c r="AB24" s="588"/>
      <c r="AC24" s="588"/>
      <c r="AD24" s="588">
        <f>AD21+AD22</f>
        <v>23866</v>
      </c>
      <c r="AE24" s="588"/>
      <c r="AF24" s="588"/>
      <c r="AG24" s="588"/>
      <c r="AH24" s="588"/>
      <c r="AI24" s="588">
        <f t="shared" ref="AI24:AZ24" si="8">AI21+AI22</f>
        <v>23006</v>
      </c>
      <c r="AJ24" s="588">
        <f t="shared" si="8"/>
        <v>0</v>
      </c>
      <c r="AK24" s="588">
        <f t="shared" si="8"/>
        <v>0</v>
      </c>
      <c r="AL24" s="588">
        <f t="shared" si="8"/>
        <v>0</v>
      </c>
      <c r="AM24" s="588">
        <f t="shared" si="8"/>
        <v>0</v>
      </c>
      <c r="AN24" s="588">
        <f t="shared" si="8"/>
        <v>21386.845399656766</v>
      </c>
      <c r="AO24" s="588">
        <f t="shared" si="8"/>
        <v>0</v>
      </c>
      <c r="AP24" s="588">
        <f t="shared" si="8"/>
        <v>0</v>
      </c>
      <c r="AQ24" s="588">
        <f t="shared" si="8"/>
        <v>0</v>
      </c>
      <c r="AR24" s="588">
        <f t="shared" si="8"/>
        <v>0</v>
      </c>
      <c r="AS24" s="588">
        <f t="shared" si="8"/>
        <v>19801.228246455099</v>
      </c>
      <c r="AT24" s="588" t="e">
        <f t="shared" si="8"/>
        <v>#VALUE!</v>
      </c>
      <c r="AU24" s="588" t="e">
        <f t="shared" si="8"/>
        <v>#DIV/0!</v>
      </c>
      <c r="AV24" s="588" t="e">
        <f t="shared" si="8"/>
        <v>#DIV/0!</v>
      </c>
      <c r="AW24" s="588" t="e">
        <f t="shared" si="8"/>
        <v>#DIV/0!</v>
      </c>
      <c r="AX24" s="588">
        <f t="shared" si="8"/>
        <v>19742.623780564456</v>
      </c>
      <c r="AY24" s="588">
        <f t="shared" si="8"/>
        <v>19702.671457576824</v>
      </c>
      <c r="AZ24" s="588">
        <f t="shared" si="8"/>
        <v>19681.044062305245</v>
      </c>
      <c r="BJ24" s="730" t="s">
        <v>548</v>
      </c>
      <c r="BK24" s="587">
        <v>450</v>
      </c>
      <c r="BL24" s="587">
        <v>400</v>
      </c>
      <c r="BM24" s="587">
        <v>350</v>
      </c>
      <c r="BN24" s="587">
        <v>350</v>
      </c>
      <c r="BO24" s="587">
        <v>350</v>
      </c>
      <c r="BP24" s="731">
        <v>350</v>
      </c>
      <c r="BQ24" s="587" t="s">
        <v>920</v>
      </c>
    </row>
    <row r="25" spans="1:74">
      <c r="A25" s="515" t="s">
        <v>484</v>
      </c>
      <c r="Y25" s="513">
        <f>Y24/T24-1</f>
        <v>1.9685814402141677E-3</v>
      </c>
      <c r="AD25" s="513">
        <f>AD24/Y24-1</f>
        <v>-6.2202837046642312E-2</v>
      </c>
      <c r="AI25" s="513">
        <f>AI24/AD24-1</f>
        <v>-3.6034526104081088E-2</v>
      </c>
      <c r="AN25" s="513">
        <f>AN24/AI24-1</f>
        <v>-7.0379666188960854E-2</v>
      </c>
      <c r="AS25" s="513">
        <f>AS24/AN24-1</f>
        <v>-7.4139833321426374E-2</v>
      </c>
      <c r="AX25" s="513">
        <f>AX24/AS24-1</f>
        <v>-2.9596379154477326E-3</v>
      </c>
      <c r="AY25" s="513">
        <f>AY24/AX24-1</f>
        <v>-2.0236582245447554E-3</v>
      </c>
      <c r="AZ25" s="513">
        <f>AZ24/AY24-1</f>
        <v>-1.0976884692081024E-3</v>
      </c>
      <c r="BJ25" s="570" t="s">
        <v>549</v>
      </c>
      <c r="BK25" s="589">
        <v>59</v>
      </c>
      <c r="BL25" s="589">
        <v>67</v>
      </c>
      <c r="BM25" s="589">
        <v>74</v>
      </c>
      <c r="BN25" s="589">
        <v>74</v>
      </c>
      <c r="BO25" s="589">
        <v>74</v>
      </c>
      <c r="BP25" s="590">
        <v>74</v>
      </c>
      <c r="BQ25" s="515" t="s">
        <v>921</v>
      </c>
    </row>
    <row r="26" spans="1:74">
      <c r="AX26" s="515"/>
      <c r="AY26" s="515"/>
      <c r="BJ26" s="570" t="s">
        <v>550</v>
      </c>
      <c r="BK26" s="589">
        <v>171</v>
      </c>
      <c r="BL26" s="589">
        <v>187</v>
      </c>
      <c r="BM26" s="589">
        <v>205</v>
      </c>
      <c r="BN26" s="589">
        <v>205</v>
      </c>
      <c r="BO26" s="589">
        <v>205</v>
      </c>
      <c r="BP26" s="590">
        <v>205</v>
      </c>
      <c r="BQ26" s="515" t="s">
        <v>921</v>
      </c>
    </row>
    <row r="27" spans="1:74">
      <c r="AX27" s="515"/>
      <c r="AY27" s="515"/>
      <c r="BJ27" s="579"/>
      <c r="BK27" s="726">
        <f t="shared" ref="BK27:BP27" si="9">SUM(BK24:BK26)</f>
        <v>680</v>
      </c>
      <c r="BL27" s="726">
        <f t="shared" si="9"/>
        <v>654</v>
      </c>
      <c r="BM27" s="726">
        <f t="shared" si="9"/>
        <v>629</v>
      </c>
      <c r="BN27" s="726">
        <f t="shared" si="9"/>
        <v>629</v>
      </c>
      <c r="BO27" s="726">
        <f t="shared" si="9"/>
        <v>629</v>
      </c>
      <c r="BP27" s="732">
        <f t="shared" si="9"/>
        <v>629</v>
      </c>
    </row>
    <row r="28" spans="1:74">
      <c r="AX28" s="515"/>
      <c r="AY28" s="515"/>
    </row>
    <row r="29" spans="1:74">
      <c r="A29" s="549" t="s">
        <v>508</v>
      </c>
      <c r="B29" s="549"/>
      <c r="C29" s="549"/>
      <c r="D29" s="549"/>
      <c r="E29" s="550"/>
      <c r="F29" s="550"/>
      <c r="G29" s="550"/>
      <c r="H29" s="550"/>
      <c r="I29" s="550"/>
      <c r="J29" s="550"/>
      <c r="K29" s="550"/>
      <c r="L29" s="550"/>
      <c r="M29" s="550"/>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50"/>
      <c r="AS29" s="550"/>
      <c r="AT29" s="550"/>
      <c r="AU29" s="550"/>
      <c r="AV29" s="550"/>
      <c r="AW29" s="550"/>
      <c r="AX29" s="550"/>
      <c r="AY29" s="550"/>
      <c r="AZ29" s="550"/>
      <c r="BA29" s="515">
        <v>2028</v>
      </c>
      <c r="BB29" s="536" t="e" vm="1">
        <v>#VALUE!</v>
      </c>
      <c r="BC29" s="533" t="e" vm="1">
        <v>#VALUE!</v>
      </c>
      <c r="BE29" s="515">
        <v>2028</v>
      </c>
      <c r="BF29" s="536" t="e" vm="1">
        <v>#VALUE!</v>
      </c>
      <c r="BG29" s="533" t="e" vm="1">
        <v>#VALUE!</v>
      </c>
      <c r="BI29" s="515">
        <v>2028</v>
      </c>
      <c r="BJ29" s="536" t="e" vm="1">
        <v>#VALUE!</v>
      </c>
      <c r="BK29" s="533" t="e" vm="2">
        <v>#VALUE!</v>
      </c>
      <c r="BM29" s="515">
        <v>2028</v>
      </c>
      <c r="BN29" s="536" t="e" vm="1">
        <v>#VALUE!</v>
      </c>
      <c r="BO29" s="533" t="e" vm="2">
        <v>#VALUE!</v>
      </c>
    </row>
    <row r="30" spans="1:74">
      <c r="A30" s="511"/>
      <c r="B30" s="511"/>
      <c r="C30" s="511"/>
      <c r="D30" s="511"/>
      <c r="E30" s="512"/>
      <c r="F30" s="533"/>
      <c r="G30" s="534"/>
      <c r="H30" s="534"/>
      <c r="I30" s="534"/>
      <c r="J30" s="534"/>
      <c r="K30" s="534"/>
      <c r="L30" s="534"/>
      <c r="M30" s="534"/>
      <c r="N30" s="534"/>
      <c r="O30" s="534"/>
      <c r="P30" s="534"/>
      <c r="Q30" s="534"/>
      <c r="R30" s="534"/>
      <c r="S30" s="534"/>
      <c r="T30" s="534"/>
      <c r="U30" s="534"/>
      <c r="V30" s="534"/>
      <c r="W30" s="534"/>
      <c r="X30" s="534"/>
      <c r="Y30" s="534"/>
      <c r="Z30" s="534"/>
      <c r="AA30" s="534"/>
      <c r="AB30" s="534"/>
      <c r="AC30" s="534"/>
      <c r="AD30" s="534"/>
      <c r="AE30" s="534"/>
      <c r="AF30" s="534"/>
      <c r="AG30" s="534"/>
      <c r="AH30" s="534"/>
      <c r="AI30" s="534"/>
      <c r="AJ30" s="511"/>
      <c r="AK30" s="511"/>
      <c r="AL30" s="511"/>
      <c r="AM30" s="511"/>
      <c r="AO30" s="511"/>
      <c r="AP30" s="511"/>
      <c r="AQ30" s="511"/>
      <c r="AR30" s="511"/>
      <c r="AT30" s="511"/>
      <c r="AU30" s="511"/>
      <c r="AV30" s="511"/>
      <c r="AW30" s="511"/>
      <c r="AX30" s="511"/>
      <c r="AY30" s="511"/>
    </row>
    <row r="31" spans="1:74">
      <c r="A31" s="591" t="s">
        <v>509</v>
      </c>
      <c r="B31" s="511"/>
      <c r="C31" s="511"/>
      <c r="D31" s="511"/>
      <c r="E31" s="512"/>
      <c r="F31" s="533"/>
      <c r="G31" s="534"/>
      <c r="H31" s="534"/>
      <c r="I31" s="534"/>
      <c r="J31" s="534"/>
      <c r="K31" s="534"/>
      <c r="L31" s="534"/>
      <c r="M31" s="534"/>
      <c r="N31" s="534"/>
      <c r="O31" s="534"/>
      <c r="P31" s="534"/>
      <c r="Q31" s="534"/>
      <c r="R31" s="534"/>
      <c r="S31" s="534"/>
      <c r="T31" s="534"/>
      <c r="U31" s="534"/>
      <c r="V31" s="534"/>
      <c r="W31" s="534"/>
      <c r="X31" s="534"/>
      <c r="Y31" s="534"/>
      <c r="Z31" s="534"/>
      <c r="AA31" s="534"/>
      <c r="AB31" s="534"/>
      <c r="AC31" s="534"/>
      <c r="AD31" s="534"/>
      <c r="AE31" s="534"/>
      <c r="AF31" s="534"/>
      <c r="AG31" s="534"/>
      <c r="AH31" s="534"/>
      <c r="AI31" s="534"/>
      <c r="AJ31" s="511"/>
      <c r="AK31" s="511"/>
      <c r="AL31" s="511"/>
      <c r="AM31" s="511"/>
      <c r="AO31" s="511"/>
      <c r="AP31" s="511"/>
      <c r="AQ31" s="511"/>
      <c r="AR31" s="511"/>
      <c r="AT31" s="511"/>
      <c r="AU31" s="511"/>
      <c r="AV31" s="511"/>
      <c r="AW31" s="511"/>
      <c r="AX31" s="511"/>
      <c r="AY31" s="511"/>
    </row>
    <row r="32" spans="1:74">
      <c r="A32" s="511" t="s">
        <v>510</v>
      </c>
      <c r="B32" s="511"/>
      <c r="C32" s="511">
        <f>365</f>
        <v>365</v>
      </c>
      <c r="D32" s="511"/>
      <c r="E32" s="512"/>
      <c r="F32" s="533"/>
      <c r="G32" s="534"/>
      <c r="H32" s="534"/>
      <c r="I32" s="534"/>
      <c r="J32" s="534"/>
      <c r="K32" s="534"/>
      <c r="L32" s="534"/>
      <c r="M32" s="534"/>
      <c r="N32" s="534"/>
      <c r="O32" s="534"/>
      <c r="P32" s="534"/>
      <c r="Q32" s="534"/>
      <c r="R32" s="534"/>
      <c r="S32" s="534"/>
      <c r="T32" s="534"/>
      <c r="U32" s="534"/>
      <c r="V32" s="534"/>
      <c r="W32" s="534"/>
      <c r="X32" s="534"/>
      <c r="Y32" s="534"/>
      <c r="Z32" s="534"/>
      <c r="AA32" s="534"/>
      <c r="AB32" s="534"/>
      <c r="AC32" s="534"/>
      <c r="AD32" s="534"/>
      <c r="AE32" s="534"/>
      <c r="AF32" s="534"/>
      <c r="AG32" s="534"/>
      <c r="AH32" s="534"/>
      <c r="AI32" s="534"/>
      <c r="AJ32" s="511"/>
      <c r="AK32" s="511"/>
      <c r="AL32" s="511"/>
      <c r="AM32" s="511"/>
      <c r="AO32" s="511"/>
      <c r="AP32" s="511"/>
      <c r="AQ32" s="511"/>
      <c r="AR32" s="511"/>
      <c r="AT32" s="511"/>
      <c r="AU32" s="511"/>
      <c r="AV32" s="511"/>
      <c r="AW32" s="511"/>
      <c r="AX32" s="511"/>
      <c r="AY32" s="511"/>
    </row>
    <row r="33" spans="1:51">
      <c r="A33" s="511" t="s">
        <v>45</v>
      </c>
      <c r="B33" s="511"/>
      <c r="C33" s="511"/>
      <c r="D33" s="511"/>
      <c r="E33" s="512"/>
      <c r="F33" s="533" t="e" vm="1">
        <v>#VALUE!</v>
      </c>
      <c r="G33" s="534" t="e" vm="1">
        <v>#VALUE!</v>
      </c>
      <c r="H33" s="534" t="e" vm="1">
        <v>#VALUE!</v>
      </c>
      <c r="I33" s="534" t="e" vm="1">
        <v>#VALUE!</v>
      </c>
      <c r="J33" s="534" t="e" vm="3">
        <v>#VALUE!</v>
      </c>
      <c r="K33" s="534" t="e" vm="1">
        <v>#VALUE!</v>
      </c>
      <c r="L33" s="534" t="e" vm="1">
        <v>#VALUE!</v>
      </c>
      <c r="M33" s="534" t="e" vm="1">
        <v>#VALUE!</v>
      </c>
      <c r="N33" s="534" t="e" vm="1">
        <v>#VALUE!</v>
      </c>
      <c r="O33" s="534" t="e" vm="1">
        <v>#VALUE!</v>
      </c>
      <c r="P33" s="534" t="e" vm="1">
        <v>#VALUE!</v>
      </c>
      <c r="Q33" s="534" t="e" vm="1">
        <v>#VALUE!</v>
      </c>
      <c r="R33" s="534" t="e" vm="1">
        <v>#VALUE!</v>
      </c>
      <c r="S33" s="534" t="e" vm="1">
        <v>#VALUE!</v>
      </c>
      <c r="T33" s="534" t="e" vm="1">
        <v>#VALUE!</v>
      </c>
      <c r="U33" s="534" t="e" vm="1">
        <v>#VALUE!</v>
      </c>
      <c r="V33" s="534" t="e" vm="1">
        <v>#VALUE!</v>
      </c>
      <c r="W33" s="534" t="e" vm="1">
        <v>#VALUE!</v>
      </c>
      <c r="X33" s="534" t="e" vm="1">
        <v>#VALUE!</v>
      </c>
      <c r="Y33" s="534" t="e" vm="1">
        <v>#VALUE!</v>
      </c>
      <c r="Z33" s="534" t="e" vm="1">
        <v>#VALUE!</v>
      </c>
      <c r="AA33" s="534" t="e" vm="1">
        <v>#VALUE!</v>
      </c>
      <c r="AB33" s="534" t="e" vm="1">
        <v>#VALUE!</v>
      </c>
      <c r="AC33" s="534" t="e" vm="1">
        <v>#VALUE!</v>
      </c>
      <c r="AD33" s="534" t="e" vm="1">
        <v>#VALUE!</v>
      </c>
      <c r="AE33" s="534" t="e" vm="1">
        <v>#VALUE!</v>
      </c>
      <c r="AF33" s="534" t="e" vm="1">
        <v>#VALUE!</v>
      </c>
      <c r="AG33" s="534" t="e" vm="1">
        <v>#VALUE!</v>
      </c>
      <c r="AH33" s="534" t="e" vm="1">
        <v>#VALUE!</v>
      </c>
      <c r="AI33" s="534" t="e" vm="1">
        <v>#VALUE!</v>
      </c>
      <c r="AJ33" s="511"/>
      <c r="AK33" s="511"/>
      <c r="AL33" s="511"/>
      <c r="AM33" s="511"/>
      <c r="AO33" s="511"/>
      <c r="AP33" s="511"/>
      <c r="AQ33" s="511"/>
      <c r="AR33" s="511"/>
      <c r="AT33" s="511"/>
      <c r="AU33" s="511"/>
      <c r="AV33" s="511"/>
      <c r="AW33" s="511"/>
      <c r="AX33" s="511"/>
      <c r="AY33" s="511"/>
    </row>
    <row r="34" spans="1:51">
      <c r="A34" s="511" t="s">
        <v>511</v>
      </c>
      <c r="B34" s="511"/>
      <c r="C34" s="511"/>
      <c r="D34" s="511"/>
      <c r="E34" s="512"/>
      <c r="F34" s="533">
        <f t="shared" ref="F34:AI34" si="10">F5</f>
        <v>3382</v>
      </c>
      <c r="G34" s="534">
        <f t="shared" si="10"/>
        <v>3320</v>
      </c>
      <c r="H34" s="534">
        <f t="shared" si="10"/>
        <v>3226</v>
      </c>
      <c r="I34" s="534">
        <f t="shared" si="10"/>
        <v>5288</v>
      </c>
      <c r="J34" s="534">
        <f t="shared" si="10"/>
        <v>15171</v>
      </c>
      <c r="K34" s="534">
        <f t="shared" si="10"/>
        <v>2201</v>
      </c>
      <c r="L34" s="534">
        <f t="shared" si="10"/>
        <v>2718</v>
      </c>
      <c r="M34" s="534">
        <f t="shared" si="10"/>
        <v>2569</v>
      </c>
      <c r="N34" s="534">
        <f t="shared" si="10"/>
        <v>4798</v>
      </c>
      <c r="O34" s="534">
        <f t="shared" si="10"/>
        <v>12286</v>
      </c>
      <c r="P34" s="534">
        <f t="shared" si="10"/>
        <v>2889</v>
      </c>
      <c r="Q34" s="534">
        <f t="shared" si="10"/>
        <v>3353</v>
      </c>
      <c r="R34" s="534">
        <f t="shared" si="10"/>
        <v>3207</v>
      </c>
      <c r="S34" s="534">
        <f t="shared" si="10"/>
        <v>5507</v>
      </c>
      <c r="T34" s="534">
        <f t="shared" si="10"/>
        <v>14956</v>
      </c>
      <c r="U34" s="534">
        <f t="shared" si="10"/>
        <v>3231</v>
      </c>
      <c r="V34" s="534">
        <f t="shared" si="10"/>
        <v>3422</v>
      </c>
      <c r="W34" s="534">
        <f t="shared" si="10"/>
        <v>3204</v>
      </c>
      <c r="X34" s="534">
        <f t="shared" si="10"/>
        <v>5450</v>
      </c>
      <c r="Y34" s="534">
        <f t="shared" si="10"/>
        <v>15347</v>
      </c>
      <c r="Z34" s="534">
        <f t="shared" si="10"/>
        <v>2988</v>
      </c>
      <c r="AA34" s="534">
        <f t="shared" si="10"/>
        <v>3176</v>
      </c>
      <c r="AB34" s="534">
        <f t="shared" si="10"/>
        <v>2905</v>
      </c>
      <c r="AC34" s="534">
        <f t="shared" si="10"/>
        <v>5154</v>
      </c>
      <c r="AD34" s="534">
        <f t="shared" si="10"/>
        <v>14224</v>
      </c>
      <c r="AE34" s="534">
        <f t="shared" si="10"/>
        <v>2988</v>
      </c>
      <c r="AF34" s="534">
        <f t="shared" si="10"/>
        <v>3176</v>
      </c>
      <c r="AG34" s="534">
        <f t="shared" si="10"/>
        <v>2905</v>
      </c>
      <c r="AH34" s="534">
        <f t="shared" si="10"/>
        <v>5154</v>
      </c>
      <c r="AI34" s="534">
        <f t="shared" si="10"/>
        <v>13740</v>
      </c>
      <c r="AJ34" s="511"/>
      <c r="AK34" s="511"/>
      <c r="AL34" s="511"/>
      <c r="AM34" s="511"/>
      <c r="AN34" s="533">
        <f>AN5</f>
        <v>13174.296766188567</v>
      </c>
      <c r="AO34" s="534"/>
      <c r="AP34" s="534"/>
      <c r="AQ34" s="534"/>
      <c r="AR34" s="534"/>
      <c r="AS34" s="533">
        <f>AS5</f>
        <v>12197.55659981634</v>
      </c>
      <c r="AT34" s="534"/>
      <c r="AU34" s="534"/>
      <c r="AV34" s="534"/>
      <c r="AW34" s="534"/>
      <c r="AX34" s="534">
        <f>AX5</f>
        <v>12161.456248827704</v>
      </c>
      <c r="AY34" s="534">
        <f>AY5</f>
        <v>12136.845617867324</v>
      </c>
    </row>
    <row r="35" spans="1:51">
      <c r="A35" s="511"/>
      <c r="B35" s="511"/>
      <c r="C35" s="511"/>
      <c r="D35" s="511"/>
      <c r="E35" s="512"/>
      <c r="F35" s="533"/>
      <c r="G35" s="534"/>
      <c r="H35" s="534"/>
      <c r="I35" s="534"/>
      <c r="J35" s="534"/>
      <c r="K35" s="534"/>
      <c r="L35" s="534"/>
      <c r="M35" s="534"/>
      <c r="N35" s="534"/>
      <c r="O35" s="534"/>
      <c r="P35" s="534"/>
      <c r="Q35" s="534"/>
      <c r="R35" s="534"/>
      <c r="S35" s="534"/>
      <c r="T35" s="534"/>
      <c r="U35" s="534"/>
      <c r="V35" s="534"/>
      <c r="W35" s="534"/>
      <c r="X35" s="534"/>
      <c r="Y35" s="534"/>
      <c r="Z35" s="534"/>
      <c r="AA35" s="534"/>
      <c r="AB35" s="534"/>
      <c r="AC35" s="534"/>
      <c r="AD35" s="534"/>
      <c r="AE35" s="534"/>
      <c r="AF35" s="534"/>
      <c r="AG35" s="534"/>
      <c r="AH35" s="534"/>
      <c r="AI35" s="534"/>
      <c r="AJ35" s="511"/>
      <c r="AK35" s="511"/>
      <c r="AL35" s="511"/>
      <c r="AM35" s="511"/>
      <c r="AO35" s="511"/>
      <c r="AP35" s="511"/>
      <c r="AQ35" s="511"/>
      <c r="AR35" s="511"/>
      <c r="AT35" s="511"/>
      <c r="AU35" s="511"/>
      <c r="AV35" s="511"/>
      <c r="AW35" s="511"/>
      <c r="AX35" s="511"/>
      <c r="AY35" s="511"/>
    </row>
    <row r="36" spans="1:51">
      <c r="A36" s="591" t="s">
        <v>513</v>
      </c>
      <c r="B36" s="511"/>
      <c r="C36" s="511"/>
      <c r="D36" s="511"/>
      <c r="E36" s="512"/>
      <c r="F36" s="533"/>
      <c r="G36" s="534"/>
      <c r="H36" s="534"/>
      <c r="I36" s="534"/>
      <c r="J36" s="534"/>
      <c r="K36" s="534"/>
      <c r="L36" s="534"/>
      <c r="M36" s="534"/>
      <c r="N36" s="534"/>
      <c r="O36" s="534"/>
      <c r="P36" s="534"/>
      <c r="Q36" s="534"/>
      <c r="R36" s="534"/>
      <c r="S36" s="534"/>
      <c r="T36" s="534"/>
      <c r="U36" s="534"/>
      <c r="V36" s="534"/>
      <c r="W36" s="534"/>
      <c r="X36" s="534"/>
      <c r="Y36" s="534"/>
      <c r="Z36" s="534"/>
      <c r="AA36" s="534"/>
      <c r="AB36" s="534"/>
      <c r="AC36" s="534"/>
      <c r="AD36" s="534"/>
      <c r="AE36" s="534"/>
      <c r="AF36" s="534"/>
      <c r="AG36" s="534"/>
      <c r="AH36" s="534"/>
      <c r="AI36" s="534"/>
      <c r="AJ36" s="511"/>
      <c r="AK36" s="511"/>
      <c r="AL36" s="511"/>
      <c r="AM36" s="511"/>
      <c r="AO36" s="511"/>
      <c r="AP36" s="511"/>
      <c r="AQ36" s="511"/>
      <c r="AR36" s="511"/>
      <c r="AT36" s="511"/>
      <c r="AU36" s="511"/>
      <c r="AV36" s="511"/>
      <c r="AW36" s="511"/>
      <c r="AX36" s="511"/>
      <c r="AY36" s="511"/>
    </row>
    <row r="37" spans="1:51">
      <c r="A37" s="592" t="s">
        <v>514</v>
      </c>
      <c r="B37" s="511"/>
      <c r="C37" s="511"/>
      <c r="D37" s="511"/>
      <c r="E37" s="512"/>
      <c r="F37" s="533" t="e" vm="1">
        <v>#VALUE!</v>
      </c>
      <c r="G37" s="534" t="e" vm="1">
        <v>#VALUE!</v>
      </c>
      <c r="H37" s="534" t="e" vm="1">
        <v>#VALUE!</v>
      </c>
      <c r="I37" s="534" t="e" vm="1">
        <v>#VALUE!</v>
      </c>
      <c r="J37" s="534" t="e" vm="1">
        <v>#VALUE!</v>
      </c>
      <c r="K37" s="534" t="e" vm="1">
        <v>#VALUE!</v>
      </c>
      <c r="L37" s="534" t="e" vm="1">
        <v>#VALUE!</v>
      </c>
      <c r="M37" s="534" t="e" vm="1">
        <v>#VALUE!</v>
      </c>
      <c r="N37" s="534" t="e" vm="1">
        <v>#VALUE!</v>
      </c>
      <c r="O37" s="534" t="e" vm="1">
        <v>#VALUE!</v>
      </c>
      <c r="P37" s="534" t="e" vm="1">
        <v>#VALUE!</v>
      </c>
      <c r="Q37" s="534" t="e" vm="1">
        <v>#VALUE!</v>
      </c>
      <c r="R37" s="534" t="e" vm="1">
        <v>#VALUE!</v>
      </c>
      <c r="S37" s="534" t="e" vm="1">
        <v>#VALUE!</v>
      </c>
      <c r="T37" s="534" t="e" vm="1">
        <v>#VALUE!</v>
      </c>
      <c r="U37" s="534" t="e" vm="1">
        <v>#VALUE!</v>
      </c>
      <c r="V37" s="534" t="e" vm="1">
        <v>#VALUE!</v>
      </c>
      <c r="W37" s="534" t="e" vm="1">
        <v>#VALUE!</v>
      </c>
      <c r="X37" s="534" t="e" vm="1">
        <v>#VALUE!</v>
      </c>
      <c r="Y37" s="534" t="e" vm="1">
        <v>#VALUE!</v>
      </c>
      <c r="Z37" s="534" t="e" vm="1">
        <v>#VALUE!</v>
      </c>
      <c r="AA37" s="534" t="e" vm="1">
        <v>#VALUE!</v>
      </c>
      <c r="AB37" s="534" t="e" vm="1">
        <v>#VALUE!</v>
      </c>
      <c r="AC37" s="534" t="e" vm="1">
        <v>#VALUE!</v>
      </c>
      <c r="AD37" s="534" t="e" vm="1">
        <v>#VALUE!</v>
      </c>
      <c r="AE37" s="534" t="e" vm="1">
        <v>#VALUE!</v>
      </c>
      <c r="AF37" s="534" t="e" vm="1">
        <v>#VALUE!</v>
      </c>
      <c r="AG37" s="534" t="e" vm="1">
        <v>#VALUE!</v>
      </c>
      <c r="AH37" s="534" t="e" vm="1">
        <v>#VALUE!</v>
      </c>
      <c r="AI37" s="534" t="e" vm="1">
        <v>#VALUE!</v>
      </c>
      <c r="AJ37" s="511"/>
      <c r="AK37" s="511"/>
      <c r="AL37" s="511"/>
      <c r="AM37" s="511"/>
      <c r="AN37" s="533" t="e" vm="2">
        <v>#VALUE!</v>
      </c>
      <c r="AO37" s="534"/>
      <c r="AP37" s="534"/>
      <c r="AQ37" s="534"/>
      <c r="AR37" s="534"/>
      <c r="AS37" s="533" t="e" vm="2">
        <v>#VALUE!</v>
      </c>
      <c r="AT37" s="534"/>
      <c r="AU37" s="534"/>
      <c r="AV37" s="534"/>
      <c r="AW37" s="534"/>
      <c r="AX37" s="534" t="e" vm="2">
        <v>#VALUE!</v>
      </c>
      <c r="AY37" s="534" t="e" vm="2">
        <v>#VALUE!</v>
      </c>
    </row>
    <row r="38" spans="1:51">
      <c r="A38" s="593" t="s">
        <v>515</v>
      </c>
      <c r="B38" s="511"/>
      <c r="C38" s="511"/>
      <c r="D38" s="511"/>
      <c r="E38" s="512"/>
      <c r="F38" s="533" t="e" vm="2">
        <f>(F37/F33)*90</f>
        <v>#VALUE!</v>
      </c>
      <c r="G38" s="534" t="e" vm="2">
        <f t="shared" ref="G38:AH38" si="11">(G37/G33)*90</f>
        <v>#VALUE!</v>
      </c>
      <c r="H38" s="534" t="e" vm="2">
        <f t="shared" si="11"/>
        <v>#VALUE!</v>
      </c>
      <c r="I38" s="534" t="e" vm="2">
        <f t="shared" si="11"/>
        <v>#VALUE!</v>
      </c>
      <c r="J38" s="534" t="e" vm="2">
        <f>(J37/J33)*360</f>
        <v>#VALUE!</v>
      </c>
      <c r="K38" s="534" t="e" vm="2">
        <f t="shared" si="11"/>
        <v>#VALUE!</v>
      </c>
      <c r="L38" s="534" t="e" vm="2">
        <f t="shared" si="11"/>
        <v>#VALUE!</v>
      </c>
      <c r="M38" s="534" t="e" vm="2">
        <f t="shared" si="11"/>
        <v>#VALUE!</v>
      </c>
      <c r="N38" s="534" t="e" vm="2">
        <f t="shared" si="11"/>
        <v>#VALUE!</v>
      </c>
      <c r="O38" s="534" t="e" vm="2">
        <f>(O37/O33)*360</f>
        <v>#VALUE!</v>
      </c>
      <c r="P38" s="534" t="e" vm="2">
        <f t="shared" si="11"/>
        <v>#VALUE!</v>
      </c>
      <c r="Q38" s="534" t="e" vm="2">
        <f t="shared" si="11"/>
        <v>#VALUE!</v>
      </c>
      <c r="R38" s="534" t="e" vm="2">
        <f t="shared" si="11"/>
        <v>#VALUE!</v>
      </c>
      <c r="S38" s="534" t="e" vm="2">
        <f t="shared" si="11"/>
        <v>#VALUE!</v>
      </c>
      <c r="T38" s="534" t="e" vm="2">
        <f>(T37/T33)*360</f>
        <v>#VALUE!</v>
      </c>
      <c r="U38" s="534" t="e" vm="2">
        <f t="shared" si="11"/>
        <v>#VALUE!</v>
      </c>
      <c r="V38" s="534" t="e" vm="2">
        <f t="shared" si="11"/>
        <v>#VALUE!</v>
      </c>
      <c r="W38" s="534" t="e" vm="2">
        <f t="shared" si="11"/>
        <v>#VALUE!</v>
      </c>
      <c r="X38" s="534" t="e" vm="2">
        <f t="shared" si="11"/>
        <v>#VALUE!</v>
      </c>
      <c r="Y38" s="534" t="e" vm="2">
        <f>(Y37/Y33)*360</f>
        <v>#VALUE!</v>
      </c>
      <c r="Z38" s="534" t="e" vm="2">
        <f t="shared" si="11"/>
        <v>#VALUE!</v>
      </c>
      <c r="AA38" s="534" t="e" vm="2">
        <f t="shared" si="11"/>
        <v>#VALUE!</v>
      </c>
      <c r="AB38" s="534" t="e" vm="2">
        <f t="shared" si="11"/>
        <v>#VALUE!</v>
      </c>
      <c r="AC38" s="534" t="e" vm="2">
        <f t="shared" si="11"/>
        <v>#VALUE!</v>
      </c>
      <c r="AD38" s="534" t="e" vm="2">
        <f>(AD37/AD33)*360</f>
        <v>#VALUE!</v>
      </c>
      <c r="AE38" s="534" t="e" vm="2">
        <f t="shared" si="11"/>
        <v>#VALUE!</v>
      </c>
      <c r="AF38" s="534" t="e" vm="2">
        <f t="shared" si="11"/>
        <v>#VALUE!</v>
      </c>
      <c r="AG38" s="534" t="e" vm="2">
        <f t="shared" si="11"/>
        <v>#VALUE!</v>
      </c>
      <c r="AH38" s="534" t="e" vm="2">
        <f t="shared" si="11"/>
        <v>#VALUE!</v>
      </c>
      <c r="AI38" s="534" t="e" vm="2">
        <f>(AI37/AI33)*360</f>
        <v>#VALUE!</v>
      </c>
      <c r="AJ38" s="511"/>
      <c r="AK38" s="511"/>
      <c r="AL38" s="511"/>
      <c r="AM38" s="511"/>
      <c r="AN38" s="518" t="e" vm="2">
        <f>AVERAGE(AI38,AD38,Y38,T38,O38)</f>
        <v>#VALUE!</v>
      </c>
      <c r="AO38" s="519"/>
      <c r="AP38" s="519"/>
      <c r="AQ38" s="519"/>
      <c r="AR38" s="519"/>
      <c r="AS38" s="518" t="e" vm="2">
        <f>AVERAGE(AN38,AI38,AD38,Y38,T38)</f>
        <v>#VALUE!</v>
      </c>
      <c r="AT38" s="519"/>
      <c r="AU38" s="519"/>
      <c r="AV38" s="519"/>
      <c r="AW38" s="519"/>
      <c r="AX38" s="520" t="e" vm="2">
        <f>AVERAGE(AS38,AN38,AI38,AD38,Y38)</f>
        <v>#VALUE!</v>
      </c>
      <c r="AY38" s="520" t="e" vm="2">
        <f>AVERAGE(AX38,AS38,AN38,AI38,AD38)</f>
        <v>#VALUE!</v>
      </c>
    </row>
    <row r="39" spans="1:51">
      <c r="A39" s="592" t="s">
        <v>516</v>
      </c>
      <c r="B39" s="511"/>
      <c r="C39" s="511"/>
      <c r="D39" s="511"/>
      <c r="E39" s="512"/>
      <c r="F39" s="533" t="e" vm="1">
        <v>#VALUE!</v>
      </c>
      <c r="G39" s="534" t="e" vm="1">
        <v>#VALUE!</v>
      </c>
      <c r="H39" s="534" t="e" vm="1">
        <v>#VALUE!</v>
      </c>
      <c r="I39" s="534" t="e" vm="1">
        <v>#VALUE!</v>
      </c>
      <c r="J39" s="534" t="e" vm="1">
        <v>#VALUE!</v>
      </c>
      <c r="K39" s="534" t="e" vm="1">
        <v>#VALUE!</v>
      </c>
      <c r="L39" s="534" t="e" vm="1">
        <v>#VALUE!</v>
      </c>
      <c r="M39" s="534" t="e" vm="1">
        <v>#VALUE!</v>
      </c>
      <c r="N39" s="534" t="e" vm="1">
        <v>#VALUE!</v>
      </c>
      <c r="O39" s="534" t="e" vm="1">
        <v>#VALUE!</v>
      </c>
      <c r="P39" s="534" t="e" vm="1">
        <v>#VALUE!</v>
      </c>
      <c r="Q39" s="534" t="e" vm="1">
        <v>#VALUE!</v>
      </c>
      <c r="R39" s="534" t="e" vm="1">
        <v>#VALUE!</v>
      </c>
      <c r="S39" s="534" t="e" vm="1">
        <v>#VALUE!</v>
      </c>
      <c r="T39" s="534" t="e" vm="1">
        <v>#VALUE!</v>
      </c>
      <c r="U39" s="534" t="e" vm="1">
        <v>#VALUE!</v>
      </c>
      <c r="V39" s="534" t="e" vm="1">
        <v>#VALUE!</v>
      </c>
      <c r="W39" s="534" t="e" vm="1">
        <v>#VALUE!</v>
      </c>
      <c r="X39" s="534" t="e" vm="1">
        <v>#VALUE!</v>
      </c>
      <c r="Y39" s="534" t="e" vm="1">
        <v>#VALUE!</v>
      </c>
      <c r="Z39" s="534" t="e" vm="1">
        <v>#VALUE!</v>
      </c>
      <c r="AA39" s="534" t="e" vm="1">
        <v>#VALUE!</v>
      </c>
      <c r="AB39" s="534" t="e" vm="1">
        <v>#VALUE!</v>
      </c>
      <c r="AC39" s="534" t="e" vm="1">
        <v>#VALUE!</v>
      </c>
      <c r="AD39" s="534" t="e" vm="1">
        <v>#VALUE!</v>
      </c>
      <c r="AE39" s="534" t="e" vm="1">
        <v>#VALUE!</v>
      </c>
      <c r="AF39" s="534" t="e" vm="1">
        <v>#VALUE!</v>
      </c>
      <c r="AG39" s="534" t="e" vm="1">
        <v>#VALUE!</v>
      </c>
      <c r="AH39" s="534" t="e" vm="1">
        <v>#VALUE!</v>
      </c>
      <c r="AI39" s="534" t="e" vm="1">
        <v>#VALUE!</v>
      </c>
      <c r="AJ39" s="511"/>
      <c r="AK39" s="511"/>
      <c r="AL39" s="511"/>
      <c r="AM39" s="511"/>
      <c r="AN39" s="533" t="e" vm="2">
        <f>AN5*AN40</f>
        <v>#VALUE!</v>
      </c>
      <c r="AO39" s="534"/>
      <c r="AP39" s="534"/>
      <c r="AQ39" s="534"/>
      <c r="AR39" s="534"/>
      <c r="AS39" s="533" t="e" vm="2">
        <f>AS5*AS40</f>
        <v>#VALUE!</v>
      </c>
      <c r="AT39" s="534"/>
      <c r="AU39" s="534"/>
      <c r="AV39" s="534"/>
      <c r="AW39" s="534"/>
      <c r="AX39" s="534" t="e" vm="2">
        <f>AX40*AX5</f>
        <v>#VALUE!</v>
      </c>
      <c r="AY39" s="534" t="e" vm="2">
        <f>AY40*AY5</f>
        <v>#VALUE!</v>
      </c>
    </row>
    <row r="40" spans="1:51">
      <c r="A40" s="593" t="s">
        <v>922</v>
      </c>
      <c r="B40" s="511"/>
      <c r="C40" s="511"/>
      <c r="D40" s="511"/>
      <c r="E40" s="512"/>
      <c r="F40" s="533"/>
      <c r="G40" s="534"/>
      <c r="H40" s="534"/>
      <c r="I40" s="534"/>
      <c r="J40" s="534" t="e" vm="2">
        <f>J39/J34</f>
        <v>#VALUE!</v>
      </c>
      <c r="K40" s="534" t="e" vm="2">
        <f t="shared" ref="K40:AI40" si="12">K39/K34</f>
        <v>#VALUE!</v>
      </c>
      <c r="L40" s="534" t="e" vm="2">
        <f t="shared" si="12"/>
        <v>#VALUE!</v>
      </c>
      <c r="M40" s="534" t="e" vm="2">
        <f t="shared" si="12"/>
        <v>#VALUE!</v>
      </c>
      <c r="N40" s="534" t="e" vm="2">
        <f t="shared" si="12"/>
        <v>#VALUE!</v>
      </c>
      <c r="O40" s="534" t="e" vm="2">
        <f t="shared" si="12"/>
        <v>#VALUE!</v>
      </c>
      <c r="P40" s="534" t="e" vm="2">
        <f t="shared" si="12"/>
        <v>#VALUE!</v>
      </c>
      <c r="Q40" s="534" t="e" vm="2">
        <f t="shared" si="12"/>
        <v>#VALUE!</v>
      </c>
      <c r="R40" s="534" t="e" vm="2">
        <f t="shared" si="12"/>
        <v>#VALUE!</v>
      </c>
      <c r="S40" s="534" t="e" vm="2">
        <f t="shared" si="12"/>
        <v>#VALUE!</v>
      </c>
      <c r="T40" s="534" t="e" vm="2">
        <f t="shared" si="12"/>
        <v>#VALUE!</v>
      </c>
      <c r="U40" s="534" t="e" vm="2">
        <f t="shared" si="12"/>
        <v>#VALUE!</v>
      </c>
      <c r="V40" s="534" t="e" vm="2">
        <f t="shared" si="12"/>
        <v>#VALUE!</v>
      </c>
      <c r="W40" s="534" t="e" vm="2">
        <f t="shared" si="12"/>
        <v>#VALUE!</v>
      </c>
      <c r="X40" s="534" t="e" vm="2">
        <f t="shared" si="12"/>
        <v>#VALUE!</v>
      </c>
      <c r="Y40" s="534" t="e" vm="2">
        <f t="shared" si="12"/>
        <v>#VALUE!</v>
      </c>
      <c r="Z40" s="534" t="e" vm="2">
        <f t="shared" si="12"/>
        <v>#VALUE!</v>
      </c>
      <c r="AA40" s="534" t="e" vm="2">
        <f t="shared" si="12"/>
        <v>#VALUE!</v>
      </c>
      <c r="AB40" s="534" t="e" vm="2">
        <f t="shared" si="12"/>
        <v>#VALUE!</v>
      </c>
      <c r="AC40" s="534" t="e" vm="2">
        <f t="shared" si="12"/>
        <v>#VALUE!</v>
      </c>
      <c r="AD40" s="534" t="e" vm="2">
        <f t="shared" si="12"/>
        <v>#VALUE!</v>
      </c>
      <c r="AE40" s="534" t="e" vm="2">
        <f t="shared" si="12"/>
        <v>#VALUE!</v>
      </c>
      <c r="AF40" s="534" t="e" vm="2">
        <f t="shared" si="12"/>
        <v>#VALUE!</v>
      </c>
      <c r="AG40" s="534" t="e" vm="2">
        <f t="shared" si="12"/>
        <v>#VALUE!</v>
      </c>
      <c r="AH40" s="534" t="e" vm="2">
        <f t="shared" si="12"/>
        <v>#VALUE!</v>
      </c>
      <c r="AI40" s="534" t="e" vm="2">
        <f t="shared" si="12"/>
        <v>#VALUE!</v>
      </c>
      <c r="AJ40" s="511"/>
      <c r="AK40" s="511"/>
      <c r="AL40" s="511"/>
      <c r="AM40" s="511"/>
      <c r="AN40" s="513" t="e" vm="2">
        <f>AVERAGE(AI40,AD40,Y40,T40,O40,J40)</f>
        <v>#VALUE!</v>
      </c>
      <c r="AO40" s="514"/>
      <c r="AP40" s="514"/>
      <c r="AQ40" s="514"/>
      <c r="AR40" s="514"/>
      <c r="AS40" s="513" t="e" vm="2">
        <f>AN40</f>
        <v>#VALUE!</v>
      </c>
      <c r="AT40" s="514"/>
      <c r="AU40" s="514"/>
      <c r="AV40" s="514"/>
      <c r="AW40" s="514"/>
      <c r="AX40" s="514" t="e" vm="2">
        <f>AS40</f>
        <v>#VALUE!</v>
      </c>
      <c r="AY40" s="514" t="e" vm="2">
        <f>AX40</f>
        <v>#VALUE!</v>
      </c>
    </row>
    <row r="41" spans="1:51">
      <c r="A41" s="592" t="s">
        <v>518</v>
      </c>
      <c r="B41" s="511"/>
      <c r="C41" s="511"/>
      <c r="D41" s="511"/>
      <c r="E41" s="512"/>
      <c r="F41" s="533" t="e" vm="1">
        <v>#VALUE!</v>
      </c>
      <c r="G41" s="534" t="e" vm="1">
        <v>#VALUE!</v>
      </c>
      <c r="H41" s="534" t="e" vm="1">
        <v>#VALUE!</v>
      </c>
      <c r="I41" s="534" t="e" vm="1">
        <v>#VALUE!</v>
      </c>
      <c r="J41" s="534" t="e" vm="1">
        <v>#VALUE!</v>
      </c>
      <c r="K41" s="534" t="e" vm="1">
        <v>#VALUE!</v>
      </c>
      <c r="L41" s="534" t="e" vm="1">
        <v>#VALUE!</v>
      </c>
      <c r="M41" s="534" t="e" vm="1">
        <v>#VALUE!</v>
      </c>
      <c r="N41" s="534" t="e" vm="1">
        <v>#VALUE!</v>
      </c>
      <c r="O41" s="534" t="e" vm="1">
        <v>#VALUE!</v>
      </c>
      <c r="P41" s="534" t="e" vm="1">
        <v>#VALUE!</v>
      </c>
      <c r="Q41" s="534" t="e" vm="1">
        <v>#VALUE!</v>
      </c>
      <c r="R41" s="534" t="e" vm="1">
        <v>#VALUE!</v>
      </c>
      <c r="S41" s="534" t="e" vm="1">
        <v>#VALUE!</v>
      </c>
      <c r="T41" s="534" t="e" vm="1">
        <v>#VALUE!</v>
      </c>
      <c r="U41" s="534" t="e" vm="1">
        <v>#VALUE!</v>
      </c>
      <c r="V41" s="534" t="e" vm="1">
        <v>#VALUE!</v>
      </c>
      <c r="W41" s="534" t="e" vm="1">
        <v>#VALUE!</v>
      </c>
      <c r="X41" s="534" t="e" vm="1">
        <v>#VALUE!</v>
      </c>
      <c r="Y41" s="534" t="e" vm="1">
        <v>#VALUE!</v>
      </c>
      <c r="Z41" s="534" t="e" vm="1">
        <v>#VALUE!</v>
      </c>
      <c r="AA41" s="534" t="e" vm="1">
        <v>#VALUE!</v>
      </c>
      <c r="AB41" s="534" t="e" vm="1">
        <v>#VALUE!</v>
      </c>
      <c r="AC41" s="534" t="e" vm="1">
        <v>#VALUE!</v>
      </c>
      <c r="AD41" s="534" t="e" vm="1">
        <v>#VALUE!</v>
      </c>
      <c r="AE41" s="534" t="e" vm="1">
        <v>#VALUE!</v>
      </c>
      <c r="AF41" s="534" t="e" vm="1">
        <v>#VALUE!</v>
      </c>
      <c r="AG41" s="534" t="e" vm="1">
        <v>#VALUE!</v>
      </c>
      <c r="AH41" s="534" t="e" vm="1">
        <v>#VALUE!</v>
      </c>
      <c r="AI41" s="534" t="e" vm="1">
        <v>#VALUE!</v>
      </c>
      <c r="AJ41" s="511"/>
      <c r="AK41" s="511"/>
      <c r="AL41" s="511"/>
      <c r="AM41" s="511"/>
      <c r="AN41" s="533" t="e" vm="2">
        <f>AN42/360*AN10</f>
        <v>#VALUE!</v>
      </c>
      <c r="AO41" s="534"/>
      <c r="AP41" s="534"/>
      <c r="AQ41" s="534"/>
      <c r="AR41" s="534"/>
      <c r="AS41" s="533" t="e" vm="2">
        <f>AS42/360*AS10</f>
        <v>#VALUE!</v>
      </c>
      <c r="AT41" s="534"/>
      <c r="AU41" s="534"/>
      <c r="AV41" s="534"/>
      <c r="AW41" s="534"/>
      <c r="AX41" s="534" t="e" vm="2">
        <f>AX42/360 *AX10</f>
        <v>#VALUE!</v>
      </c>
      <c r="AY41" s="534" t="e" vm="2">
        <f>AY42/360*AY10</f>
        <v>#VALUE!</v>
      </c>
    </row>
    <row r="42" spans="1:51">
      <c r="A42" s="593" t="s">
        <v>519</v>
      </c>
      <c r="B42" s="511"/>
      <c r="C42" s="511"/>
      <c r="D42" s="511"/>
      <c r="E42" s="512"/>
      <c r="F42" s="533" t="e" vm="2">
        <f t="shared" ref="F42:N42" si="13">(F41/F34)*90</f>
        <v>#VALUE!</v>
      </c>
      <c r="G42" s="534" t="e" vm="2">
        <f t="shared" si="13"/>
        <v>#VALUE!</v>
      </c>
      <c r="H42" s="534" t="e" vm="2">
        <f t="shared" si="13"/>
        <v>#VALUE!</v>
      </c>
      <c r="I42" s="534" t="e" vm="2">
        <f t="shared" si="13"/>
        <v>#VALUE!</v>
      </c>
      <c r="J42" s="534" t="e" vm="2">
        <f t="shared" si="13"/>
        <v>#VALUE!</v>
      </c>
      <c r="K42" s="534" t="e" vm="2">
        <f t="shared" si="13"/>
        <v>#VALUE!</v>
      </c>
      <c r="L42" s="534" t="e" vm="2">
        <f t="shared" si="13"/>
        <v>#VALUE!</v>
      </c>
      <c r="M42" s="534" t="e" vm="2">
        <f t="shared" si="13"/>
        <v>#VALUE!</v>
      </c>
      <c r="N42" s="534" t="e" vm="2">
        <f t="shared" si="13"/>
        <v>#VALUE!</v>
      </c>
      <c r="O42" s="534" t="e" vm="2">
        <f>(O41/O34)*360</f>
        <v>#VALUE!</v>
      </c>
      <c r="P42" s="534" t="e" vm="2">
        <f>(P41/P34)*90</f>
        <v>#VALUE!</v>
      </c>
      <c r="Q42" s="534" t="e" vm="2">
        <f>(Q41/Q34)*90</f>
        <v>#VALUE!</v>
      </c>
      <c r="R42" s="534" t="e" vm="2">
        <f>(R41/R34)*90</f>
        <v>#VALUE!</v>
      </c>
      <c r="S42" s="534" t="e" vm="2">
        <f>(S41/S34)*90</f>
        <v>#VALUE!</v>
      </c>
      <c r="T42" s="534" t="e" vm="2">
        <f>(T41/T34)*360</f>
        <v>#VALUE!</v>
      </c>
      <c r="U42" s="534" t="e" vm="2">
        <f>(U41/U34)*90</f>
        <v>#VALUE!</v>
      </c>
      <c r="V42" s="534" t="e" vm="2">
        <f>(V41/V34)*90</f>
        <v>#VALUE!</v>
      </c>
      <c r="W42" s="534" t="e" vm="2">
        <f>(W41/W34)*90</f>
        <v>#VALUE!</v>
      </c>
      <c r="X42" s="534" t="e" vm="2">
        <f>(X41/X34)*90</f>
        <v>#VALUE!</v>
      </c>
      <c r="Y42" s="534" t="e" vm="2">
        <f>(Y41/Y34)*360</f>
        <v>#VALUE!</v>
      </c>
      <c r="Z42" s="534" t="e" vm="2">
        <f>(Z41/Z34)*90</f>
        <v>#VALUE!</v>
      </c>
      <c r="AA42" s="534" t="e" vm="2">
        <f>(AA41/AA34)*90</f>
        <v>#VALUE!</v>
      </c>
      <c r="AB42" s="534" t="e" vm="2">
        <f>(AB41/AB34)*90</f>
        <v>#VALUE!</v>
      </c>
      <c r="AC42" s="534" t="e" vm="2">
        <f>(AC41/AC34)*90</f>
        <v>#VALUE!</v>
      </c>
      <c r="AD42" s="534" t="e" vm="2">
        <f>(AD41/AD34)*360</f>
        <v>#VALUE!</v>
      </c>
      <c r="AE42" s="534" t="e" vm="2">
        <f>(AE41/AE34)*90</f>
        <v>#VALUE!</v>
      </c>
      <c r="AF42" s="534" t="e" vm="2">
        <f>(AF41/AF34)*90</f>
        <v>#VALUE!</v>
      </c>
      <c r="AG42" s="534" t="e" vm="2">
        <f>(AG41/AG34)*90</f>
        <v>#VALUE!</v>
      </c>
      <c r="AH42" s="534" t="e" vm="2">
        <f>(AH41/AH34)*90</f>
        <v>#VALUE!</v>
      </c>
      <c r="AI42" s="534" t="e" vm="2">
        <f>(AI41/AI34)*360</f>
        <v>#VALUE!</v>
      </c>
      <c r="AJ42" s="511"/>
      <c r="AK42" s="511"/>
      <c r="AL42" s="511"/>
      <c r="AM42" s="511"/>
      <c r="AN42" s="518" t="e" vm="2">
        <f>MEDIAN(AI42,AD42,Y42,T42,O42,J42)</f>
        <v>#VALUE!</v>
      </c>
      <c r="AO42" s="519"/>
      <c r="AP42" s="519"/>
      <c r="AQ42" s="519"/>
      <c r="AR42" s="519"/>
      <c r="AS42" s="518" t="e" vm="2">
        <f>AN42</f>
        <v>#VALUE!</v>
      </c>
      <c r="AT42" s="519"/>
      <c r="AU42" s="519"/>
      <c r="AV42" s="519"/>
      <c r="AW42" s="519"/>
      <c r="AX42" s="520" t="e" vm="2">
        <f>AN42</f>
        <v>#VALUE!</v>
      </c>
      <c r="AY42" s="520" t="e" vm="2">
        <f>AN42</f>
        <v>#VALUE!</v>
      </c>
    </row>
    <row r="43" spans="1:51">
      <c r="A43" s="594"/>
      <c r="B43" s="511"/>
      <c r="C43" s="511"/>
      <c r="D43" s="511"/>
      <c r="E43" s="512"/>
      <c r="F43" s="533"/>
      <c r="G43" s="534"/>
      <c r="H43" s="534"/>
      <c r="I43" s="534"/>
      <c r="J43" s="534"/>
      <c r="K43" s="534"/>
      <c r="L43" s="534"/>
      <c r="M43" s="534"/>
      <c r="N43" s="534"/>
      <c r="O43" s="534"/>
      <c r="P43" s="534"/>
      <c r="Q43" s="534"/>
      <c r="R43" s="534"/>
      <c r="S43" s="534"/>
      <c r="T43" s="534"/>
      <c r="U43" s="534"/>
      <c r="V43" s="534"/>
      <c r="W43" s="534"/>
      <c r="X43" s="534"/>
      <c r="Y43" s="534"/>
      <c r="Z43" s="534"/>
      <c r="AA43" s="534"/>
      <c r="AB43" s="534"/>
      <c r="AC43" s="534"/>
      <c r="AD43" s="534"/>
      <c r="AE43" s="534"/>
      <c r="AF43" s="534"/>
      <c r="AG43" s="534"/>
      <c r="AH43" s="534"/>
      <c r="AI43" s="534"/>
      <c r="AJ43" s="511"/>
      <c r="AK43" s="511"/>
      <c r="AL43" s="511"/>
      <c r="AM43" s="511"/>
      <c r="AO43" s="511"/>
      <c r="AP43" s="511"/>
      <c r="AQ43" s="511"/>
      <c r="AR43" s="511"/>
      <c r="AT43" s="511"/>
      <c r="AU43" s="511"/>
      <c r="AV43" s="511"/>
      <c r="AW43" s="511"/>
      <c r="AX43" s="511"/>
      <c r="AY43" s="511"/>
    </row>
    <row r="44" spans="1:51" ht="12.4" thickBot="1">
      <c r="A44" s="595" t="s">
        <v>520</v>
      </c>
      <c r="B44" s="511"/>
      <c r="C44" s="511"/>
      <c r="D44" s="511"/>
      <c r="E44" s="512"/>
      <c r="F44" s="733" t="e" vm="2">
        <f t="shared" ref="F44:AI44" si="14">F37+F39+F41</f>
        <v>#VALUE!</v>
      </c>
      <c r="G44" s="734" t="e" vm="2">
        <f t="shared" si="14"/>
        <v>#VALUE!</v>
      </c>
      <c r="H44" s="734" t="e" vm="2">
        <f t="shared" si="14"/>
        <v>#VALUE!</v>
      </c>
      <c r="I44" s="734" t="e" vm="2">
        <f t="shared" si="14"/>
        <v>#VALUE!</v>
      </c>
      <c r="J44" s="734" t="e" vm="2">
        <f t="shared" si="14"/>
        <v>#VALUE!</v>
      </c>
      <c r="K44" s="734" t="e" vm="2">
        <f t="shared" si="14"/>
        <v>#VALUE!</v>
      </c>
      <c r="L44" s="734" t="e" vm="2">
        <f t="shared" si="14"/>
        <v>#VALUE!</v>
      </c>
      <c r="M44" s="734" t="e" vm="2">
        <f t="shared" si="14"/>
        <v>#VALUE!</v>
      </c>
      <c r="N44" s="734" t="e" vm="2">
        <f t="shared" si="14"/>
        <v>#VALUE!</v>
      </c>
      <c r="O44" s="734" t="e" vm="2">
        <f t="shared" si="14"/>
        <v>#VALUE!</v>
      </c>
      <c r="P44" s="734" t="e" vm="2">
        <f t="shared" si="14"/>
        <v>#VALUE!</v>
      </c>
      <c r="Q44" s="734" t="e" vm="2">
        <f t="shared" si="14"/>
        <v>#VALUE!</v>
      </c>
      <c r="R44" s="734" t="e" vm="2">
        <f t="shared" si="14"/>
        <v>#VALUE!</v>
      </c>
      <c r="S44" s="734" t="e" vm="2">
        <f t="shared" si="14"/>
        <v>#VALUE!</v>
      </c>
      <c r="T44" s="734" t="e" vm="2">
        <f t="shared" si="14"/>
        <v>#VALUE!</v>
      </c>
      <c r="U44" s="734" t="e" vm="2">
        <f t="shared" si="14"/>
        <v>#VALUE!</v>
      </c>
      <c r="V44" s="734" t="e" vm="2">
        <f t="shared" si="14"/>
        <v>#VALUE!</v>
      </c>
      <c r="W44" s="734" t="e" vm="2">
        <f t="shared" si="14"/>
        <v>#VALUE!</v>
      </c>
      <c r="X44" s="734" t="e" vm="2">
        <f t="shared" si="14"/>
        <v>#VALUE!</v>
      </c>
      <c r="Y44" s="734" t="e" vm="2">
        <f t="shared" si="14"/>
        <v>#VALUE!</v>
      </c>
      <c r="Z44" s="734" t="e" vm="2">
        <f t="shared" si="14"/>
        <v>#VALUE!</v>
      </c>
      <c r="AA44" s="734" t="e" vm="2">
        <f t="shared" si="14"/>
        <v>#VALUE!</v>
      </c>
      <c r="AB44" s="734" t="e" vm="2">
        <f t="shared" si="14"/>
        <v>#VALUE!</v>
      </c>
      <c r="AC44" s="734" t="e" vm="2">
        <f t="shared" si="14"/>
        <v>#VALUE!</v>
      </c>
      <c r="AD44" s="734" t="e" vm="2">
        <f t="shared" si="14"/>
        <v>#VALUE!</v>
      </c>
      <c r="AE44" s="734" t="e" vm="2">
        <f t="shared" si="14"/>
        <v>#VALUE!</v>
      </c>
      <c r="AF44" s="734" t="e" vm="2">
        <f t="shared" si="14"/>
        <v>#VALUE!</v>
      </c>
      <c r="AG44" s="734" t="e" vm="2">
        <f t="shared" si="14"/>
        <v>#VALUE!</v>
      </c>
      <c r="AH44" s="734" t="e" vm="2">
        <f t="shared" si="14"/>
        <v>#VALUE!</v>
      </c>
      <c r="AI44" s="734" t="e" vm="2">
        <f t="shared" si="14"/>
        <v>#VALUE!</v>
      </c>
      <c r="AJ44" s="735"/>
      <c r="AK44" s="735"/>
      <c r="AL44" s="735"/>
      <c r="AM44" s="735"/>
      <c r="AN44" s="733" t="e" vm="2">
        <f>AN41+AN39+AN37</f>
        <v>#VALUE!</v>
      </c>
      <c r="AO44" s="734"/>
      <c r="AP44" s="734"/>
      <c r="AQ44" s="734"/>
      <c r="AR44" s="734"/>
      <c r="AS44" s="733" t="e" vm="2">
        <f t="shared" ref="AS44:AY44" si="15">AS41+AS39+AS37</f>
        <v>#VALUE!</v>
      </c>
      <c r="AT44" s="734"/>
      <c r="AU44" s="734"/>
      <c r="AV44" s="734"/>
      <c r="AW44" s="734"/>
      <c r="AX44" s="734" t="e" vm="2">
        <f t="shared" si="15"/>
        <v>#VALUE!</v>
      </c>
      <c r="AY44" s="734" t="e" vm="2">
        <f t="shared" si="15"/>
        <v>#VALUE!</v>
      </c>
    </row>
    <row r="45" spans="1:51">
      <c r="A45" s="594"/>
      <c r="B45" s="511"/>
      <c r="C45" s="511"/>
      <c r="D45" s="511"/>
      <c r="E45" s="512"/>
      <c r="F45" s="533"/>
      <c r="G45" s="534"/>
      <c r="H45" s="534"/>
      <c r="I45" s="534"/>
      <c r="J45" s="534"/>
      <c r="K45" s="534"/>
      <c r="L45" s="534"/>
      <c r="M45" s="534"/>
      <c r="N45" s="534"/>
      <c r="O45" s="534"/>
      <c r="P45" s="534"/>
      <c r="Q45" s="534"/>
      <c r="R45" s="534"/>
      <c r="S45" s="534"/>
      <c r="T45" s="534"/>
      <c r="U45" s="534"/>
      <c r="V45" s="534"/>
      <c r="W45" s="534"/>
      <c r="X45" s="534"/>
      <c r="Y45" s="534"/>
      <c r="Z45" s="534"/>
      <c r="AA45" s="534"/>
      <c r="AB45" s="534"/>
      <c r="AC45" s="534"/>
      <c r="AD45" s="534"/>
      <c r="AE45" s="534"/>
      <c r="AF45" s="534"/>
      <c r="AG45" s="534"/>
      <c r="AH45" s="534"/>
      <c r="AI45" s="534"/>
      <c r="AJ45" s="511"/>
      <c r="AK45" s="511"/>
      <c r="AL45" s="511"/>
      <c r="AM45" s="511"/>
      <c r="AO45" s="511"/>
      <c r="AP45" s="511"/>
      <c r="AQ45" s="511"/>
      <c r="AR45" s="511"/>
      <c r="AT45" s="511"/>
      <c r="AU45" s="511"/>
      <c r="AV45" s="511"/>
      <c r="AW45" s="511"/>
      <c r="AX45" s="511"/>
      <c r="AY45" s="511"/>
    </row>
    <row r="46" spans="1:51">
      <c r="A46" s="591" t="s">
        <v>521</v>
      </c>
      <c r="B46" s="511"/>
      <c r="C46" s="511"/>
      <c r="D46" s="511"/>
      <c r="E46" s="512"/>
      <c r="F46" s="533"/>
      <c r="G46" s="534"/>
      <c r="H46" s="534"/>
      <c r="I46" s="534"/>
      <c r="J46" s="534"/>
      <c r="K46" s="534"/>
      <c r="L46" s="534"/>
      <c r="M46" s="534"/>
      <c r="N46" s="534"/>
      <c r="O46" s="534"/>
      <c r="P46" s="534"/>
      <c r="Q46" s="534"/>
      <c r="R46" s="534"/>
      <c r="S46" s="534"/>
      <c r="T46" s="534"/>
      <c r="U46" s="534"/>
      <c r="V46" s="534"/>
      <c r="W46" s="534"/>
      <c r="X46" s="534"/>
      <c r="Y46" s="534"/>
      <c r="Z46" s="534"/>
      <c r="AA46" s="534"/>
      <c r="AB46" s="534"/>
      <c r="AC46" s="534"/>
      <c r="AD46" s="534"/>
      <c r="AE46" s="534"/>
      <c r="AF46" s="534"/>
      <c r="AG46" s="534"/>
      <c r="AH46" s="534"/>
      <c r="AI46" s="534"/>
      <c r="AJ46" s="511"/>
      <c r="AK46" s="511"/>
      <c r="AL46" s="511"/>
      <c r="AM46" s="511"/>
      <c r="AO46" s="511"/>
      <c r="AP46" s="511"/>
      <c r="AQ46" s="511"/>
      <c r="AR46" s="511"/>
      <c r="AT46" s="511"/>
      <c r="AU46" s="511"/>
      <c r="AV46" s="511"/>
      <c r="AW46" s="511"/>
      <c r="AX46" s="511"/>
      <c r="AY46" s="511"/>
    </row>
    <row r="47" spans="1:51">
      <c r="A47" s="592" t="s">
        <v>219</v>
      </c>
      <c r="B47" s="511"/>
      <c r="C47" s="511"/>
      <c r="D47" s="511"/>
      <c r="E47" s="512"/>
      <c r="F47" s="533" t="e" vm="1">
        <v>#VALUE!</v>
      </c>
      <c r="G47" s="534" t="e" vm="1">
        <v>#VALUE!</v>
      </c>
      <c r="H47" s="534" t="e" vm="1">
        <v>#VALUE!</v>
      </c>
      <c r="I47" s="534" t="e" vm="1">
        <v>#VALUE!</v>
      </c>
      <c r="J47" s="534" t="e" vm="1">
        <v>#VALUE!</v>
      </c>
      <c r="K47" s="534" t="e" vm="1">
        <v>#VALUE!</v>
      </c>
      <c r="L47" s="534" t="e" vm="1">
        <v>#VALUE!</v>
      </c>
      <c r="M47" s="534" t="e" vm="1">
        <v>#VALUE!</v>
      </c>
      <c r="N47" s="534" t="e" vm="1">
        <v>#VALUE!</v>
      </c>
      <c r="O47" s="534" t="e" vm="1">
        <v>#VALUE!</v>
      </c>
      <c r="P47" s="534" t="e" vm="1">
        <v>#VALUE!</v>
      </c>
      <c r="Q47" s="534" t="e" vm="1">
        <v>#VALUE!</v>
      </c>
      <c r="R47" s="534" t="e" vm="1">
        <v>#VALUE!</v>
      </c>
      <c r="S47" s="534" t="e" vm="1">
        <v>#VALUE!</v>
      </c>
      <c r="T47" s="534" t="e" vm="1">
        <v>#VALUE!</v>
      </c>
      <c r="U47" s="534" t="e" vm="1">
        <v>#VALUE!</v>
      </c>
      <c r="V47" s="534" t="e" vm="1">
        <v>#VALUE!</v>
      </c>
      <c r="W47" s="534" t="e" vm="1">
        <v>#VALUE!</v>
      </c>
      <c r="X47" s="534" t="e" vm="1">
        <v>#VALUE!</v>
      </c>
      <c r="Y47" s="534" t="e" vm="1">
        <v>#VALUE!</v>
      </c>
      <c r="Z47" s="534" t="e" vm="1">
        <v>#VALUE!</v>
      </c>
      <c r="AA47" s="534" t="e" vm="1">
        <v>#VALUE!</v>
      </c>
      <c r="AB47" s="534" t="e" vm="1">
        <v>#VALUE!</v>
      </c>
      <c r="AC47" s="534" t="e" vm="1">
        <v>#VALUE!</v>
      </c>
      <c r="AD47" s="534" t="e" vm="1">
        <v>#VALUE!</v>
      </c>
      <c r="AE47" s="534" t="e" vm="1">
        <v>#VALUE!</v>
      </c>
      <c r="AF47" s="534" t="e" vm="1">
        <v>#VALUE!</v>
      </c>
      <c r="AG47" s="534" t="e" vm="1">
        <v>#VALUE!</v>
      </c>
      <c r="AH47" s="534" t="e" vm="1">
        <v>#VALUE!</v>
      </c>
      <c r="AI47" s="534" t="e" vm="1">
        <v>#VALUE!</v>
      </c>
      <c r="AJ47" s="534"/>
      <c r="AK47" s="534"/>
      <c r="AL47" s="534"/>
      <c r="AM47" s="534"/>
      <c r="AN47" s="533">
        <f>AN48/360*AN34</f>
        <v>2451.8830092628723</v>
      </c>
      <c r="AO47" s="534"/>
      <c r="AP47" s="534"/>
      <c r="AQ47" s="534"/>
      <c r="AR47" s="534"/>
      <c r="AS47" s="533">
        <f t="shared" ref="AS47:AY47" si="16">AS48/360*AS34</f>
        <v>2270.1008116324856</v>
      </c>
      <c r="AT47" s="534"/>
      <c r="AU47" s="534"/>
      <c r="AV47" s="534"/>
      <c r="AW47" s="534"/>
      <c r="AX47" s="534">
        <f t="shared" si="16"/>
        <v>2263.3821351984893</v>
      </c>
      <c r="AY47" s="534">
        <f t="shared" si="16"/>
        <v>2258.8018233253074</v>
      </c>
    </row>
    <row r="48" spans="1:51">
      <c r="A48" s="593" t="s">
        <v>522</v>
      </c>
      <c r="B48" s="511"/>
      <c r="C48" s="511"/>
      <c r="D48" s="511"/>
      <c r="E48" s="512"/>
      <c r="F48" s="533" t="e" vm="2">
        <f>(F47/F34)*360</f>
        <v>#VALUE!</v>
      </c>
      <c r="G48" s="534" t="e" vm="2">
        <f>(G47/G34)*90</f>
        <v>#VALUE!</v>
      </c>
      <c r="H48" s="534" t="e" vm="2">
        <f>(H47/H34)*90</f>
        <v>#VALUE!</v>
      </c>
      <c r="I48" s="534" t="e" vm="2">
        <f>(I47/I34)*90</f>
        <v>#VALUE!</v>
      </c>
      <c r="J48" s="534" t="e" vm="2">
        <f>(J47/J34)*360</f>
        <v>#VALUE!</v>
      </c>
      <c r="K48" s="534" t="e" vm="2">
        <f>(K47/K34)*90</f>
        <v>#VALUE!</v>
      </c>
      <c r="L48" s="534" t="e" vm="2">
        <f>(L47/L34)*90</f>
        <v>#VALUE!</v>
      </c>
      <c r="M48" s="534" t="e" vm="2">
        <f>(M47/M34)*90</f>
        <v>#VALUE!</v>
      </c>
      <c r="N48" s="534" t="e" vm="2">
        <f>(N47/N34)*90</f>
        <v>#VALUE!</v>
      </c>
      <c r="O48" s="534" t="e" vm="2">
        <f>(O47/O34)*360</f>
        <v>#VALUE!</v>
      </c>
      <c r="P48" s="534" t="e" vm="2">
        <f>(P47/P34)*90</f>
        <v>#VALUE!</v>
      </c>
      <c r="Q48" s="534" t="e" vm="2">
        <f>(Q47/Q34)*90</f>
        <v>#VALUE!</v>
      </c>
      <c r="R48" s="534" t="e" vm="2">
        <f>(R47/R34)*90</f>
        <v>#VALUE!</v>
      </c>
      <c r="S48" s="534" t="e" vm="2">
        <f>(S47/S34)*90</f>
        <v>#VALUE!</v>
      </c>
      <c r="T48" s="534" t="e" vm="2">
        <f>(T47/T34)*360</f>
        <v>#VALUE!</v>
      </c>
      <c r="U48" s="534" t="e" vm="2">
        <f>(U47/U34)*90</f>
        <v>#VALUE!</v>
      </c>
      <c r="V48" s="534" t="e" vm="2">
        <f>(V47/V34)*90</f>
        <v>#VALUE!</v>
      </c>
      <c r="W48" s="534" t="e" vm="2">
        <f>(W47/W34)*90</f>
        <v>#VALUE!</v>
      </c>
      <c r="X48" s="534" t="e" vm="2">
        <f>(X47/X34)*90</f>
        <v>#VALUE!</v>
      </c>
      <c r="Y48" s="534" t="e" vm="2">
        <f>(Y47/Y34)*360</f>
        <v>#VALUE!</v>
      </c>
      <c r="Z48" s="534" t="e" vm="2">
        <f>(Z47/Z34)*90</f>
        <v>#VALUE!</v>
      </c>
      <c r="AA48" s="534" t="e" vm="2">
        <f>(AA47/AA34)*90</f>
        <v>#VALUE!</v>
      </c>
      <c r="AB48" s="534" t="e" vm="2">
        <f>(AB47/AB34)*90</f>
        <v>#VALUE!</v>
      </c>
      <c r="AC48" s="534" t="e" vm="2">
        <f>(AC47/AC34)*90</f>
        <v>#VALUE!</v>
      </c>
      <c r="AD48" s="534" t="e" vm="2">
        <f>(AD47/AD34)*360</f>
        <v>#VALUE!</v>
      </c>
      <c r="AE48" s="534" t="e" vm="2">
        <f>(AE47/AE34)*90</f>
        <v>#VALUE!</v>
      </c>
      <c r="AF48" s="534" t="e" vm="2">
        <f>(AF47/AF34)*90</f>
        <v>#VALUE!</v>
      </c>
      <c r="AG48" s="534" t="e" vm="2">
        <f>(AG47/AG34)*90</f>
        <v>#VALUE!</v>
      </c>
      <c r="AH48" s="534" t="e" vm="2">
        <f>(AH47/AH34)*90</f>
        <v>#VALUE!</v>
      </c>
      <c r="AI48" s="534" t="e" vm="2">
        <f>(AI47/AI34)*360</f>
        <v>#VALUE!</v>
      </c>
      <c r="AJ48" s="511"/>
      <c r="AK48" s="511"/>
      <c r="AL48" s="511"/>
      <c r="AM48" s="511"/>
      <c r="AN48" s="518">
        <v>67</v>
      </c>
      <c r="AO48" s="520"/>
      <c r="AP48" s="520"/>
      <c r="AQ48" s="520"/>
      <c r="AR48" s="520"/>
      <c r="AS48" s="518">
        <v>67</v>
      </c>
      <c r="AT48" s="520"/>
      <c r="AU48" s="520"/>
      <c r="AV48" s="520"/>
      <c r="AW48" s="520"/>
      <c r="AX48" s="520">
        <v>67</v>
      </c>
      <c r="AY48" s="520">
        <v>67</v>
      </c>
    </row>
    <row r="49" spans="1:60">
      <c r="A49" s="592" t="s">
        <v>523</v>
      </c>
      <c r="B49" s="511"/>
      <c r="C49" s="511"/>
      <c r="D49" s="511"/>
      <c r="E49" s="512"/>
      <c r="F49" s="533">
        <v>0</v>
      </c>
      <c r="G49" s="534">
        <v>0</v>
      </c>
      <c r="H49" s="534">
        <v>0</v>
      </c>
      <c r="I49" s="534" t="e" vm="1">
        <v>#VALUE!</v>
      </c>
      <c r="J49" s="534" t="e" vm="1">
        <v>#VALUE!</v>
      </c>
      <c r="K49" s="534">
        <v>0</v>
      </c>
      <c r="L49" s="534">
        <v>0</v>
      </c>
      <c r="M49" s="534">
        <v>0</v>
      </c>
      <c r="N49" s="534" t="e" vm="1">
        <v>#VALUE!</v>
      </c>
      <c r="O49" s="534" t="e" vm="1">
        <v>#VALUE!</v>
      </c>
      <c r="P49" s="534">
        <v>0</v>
      </c>
      <c r="Q49" s="534">
        <v>0</v>
      </c>
      <c r="R49" s="534">
        <v>0</v>
      </c>
      <c r="S49" s="534" t="e" vm="1">
        <v>#VALUE!</v>
      </c>
      <c r="T49" s="534" t="e" vm="1">
        <v>#VALUE!</v>
      </c>
      <c r="U49" s="534">
        <v>0</v>
      </c>
      <c r="V49" s="534">
        <v>0</v>
      </c>
      <c r="W49" s="534">
        <v>0</v>
      </c>
      <c r="X49" s="534" t="e" vm="1">
        <v>#VALUE!</v>
      </c>
      <c r="Y49" s="534" t="e" vm="1">
        <v>#VALUE!</v>
      </c>
      <c r="Z49" s="534">
        <v>0</v>
      </c>
      <c r="AA49" s="534">
        <v>0</v>
      </c>
      <c r="AB49" s="534">
        <v>0</v>
      </c>
      <c r="AC49" s="534" t="e" vm="1">
        <v>#VALUE!</v>
      </c>
      <c r="AD49" s="534" t="e" vm="1">
        <v>#VALUE!</v>
      </c>
      <c r="AE49" s="534">
        <v>0</v>
      </c>
      <c r="AF49" s="534">
        <v>0</v>
      </c>
      <c r="AG49" s="534">
        <v>0</v>
      </c>
      <c r="AH49" s="534" t="e" vm="1">
        <v>#VALUE!</v>
      </c>
      <c r="AI49" s="534" t="e" vm="1">
        <v>#VALUE!</v>
      </c>
      <c r="AJ49" s="511"/>
      <c r="AK49" s="511"/>
      <c r="AL49" s="511"/>
      <c r="AM49" s="511"/>
      <c r="AN49" s="533">
        <f>AN50/360*AN34</f>
        <v>1079.5604294515631</v>
      </c>
      <c r="AO49" s="534"/>
      <c r="AP49" s="534"/>
      <c r="AQ49" s="534"/>
      <c r="AR49" s="534"/>
      <c r="AS49" s="533">
        <f t="shared" ref="AS49:AY49" si="17">AS50/360*AS34</f>
        <v>999.5219991516168</v>
      </c>
      <c r="AT49" s="534"/>
      <c r="AU49" s="534"/>
      <c r="AV49" s="534"/>
      <c r="AW49" s="534"/>
      <c r="AX49" s="534">
        <f t="shared" si="17"/>
        <v>996.56377594560354</v>
      </c>
      <c r="AY49" s="534">
        <f t="shared" si="17"/>
        <v>994.54707146412795</v>
      </c>
    </row>
    <row r="50" spans="1:60">
      <c r="A50" s="593" t="s">
        <v>524</v>
      </c>
      <c r="B50" s="511"/>
      <c r="C50" s="511"/>
      <c r="D50" s="511"/>
      <c r="E50" s="512"/>
      <c r="F50" s="533">
        <f>(F49/F10)*90</f>
        <v>0</v>
      </c>
      <c r="G50" s="534">
        <f>(G49/G10)*90</f>
        <v>0</v>
      </c>
      <c r="H50" s="534">
        <f>(H49/H10)*90</f>
        <v>0</v>
      </c>
      <c r="I50" s="534" t="e" vm="2">
        <f>(I49/I10)*90</f>
        <v>#VALUE!</v>
      </c>
      <c r="J50" s="534" t="e" vm="2">
        <f>(J49/J10)*360</f>
        <v>#VALUE!</v>
      </c>
      <c r="K50" s="534">
        <f>(K49/K10)*90</f>
        <v>0</v>
      </c>
      <c r="L50" s="534">
        <f>(L49/L10)*90</f>
        <v>0</v>
      </c>
      <c r="M50" s="534">
        <f>(M49/M10)*90</f>
        <v>0</v>
      </c>
      <c r="N50" s="534" t="e" vm="2">
        <f>(N49/N10)*90</f>
        <v>#VALUE!</v>
      </c>
      <c r="O50" s="534" t="e" vm="2">
        <f>(O49/O10)*360</f>
        <v>#VALUE!</v>
      </c>
      <c r="P50" s="534">
        <f>(P49/P10)*90</f>
        <v>0</v>
      </c>
      <c r="Q50" s="534">
        <f>(Q49/Q10)*90</f>
        <v>0</v>
      </c>
      <c r="R50" s="534">
        <f>(R49/R10)*90</f>
        <v>0</v>
      </c>
      <c r="S50" s="534" t="e" vm="2">
        <f>(S49/S10)*90</f>
        <v>#VALUE!</v>
      </c>
      <c r="T50" s="534" t="e" vm="2">
        <f>(T49/T10)*360</f>
        <v>#VALUE!</v>
      </c>
      <c r="U50" s="534">
        <f>(U49/U10)*90</f>
        <v>0</v>
      </c>
      <c r="V50" s="534">
        <f>(V49/V10)*90</f>
        <v>0</v>
      </c>
      <c r="W50" s="534">
        <f>(W49/W10)*90</f>
        <v>0</v>
      </c>
      <c r="X50" s="534" t="e" vm="2">
        <f>(X49/X10)*90</f>
        <v>#VALUE!</v>
      </c>
      <c r="Y50" s="534" t="e" vm="2">
        <f>(Y49/Y10)*360</f>
        <v>#VALUE!</v>
      </c>
      <c r="Z50" s="534">
        <f>(Z49/Z10)*90</f>
        <v>0</v>
      </c>
      <c r="AA50" s="534">
        <f>(AA49/AA10)*90</f>
        <v>0</v>
      </c>
      <c r="AB50" s="534">
        <f>(AB49/AB10)*90</f>
        <v>0</v>
      </c>
      <c r="AC50" s="534" t="e" vm="2">
        <f>(AC49/AC10)*90</f>
        <v>#VALUE!</v>
      </c>
      <c r="AD50" s="534" t="e" vm="2">
        <f>(AD49/AD10)*360</f>
        <v>#VALUE!</v>
      </c>
      <c r="AE50" s="534">
        <f>(AE49/AE10)*90</f>
        <v>0</v>
      </c>
      <c r="AF50" s="534">
        <f>(AF49/AF10)*90</f>
        <v>0</v>
      </c>
      <c r="AG50" s="534">
        <f>(AG49/AG10)*90</f>
        <v>0</v>
      </c>
      <c r="AH50" s="534" t="e" vm="2">
        <f>(AH49/AH10)*90</f>
        <v>#VALUE!</v>
      </c>
      <c r="AI50" s="534" t="e" vm="2">
        <f>(AI49/AI10)*360</f>
        <v>#VALUE!</v>
      </c>
      <c r="AJ50" s="511"/>
      <c r="AK50" s="511"/>
      <c r="AL50" s="511"/>
      <c r="AM50" s="511"/>
      <c r="AN50" s="596">
        <v>29.5</v>
      </c>
      <c r="AO50" s="519"/>
      <c r="AP50" s="519"/>
      <c r="AQ50" s="519"/>
      <c r="AR50" s="519"/>
      <c r="AS50" s="596">
        <v>29.5</v>
      </c>
      <c r="AT50" s="519"/>
      <c r="AU50" s="519"/>
      <c r="AV50" s="519"/>
      <c r="AW50" s="519"/>
      <c r="AX50" s="519">
        <v>29.5</v>
      </c>
      <c r="AY50" s="519">
        <v>29.5</v>
      </c>
    </row>
    <row r="51" spans="1:60">
      <c r="A51" s="592" t="s">
        <v>525</v>
      </c>
      <c r="B51" s="511"/>
      <c r="C51" s="511"/>
      <c r="D51" s="511"/>
      <c r="E51" s="512"/>
      <c r="F51" s="533" t="e" vm="1">
        <v>#VALUE!</v>
      </c>
      <c r="G51" s="534" t="e" vm="1">
        <v>#VALUE!</v>
      </c>
      <c r="H51" s="534" t="e" vm="1">
        <v>#VALUE!</v>
      </c>
      <c r="I51" s="534" t="e" vm="1">
        <v>#VALUE!</v>
      </c>
      <c r="J51" s="534" t="e" vm="1">
        <v>#VALUE!</v>
      </c>
      <c r="K51" s="534" t="e" vm="1">
        <v>#VALUE!</v>
      </c>
      <c r="L51" s="534" t="e" vm="1">
        <v>#VALUE!</v>
      </c>
      <c r="M51" s="534" t="e" vm="1">
        <v>#VALUE!</v>
      </c>
      <c r="N51" s="534" t="e" vm="1">
        <v>#VALUE!</v>
      </c>
      <c r="O51" s="534" t="e" vm="1">
        <v>#VALUE!</v>
      </c>
      <c r="P51" s="534" t="e" vm="1">
        <v>#VALUE!</v>
      </c>
      <c r="Q51" s="534" t="e" vm="1">
        <v>#VALUE!</v>
      </c>
      <c r="R51" s="534" t="e" vm="1">
        <v>#VALUE!</v>
      </c>
      <c r="S51" s="534" t="e" vm="1">
        <v>#VALUE!</v>
      </c>
      <c r="T51" s="534" t="e" vm="1">
        <v>#VALUE!</v>
      </c>
      <c r="U51" s="534" t="e" vm="1">
        <v>#VALUE!</v>
      </c>
      <c r="V51" s="534" t="e" vm="1">
        <v>#VALUE!</v>
      </c>
      <c r="W51" s="534" t="e" vm="1">
        <v>#VALUE!</v>
      </c>
      <c r="X51" s="534" t="e" vm="1">
        <v>#VALUE!</v>
      </c>
      <c r="Y51" s="534" t="e" vm="1">
        <v>#VALUE!</v>
      </c>
      <c r="Z51" s="534" t="e" vm="1">
        <v>#VALUE!</v>
      </c>
      <c r="AA51" s="534" t="e" vm="1">
        <v>#VALUE!</v>
      </c>
      <c r="AB51" s="534" t="e" vm="1">
        <v>#VALUE!</v>
      </c>
      <c r="AC51" s="534" t="e" vm="1">
        <v>#VALUE!</v>
      </c>
      <c r="AD51" s="534" t="e" vm="1">
        <v>#VALUE!</v>
      </c>
      <c r="AE51" s="534" t="e" vm="1">
        <v>#VALUE!</v>
      </c>
      <c r="AF51" s="534" t="e" vm="1">
        <v>#VALUE!</v>
      </c>
      <c r="AG51" s="534" t="e" vm="1">
        <v>#VALUE!</v>
      </c>
      <c r="AH51" s="534" t="e" vm="1">
        <v>#VALUE!</v>
      </c>
      <c r="AI51" s="534" t="e" vm="1">
        <v>#VALUE!</v>
      </c>
      <c r="AJ51" s="511"/>
      <c r="AK51" s="511"/>
      <c r="AL51" s="511"/>
      <c r="AM51" s="511"/>
      <c r="AN51" s="533" t="e" vm="1">
        <v>#VALUE!</v>
      </c>
      <c r="AO51" s="534"/>
      <c r="AP51" s="534"/>
      <c r="AQ51" s="534"/>
      <c r="AR51" s="534"/>
      <c r="AS51" s="533" t="e" vm="1">
        <v>#VALUE!</v>
      </c>
      <c r="AT51" s="534"/>
      <c r="AU51" s="534"/>
      <c r="AV51" s="534"/>
      <c r="AW51" s="534"/>
      <c r="AX51" s="534" t="e" vm="1">
        <v>#VALUE!</v>
      </c>
      <c r="AY51" s="534" t="e" vm="1">
        <v>#VALUE!</v>
      </c>
    </row>
    <row r="52" spans="1:60">
      <c r="A52" s="593" t="s">
        <v>526</v>
      </c>
      <c r="B52" s="511"/>
      <c r="C52" s="511"/>
      <c r="D52" s="511"/>
      <c r="E52" s="512"/>
      <c r="F52" s="533" t="e" vm="2">
        <v>#VALUE!</v>
      </c>
      <c r="G52" s="534" t="e" vm="2">
        <v>#VALUE!</v>
      </c>
      <c r="H52" s="534" t="e" vm="2">
        <v>#VALUE!</v>
      </c>
      <c r="I52" s="534" t="e" vm="2">
        <v>#VALUE!</v>
      </c>
      <c r="J52" s="534" t="e" vm="2">
        <v>#VALUE!</v>
      </c>
      <c r="K52" s="534" t="e" vm="2">
        <v>#VALUE!</v>
      </c>
      <c r="L52" s="534" t="e" vm="2">
        <v>#VALUE!</v>
      </c>
      <c r="M52" s="534" t="e" vm="2">
        <v>#VALUE!</v>
      </c>
      <c r="N52" s="534" t="e" vm="2">
        <v>#VALUE!</v>
      </c>
      <c r="O52" s="534" t="e" vm="2">
        <v>#VALUE!</v>
      </c>
      <c r="P52" s="534" t="e" vm="2">
        <v>#VALUE!</v>
      </c>
      <c r="Q52" s="534" t="e" vm="2">
        <v>#VALUE!</v>
      </c>
      <c r="R52" s="534" t="e" vm="2">
        <v>#VALUE!</v>
      </c>
      <c r="S52" s="534" t="e" vm="2">
        <v>#VALUE!</v>
      </c>
      <c r="T52" s="534" t="e" vm="2">
        <v>#VALUE!</v>
      </c>
      <c r="U52" s="534" t="e" vm="2">
        <v>#VALUE!</v>
      </c>
      <c r="V52" s="534" t="e" vm="2">
        <v>#VALUE!</v>
      </c>
      <c r="W52" s="534" t="e" vm="2">
        <v>#VALUE!</v>
      </c>
      <c r="X52" s="534" t="e" vm="2">
        <v>#VALUE!</v>
      </c>
      <c r="Y52" s="534" t="e" vm="2">
        <v>#VALUE!</v>
      </c>
      <c r="Z52" s="534" t="e" vm="2">
        <v>#VALUE!</v>
      </c>
      <c r="AA52" s="534" t="e" vm="2">
        <v>#VALUE!</v>
      </c>
      <c r="AB52" s="534" t="e" vm="2">
        <v>#VALUE!</v>
      </c>
      <c r="AC52" s="534" t="e" vm="2">
        <v>#VALUE!</v>
      </c>
      <c r="AD52" s="534" t="e" vm="2">
        <v>#VALUE!</v>
      </c>
      <c r="AE52" s="534" t="e" vm="2">
        <v>#VALUE!</v>
      </c>
      <c r="AF52" s="534" t="e" vm="2">
        <v>#VALUE!</v>
      </c>
      <c r="AG52" s="534" t="e" vm="2">
        <v>#VALUE!</v>
      </c>
      <c r="AH52" s="534" t="e" vm="2">
        <v>#VALUE!</v>
      </c>
      <c r="AI52" s="534" t="e" vm="2">
        <v>#VALUE!</v>
      </c>
      <c r="AJ52" s="511"/>
      <c r="AK52" s="534"/>
      <c r="AL52" s="534"/>
      <c r="AM52" s="534"/>
      <c r="AN52" s="518">
        <v>5.5</v>
      </c>
      <c r="AO52" s="520"/>
      <c r="AP52" s="520"/>
      <c r="AQ52" s="520"/>
      <c r="AR52" s="520"/>
      <c r="AS52" s="518">
        <v>5.3</v>
      </c>
      <c r="AT52" s="520"/>
      <c r="AU52" s="520"/>
      <c r="AV52" s="520"/>
      <c r="AW52" s="520"/>
      <c r="AX52" s="520">
        <v>5</v>
      </c>
      <c r="AY52" s="520">
        <v>5</v>
      </c>
    </row>
    <row r="53" spans="1:60" ht="12.4" thickBot="1">
      <c r="A53" s="595" t="s">
        <v>527</v>
      </c>
      <c r="B53" s="597"/>
      <c r="C53" s="597"/>
      <c r="D53" s="597"/>
      <c r="E53" s="598"/>
      <c r="F53" s="733" t="e" vm="2">
        <f>F47+F49+F51</f>
        <v>#VALUE!</v>
      </c>
      <c r="G53" s="734" t="e" vm="2">
        <f t="shared" ref="G53:AI53" si="18">G47+G49+G51</f>
        <v>#VALUE!</v>
      </c>
      <c r="H53" s="734" t="e" vm="2">
        <f t="shared" si="18"/>
        <v>#VALUE!</v>
      </c>
      <c r="I53" s="734" t="e" vm="2">
        <f t="shared" si="18"/>
        <v>#VALUE!</v>
      </c>
      <c r="J53" s="734" t="e" vm="2">
        <f t="shared" si="18"/>
        <v>#VALUE!</v>
      </c>
      <c r="K53" s="734" t="e" vm="2">
        <f t="shared" si="18"/>
        <v>#VALUE!</v>
      </c>
      <c r="L53" s="734" t="e" vm="2">
        <f t="shared" si="18"/>
        <v>#VALUE!</v>
      </c>
      <c r="M53" s="734" t="e" vm="2">
        <f t="shared" si="18"/>
        <v>#VALUE!</v>
      </c>
      <c r="N53" s="734" t="e" vm="2">
        <f t="shared" si="18"/>
        <v>#VALUE!</v>
      </c>
      <c r="O53" s="734" t="e" vm="2">
        <f t="shared" si="18"/>
        <v>#VALUE!</v>
      </c>
      <c r="P53" s="734" t="e" vm="2">
        <f t="shared" si="18"/>
        <v>#VALUE!</v>
      </c>
      <c r="Q53" s="734" t="e" vm="2">
        <f t="shared" si="18"/>
        <v>#VALUE!</v>
      </c>
      <c r="R53" s="734" t="e" vm="2">
        <f t="shared" si="18"/>
        <v>#VALUE!</v>
      </c>
      <c r="S53" s="734" t="e" vm="2">
        <f t="shared" si="18"/>
        <v>#VALUE!</v>
      </c>
      <c r="T53" s="734" t="e" vm="2">
        <f t="shared" si="18"/>
        <v>#VALUE!</v>
      </c>
      <c r="U53" s="734" t="e" vm="2">
        <f t="shared" si="18"/>
        <v>#VALUE!</v>
      </c>
      <c r="V53" s="734" t="e" vm="2">
        <f t="shared" si="18"/>
        <v>#VALUE!</v>
      </c>
      <c r="W53" s="734" t="e" vm="2">
        <f t="shared" si="18"/>
        <v>#VALUE!</v>
      </c>
      <c r="X53" s="734" t="e" vm="2">
        <f t="shared" si="18"/>
        <v>#VALUE!</v>
      </c>
      <c r="Y53" s="734" t="e" vm="2">
        <f t="shared" si="18"/>
        <v>#VALUE!</v>
      </c>
      <c r="Z53" s="734" t="e" vm="2">
        <f t="shared" si="18"/>
        <v>#VALUE!</v>
      </c>
      <c r="AA53" s="734" t="e" vm="2">
        <f t="shared" si="18"/>
        <v>#VALUE!</v>
      </c>
      <c r="AB53" s="734" t="e" vm="2">
        <f t="shared" si="18"/>
        <v>#VALUE!</v>
      </c>
      <c r="AC53" s="734" t="e" vm="2">
        <f t="shared" si="18"/>
        <v>#VALUE!</v>
      </c>
      <c r="AD53" s="734" t="e" vm="2">
        <f t="shared" si="18"/>
        <v>#VALUE!</v>
      </c>
      <c r="AE53" s="734" t="e" vm="2">
        <f t="shared" si="18"/>
        <v>#VALUE!</v>
      </c>
      <c r="AF53" s="734" t="e" vm="2">
        <f t="shared" si="18"/>
        <v>#VALUE!</v>
      </c>
      <c r="AG53" s="734" t="e" vm="2">
        <f t="shared" si="18"/>
        <v>#VALUE!</v>
      </c>
      <c r="AH53" s="734" t="e" vm="2">
        <f t="shared" si="18"/>
        <v>#VALUE!</v>
      </c>
      <c r="AI53" s="734" t="e" vm="2">
        <f t="shared" si="18"/>
        <v>#VALUE!</v>
      </c>
      <c r="AJ53" s="735"/>
      <c r="AK53" s="735"/>
      <c r="AL53" s="735"/>
      <c r="AM53" s="735"/>
      <c r="AN53" s="733" t="e" vm="2">
        <f>AN51+AN49+AN47</f>
        <v>#VALUE!</v>
      </c>
      <c r="AO53" s="734"/>
      <c r="AP53" s="734"/>
      <c r="AQ53" s="734"/>
      <c r="AR53" s="734"/>
      <c r="AS53" s="733" t="e" vm="2">
        <f t="shared" ref="AS53:AY53" si="19">AS51+AS49+AS47</f>
        <v>#VALUE!</v>
      </c>
      <c r="AT53" s="734"/>
      <c r="AU53" s="734"/>
      <c r="AV53" s="734"/>
      <c r="AW53" s="734"/>
      <c r="AX53" s="734" t="e" vm="2">
        <f t="shared" si="19"/>
        <v>#VALUE!</v>
      </c>
      <c r="AY53" s="734" t="e" vm="2">
        <f t="shared" si="19"/>
        <v>#VALUE!</v>
      </c>
    </row>
    <row r="54" spans="1:60">
      <c r="A54" s="511"/>
      <c r="B54" s="511"/>
      <c r="C54" s="511"/>
      <c r="D54" s="511"/>
      <c r="E54" s="511"/>
      <c r="G54" s="511"/>
      <c r="H54" s="511"/>
      <c r="I54" s="511"/>
      <c r="J54" s="511"/>
      <c r="K54" s="511"/>
      <c r="L54" s="511"/>
      <c r="M54" s="511"/>
      <c r="N54" s="511"/>
      <c r="O54" s="511"/>
      <c r="P54" s="511"/>
      <c r="Q54" s="511"/>
      <c r="R54" s="511"/>
      <c r="S54" s="511"/>
      <c r="T54" s="511"/>
      <c r="U54" s="511"/>
      <c r="V54" s="511"/>
      <c r="W54" s="511"/>
      <c r="X54" s="511"/>
      <c r="Y54" s="511"/>
      <c r="Z54" s="511"/>
      <c r="AA54" s="511"/>
      <c r="AB54" s="511"/>
      <c r="AC54" s="511"/>
      <c r="AD54" s="511"/>
      <c r="AE54" s="511"/>
      <c r="AF54" s="511"/>
      <c r="AG54" s="511"/>
      <c r="AH54" s="511"/>
      <c r="AI54" s="511"/>
      <c r="AJ54" s="511"/>
      <c r="AK54" s="511"/>
      <c r="AL54" s="511"/>
      <c r="AM54" s="511"/>
      <c r="AO54" s="511"/>
      <c r="AP54" s="511"/>
      <c r="AQ54" s="511"/>
      <c r="AR54" s="511"/>
      <c r="AT54" s="511"/>
      <c r="AU54" s="511"/>
      <c r="AV54" s="511"/>
      <c r="AW54" s="511"/>
      <c r="AX54" s="511"/>
      <c r="AY54" s="511"/>
    </row>
    <row r="55" spans="1:60">
      <c r="A55" s="511"/>
      <c r="B55" s="511"/>
      <c r="C55" s="511"/>
      <c r="D55" s="511"/>
      <c r="E55" s="511"/>
      <c r="G55" s="511"/>
      <c r="H55" s="511"/>
      <c r="I55" s="511"/>
      <c r="J55" s="511"/>
      <c r="K55" s="511"/>
      <c r="L55" s="511"/>
      <c r="M55" s="511"/>
      <c r="N55" s="511"/>
      <c r="O55" s="511"/>
      <c r="P55" s="511"/>
      <c r="Q55" s="511"/>
      <c r="R55" s="511"/>
      <c r="S55" s="511"/>
      <c r="T55" s="511"/>
      <c r="U55" s="511"/>
      <c r="V55" s="511"/>
      <c r="W55" s="511"/>
      <c r="X55" s="511"/>
      <c r="Y55" s="511"/>
      <c r="Z55" s="511"/>
      <c r="AA55" s="511"/>
      <c r="AB55" s="511"/>
      <c r="AC55" s="511"/>
      <c r="AD55" s="511"/>
      <c r="AE55" s="511"/>
      <c r="AF55" s="511"/>
      <c r="AG55" s="511"/>
      <c r="AH55" s="511"/>
      <c r="AI55" s="511"/>
      <c r="AJ55" s="511"/>
      <c r="AK55" s="511"/>
      <c r="AL55" s="511"/>
      <c r="AM55" s="511"/>
      <c r="AO55" s="511"/>
      <c r="AP55" s="511"/>
      <c r="AQ55" s="511"/>
      <c r="AR55" s="511"/>
      <c r="AT55" s="511"/>
      <c r="AU55" s="511"/>
      <c r="AV55" s="511"/>
      <c r="AW55" s="511"/>
      <c r="AX55" s="511"/>
      <c r="AY55" s="511"/>
    </row>
    <row r="56" spans="1:60" ht="12.4" thickBot="1">
      <c r="A56" s="599" t="s">
        <v>528</v>
      </c>
      <c r="B56" s="599"/>
      <c r="C56" s="599"/>
      <c r="D56" s="599"/>
      <c r="E56" s="600" t="s">
        <v>417</v>
      </c>
      <c r="F56" s="736" t="e" vm="2">
        <f>F44-F53</f>
        <v>#VALUE!</v>
      </c>
      <c r="G56" s="737" t="e" vm="2">
        <f t="shared" ref="G56:AI56" si="20">G44-G53</f>
        <v>#VALUE!</v>
      </c>
      <c r="H56" s="737" t="e" vm="2">
        <f t="shared" si="20"/>
        <v>#VALUE!</v>
      </c>
      <c r="I56" s="737" t="e" vm="2">
        <f t="shared" si="20"/>
        <v>#VALUE!</v>
      </c>
      <c r="J56" s="737" t="e" vm="2">
        <f t="shared" si="20"/>
        <v>#VALUE!</v>
      </c>
      <c r="K56" s="737" t="e" vm="2">
        <f t="shared" si="20"/>
        <v>#VALUE!</v>
      </c>
      <c r="L56" s="737" t="e" vm="2">
        <f t="shared" si="20"/>
        <v>#VALUE!</v>
      </c>
      <c r="M56" s="737" t="e" vm="2">
        <f t="shared" si="20"/>
        <v>#VALUE!</v>
      </c>
      <c r="N56" s="737" t="e" vm="2">
        <f t="shared" si="20"/>
        <v>#VALUE!</v>
      </c>
      <c r="O56" s="737" t="e" vm="2">
        <f t="shared" si="20"/>
        <v>#VALUE!</v>
      </c>
      <c r="P56" s="737" t="e" vm="2">
        <f t="shared" si="20"/>
        <v>#VALUE!</v>
      </c>
      <c r="Q56" s="737" t="e" vm="2">
        <f t="shared" si="20"/>
        <v>#VALUE!</v>
      </c>
      <c r="R56" s="737" t="e" vm="2">
        <f t="shared" si="20"/>
        <v>#VALUE!</v>
      </c>
      <c r="S56" s="737" t="e" vm="2">
        <f t="shared" si="20"/>
        <v>#VALUE!</v>
      </c>
      <c r="T56" s="737" t="e" vm="2">
        <f t="shared" si="20"/>
        <v>#VALUE!</v>
      </c>
      <c r="U56" s="737" t="e" vm="2">
        <f t="shared" si="20"/>
        <v>#VALUE!</v>
      </c>
      <c r="V56" s="737" t="e" vm="2">
        <f t="shared" si="20"/>
        <v>#VALUE!</v>
      </c>
      <c r="W56" s="737" t="e" vm="2">
        <f t="shared" si="20"/>
        <v>#VALUE!</v>
      </c>
      <c r="X56" s="737" t="e" vm="2">
        <f t="shared" si="20"/>
        <v>#VALUE!</v>
      </c>
      <c r="Y56" s="737" t="e" vm="2">
        <f t="shared" si="20"/>
        <v>#VALUE!</v>
      </c>
      <c r="Z56" s="737" t="e" vm="2">
        <f t="shared" si="20"/>
        <v>#VALUE!</v>
      </c>
      <c r="AA56" s="737" t="e" vm="2">
        <f t="shared" si="20"/>
        <v>#VALUE!</v>
      </c>
      <c r="AB56" s="737" t="e" vm="2">
        <f t="shared" si="20"/>
        <v>#VALUE!</v>
      </c>
      <c r="AC56" s="737" t="e" vm="2">
        <f t="shared" si="20"/>
        <v>#VALUE!</v>
      </c>
      <c r="AD56" s="737" t="e" vm="2">
        <f t="shared" si="20"/>
        <v>#VALUE!</v>
      </c>
      <c r="AE56" s="737" t="e" vm="2">
        <f t="shared" si="20"/>
        <v>#VALUE!</v>
      </c>
      <c r="AF56" s="737" t="e" vm="2">
        <f t="shared" si="20"/>
        <v>#VALUE!</v>
      </c>
      <c r="AG56" s="737" t="e" vm="2">
        <f t="shared" si="20"/>
        <v>#VALUE!</v>
      </c>
      <c r="AH56" s="737" t="e" vm="2">
        <f t="shared" si="20"/>
        <v>#VALUE!</v>
      </c>
      <c r="AI56" s="737" t="e" vm="2">
        <f t="shared" si="20"/>
        <v>#VALUE!</v>
      </c>
      <c r="AJ56" s="738"/>
      <c r="AK56" s="738"/>
      <c r="AL56" s="738"/>
      <c r="AM56" s="738"/>
      <c r="AN56" s="736" t="e" vm="2">
        <f>AN44-AN53</f>
        <v>#VALUE!</v>
      </c>
      <c r="AO56" s="737"/>
      <c r="AP56" s="737"/>
      <c r="AQ56" s="737"/>
      <c r="AR56" s="737"/>
      <c r="AS56" s="736" t="e" vm="2">
        <f t="shared" ref="AS56:AY56" si="21">AS44-AS53</f>
        <v>#VALUE!</v>
      </c>
      <c r="AT56" s="737"/>
      <c r="AU56" s="737"/>
      <c r="AV56" s="737"/>
      <c r="AW56" s="737"/>
      <c r="AX56" s="737" t="e" vm="2">
        <f t="shared" si="21"/>
        <v>#VALUE!</v>
      </c>
      <c r="AY56" s="737" t="e" vm="2">
        <f t="shared" si="21"/>
        <v>#VALUE!</v>
      </c>
    </row>
    <row r="57" spans="1:60">
      <c r="A57" s="511"/>
      <c r="B57" s="511"/>
      <c r="C57" s="511"/>
      <c r="D57" s="511"/>
      <c r="E57" s="512"/>
      <c r="G57" s="511"/>
      <c r="H57" s="511"/>
      <c r="I57" s="511"/>
      <c r="J57" s="511"/>
      <c r="K57" s="511"/>
      <c r="L57" s="511"/>
      <c r="M57" s="511"/>
      <c r="N57" s="511"/>
      <c r="O57" s="511"/>
      <c r="P57" s="511"/>
      <c r="Q57" s="511"/>
      <c r="R57" s="511"/>
      <c r="S57" s="511"/>
      <c r="T57" s="511"/>
      <c r="U57" s="511"/>
      <c r="V57" s="511"/>
      <c r="W57" s="511"/>
      <c r="X57" s="511"/>
      <c r="Y57" s="511"/>
      <c r="Z57" s="511"/>
      <c r="AA57" s="511"/>
      <c r="AB57" s="511"/>
      <c r="AC57" s="511"/>
      <c r="AD57" s="511"/>
      <c r="AE57" s="511"/>
      <c r="AF57" s="511"/>
      <c r="AG57" s="511"/>
      <c r="AH57" s="511"/>
      <c r="AI57" s="511"/>
      <c r="AJ57" s="511"/>
      <c r="AK57" s="511"/>
      <c r="AL57" s="511"/>
      <c r="AM57" s="511"/>
      <c r="AO57" s="511"/>
      <c r="AP57" s="511"/>
      <c r="AQ57" s="511"/>
      <c r="AR57" s="511"/>
      <c r="AT57" s="511"/>
      <c r="AU57" s="511"/>
      <c r="AV57" s="511"/>
      <c r="AW57" s="511"/>
      <c r="AX57" s="511"/>
      <c r="AY57" s="511"/>
    </row>
    <row r="58" spans="1:60">
      <c r="A58" s="511"/>
      <c r="B58" s="511"/>
      <c r="C58" s="511"/>
      <c r="D58" s="511"/>
      <c r="E58" s="512"/>
      <c r="G58" s="511"/>
      <c r="H58" s="511"/>
      <c r="I58" s="511"/>
      <c r="J58" s="511"/>
      <c r="K58" s="511"/>
      <c r="L58" s="511"/>
      <c r="M58" s="511"/>
      <c r="N58" s="511"/>
      <c r="O58" s="511"/>
      <c r="P58" s="511"/>
      <c r="Q58" s="511"/>
      <c r="R58" s="511"/>
      <c r="S58" s="511"/>
      <c r="T58" s="511"/>
      <c r="U58" s="511"/>
      <c r="V58" s="511"/>
      <c r="W58" s="511"/>
      <c r="X58" s="511"/>
      <c r="Y58" s="511"/>
      <c r="Z58" s="511"/>
      <c r="AA58" s="511"/>
      <c r="AB58" s="511"/>
      <c r="AC58" s="511"/>
      <c r="AD58" s="511"/>
      <c r="AE58" s="511"/>
      <c r="AF58" s="511"/>
      <c r="AG58" s="511"/>
      <c r="AH58" s="511"/>
      <c r="AI58" s="511"/>
      <c r="AJ58" s="511"/>
      <c r="AK58" s="511"/>
      <c r="AL58" s="511"/>
      <c r="AM58" s="511"/>
      <c r="AO58" s="511"/>
      <c r="AP58" s="511"/>
      <c r="AQ58" s="511"/>
      <c r="AR58" s="511"/>
      <c r="AT58" s="511"/>
      <c r="AU58" s="511"/>
      <c r="AV58" s="511"/>
      <c r="AW58" s="511"/>
      <c r="AX58" s="511"/>
      <c r="AY58" s="511"/>
    </row>
    <row r="59" spans="1:60">
      <c r="A59" s="549" t="s">
        <v>529</v>
      </c>
      <c r="B59" s="549"/>
      <c r="C59" s="549"/>
      <c r="D59" s="549"/>
      <c r="E59" s="550"/>
      <c r="F59" s="550"/>
      <c r="G59" s="550"/>
      <c r="H59" s="550"/>
      <c r="I59" s="550"/>
      <c r="J59" s="550"/>
      <c r="K59" s="550"/>
      <c r="L59" s="550"/>
      <c r="M59" s="550"/>
      <c r="N59" s="550"/>
      <c r="O59" s="550"/>
      <c r="P59" s="550"/>
      <c r="Q59" s="550"/>
      <c r="R59" s="550"/>
      <c r="S59" s="550"/>
      <c r="T59" s="550"/>
      <c r="U59" s="550"/>
      <c r="V59" s="550"/>
      <c r="W59" s="550"/>
      <c r="X59" s="550"/>
      <c r="Y59" s="550"/>
      <c r="Z59" s="550"/>
      <c r="AA59" s="550"/>
      <c r="AB59" s="550"/>
      <c r="AC59" s="550"/>
      <c r="AD59" s="550"/>
      <c r="AE59" s="550"/>
      <c r="AF59" s="550"/>
      <c r="AG59" s="550"/>
      <c r="AH59" s="550"/>
      <c r="AI59" s="550"/>
      <c r="AJ59" s="550"/>
      <c r="AK59" s="550"/>
      <c r="AL59" s="550"/>
      <c r="AM59" s="550"/>
      <c r="AN59" s="550"/>
      <c r="AO59" s="550"/>
      <c r="AP59" s="550"/>
      <c r="AQ59" s="550"/>
      <c r="AR59" s="550"/>
      <c r="AS59" s="550"/>
      <c r="AT59" s="550"/>
      <c r="AU59" s="550"/>
      <c r="AV59" s="550"/>
      <c r="AW59" s="550"/>
      <c r="AX59" s="550"/>
      <c r="AY59" s="550"/>
    </row>
    <row r="60" spans="1:60">
      <c r="A60" s="511"/>
      <c r="B60" s="511"/>
      <c r="C60" s="511"/>
      <c r="D60" s="511"/>
      <c r="E60" s="512"/>
      <c r="AX60" s="515"/>
      <c r="AY60" s="515"/>
    </row>
    <row r="61" spans="1:60">
      <c r="A61" s="511" t="s">
        <v>416</v>
      </c>
      <c r="B61" s="511"/>
      <c r="C61" s="511"/>
      <c r="D61" s="511"/>
      <c r="E61" s="512"/>
      <c r="F61" s="601" t="e" vm="1">
        <v>#VALUE!</v>
      </c>
      <c r="G61" s="602" t="e" vm="1">
        <v>#VALUE!</v>
      </c>
      <c r="H61" s="602" t="e" vm="1">
        <v>#VALUE!</v>
      </c>
      <c r="I61" s="602" t="e" vm="1">
        <v>#VALUE!</v>
      </c>
      <c r="J61" s="602" t="e" vm="1">
        <v>#VALUE!</v>
      </c>
      <c r="K61" s="602" t="e" vm="1">
        <v>#VALUE!</v>
      </c>
      <c r="L61" s="602" t="e" vm="1">
        <v>#VALUE!</v>
      </c>
      <c r="M61" s="602" t="e" vm="1">
        <v>#VALUE!</v>
      </c>
      <c r="N61" s="602" t="e" vm="1">
        <v>#VALUE!</v>
      </c>
      <c r="O61" s="602" t="e" vm="1">
        <v>#VALUE!</v>
      </c>
      <c r="P61" s="602" t="e" vm="1">
        <v>#VALUE!</v>
      </c>
      <c r="Q61" s="602" t="e" vm="1">
        <v>#VALUE!</v>
      </c>
      <c r="R61" s="602" t="e" vm="1">
        <v>#VALUE!</v>
      </c>
      <c r="S61" s="602" t="e" vm="1">
        <v>#VALUE!</v>
      </c>
      <c r="T61" s="602" t="e" vm="1">
        <v>#VALUE!</v>
      </c>
      <c r="U61" s="602" t="e" vm="1">
        <v>#VALUE!</v>
      </c>
      <c r="V61" s="602" t="e" vm="1">
        <v>#VALUE!</v>
      </c>
      <c r="W61" s="602" t="e" vm="1">
        <v>#VALUE!</v>
      </c>
      <c r="X61" s="602" t="e" vm="1">
        <v>#VALUE!</v>
      </c>
      <c r="Y61" s="602" t="e" vm="1">
        <v>#VALUE!</v>
      </c>
      <c r="Z61" s="602" t="e" vm="1">
        <v>#VALUE!</v>
      </c>
      <c r="AA61" s="602" t="e" vm="1">
        <v>#VALUE!</v>
      </c>
      <c r="AB61" s="602" t="e" vm="1">
        <v>#VALUE!</v>
      </c>
      <c r="AC61" s="602" t="e" vm="1">
        <v>#VALUE!</v>
      </c>
      <c r="AD61" s="602" t="e" vm="1">
        <v>#VALUE!</v>
      </c>
      <c r="AE61" s="602" t="e" vm="1">
        <v>#VALUE!</v>
      </c>
      <c r="AF61" s="602" t="e" vm="1">
        <v>#VALUE!</v>
      </c>
      <c r="AG61" s="602" t="e" vm="1">
        <v>#VALUE!</v>
      </c>
      <c r="AH61" s="602" t="e" vm="1">
        <v>#VALUE!</v>
      </c>
      <c r="AI61" s="602" t="e" vm="1">
        <v>#VALUE!</v>
      </c>
      <c r="AJ61" s="602">
        <v>175</v>
      </c>
      <c r="AK61" s="602">
        <v>175</v>
      </c>
      <c r="AL61" s="602">
        <v>175</v>
      </c>
      <c r="AM61" s="602">
        <v>175</v>
      </c>
      <c r="AN61" s="602">
        <f>SUM(AJ61:AM61)</f>
        <v>700</v>
      </c>
      <c r="AO61" s="602">
        <v>200</v>
      </c>
      <c r="AP61" s="602">
        <v>200</v>
      </c>
      <c r="AQ61" s="602">
        <v>200</v>
      </c>
      <c r="AR61" s="602">
        <v>200</v>
      </c>
      <c r="AS61" s="602">
        <f>SUM(AO61:AR61)</f>
        <v>800</v>
      </c>
      <c r="AT61" s="602">
        <v>200</v>
      </c>
      <c r="AU61" s="602">
        <v>200</v>
      </c>
      <c r="AV61" s="602">
        <v>200</v>
      </c>
      <c r="AW61" s="602">
        <v>200</v>
      </c>
      <c r="AX61" s="602">
        <v>800</v>
      </c>
      <c r="AY61" s="602">
        <v>800</v>
      </c>
      <c r="AZ61" s="602"/>
      <c r="BA61" s="602"/>
      <c r="BB61" s="602"/>
      <c r="BC61" s="602"/>
      <c r="BD61" s="602"/>
      <c r="BE61" s="602"/>
      <c r="BF61" s="602"/>
      <c r="BG61" s="602"/>
      <c r="BH61" s="602"/>
    </row>
    <row r="62" spans="1:60">
      <c r="A62" s="603" t="s">
        <v>418</v>
      </c>
      <c r="B62" s="511"/>
      <c r="C62" s="511"/>
      <c r="D62" s="511"/>
      <c r="E62" s="512"/>
      <c r="F62" s="601"/>
      <c r="G62" s="602" t="e" vm="2">
        <f>(G61-F61)/F61</f>
        <v>#VALUE!</v>
      </c>
      <c r="H62" s="602" t="e" vm="2">
        <f>(H61-G61)/G61</f>
        <v>#VALUE!</v>
      </c>
      <c r="I62" s="602" t="e" vm="2">
        <f>(I61-H61)/H61</f>
        <v>#VALUE!</v>
      </c>
      <c r="J62" s="602" t="e" vm="2">
        <f>(J61-I61)/I61</f>
        <v>#VALUE!</v>
      </c>
      <c r="K62" s="602" t="e" vm="2">
        <f>(K61-I61)/I61</f>
        <v>#VALUE!</v>
      </c>
      <c r="L62" s="602" t="e" vm="2">
        <f>(L61-K61)/K61</f>
        <v>#VALUE!</v>
      </c>
      <c r="M62" s="602" t="e" vm="2">
        <f>(M61-L61)/L61</f>
        <v>#VALUE!</v>
      </c>
      <c r="N62" s="602" t="e" vm="2">
        <f>(N61-M61)/M61</f>
        <v>#VALUE!</v>
      </c>
      <c r="O62" s="602" t="e" vm="2">
        <f>AVERAGE(K62:N62)</f>
        <v>#VALUE!</v>
      </c>
      <c r="P62" s="602" t="e" vm="2">
        <f>(P61-N61)/N61</f>
        <v>#VALUE!</v>
      </c>
      <c r="Q62" s="602" t="e" vm="2">
        <f>(Q61-P61)/P61</f>
        <v>#VALUE!</v>
      </c>
      <c r="R62" s="602" t="e" vm="2">
        <f>(R61-Q61)/Q61</f>
        <v>#VALUE!</v>
      </c>
      <c r="S62" s="602" t="e" vm="2">
        <f>(S61-R61)/R61</f>
        <v>#VALUE!</v>
      </c>
      <c r="T62" s="602" t="e" vm="2">
        <f>AVERAGE(P62:S62)</f>
        <v>#VALUE!</v>
      </c>
      <c r="U62" s="602" t="e" vm="2">
        <f>(U61-S61)/S61</f>
        <v>#VALUE!</v>
      </c>
      <c r="V62" s="602" t="e" vm="2">
        <f>(V61-U61)/U61</f>
        <v>#VALUE!</v>
      </c>
      <c r="W62" s="602" t="e" vm="2">
        <f>(W61-V61)/V61</f>
        <v>#VALUE!</v>
      </c>
      <c r="X62" s="602" t="e" vm="2">
        <f>(X61-W61)/W61</f>
        <v>#VALUE!</v>
      </c>
      <c r="Y62" s="602" t="e" vm="2">
        <f>AVERAGE(U62:X62)</f>
        <v>#VALUE!</v>
      </c>
      <c r="Z62" s="602" t="e" vm="2">
        <f>(Z61-X61)/X61</f>
        <v>#VALUE!</v>
      </c>
      <c r="AA62" s="602" t="e" vm="2">
        <f>(AA61-Z61)/Z61</f>
        <v>#VALUE!</v>
      </c>
      <c r="AB62" s="602" t="e" vm="2">
        <f>(AB61-AA61)/AA61</f>
        <v>#VALUE!</v>
      </c>
      <c r="AC62" s="602" t="e" vm="2">
        <f>(AC61-AB61)/AB61</f>
        <v>#VALUE!</v>
      </c>
      <c r="AD62" s="602" t="e" vm="2">
        <f>AVERAGE(Z62:AC62)</f>
        <v>#VALUE!</v>
      </c>
      <c r="AE62" s="602" t="e" vm="2">
        <f>(AE61-AC61)/AC61</f>
        <v>#VALUE!</v>
      </c>
      <c r="AF62" s="602" t="e" vm="2">
        <f>(AF61-AE61)/AE61</f>
        <v>#VALUE!</v>
      </c>
      <c r="AG62" s="602" t="e" vm="2">
        <f>(AG61-AF61)/AF61</f>
        <v>#VALUE!</v>
      </c>
      <c r="AH62" s="602" t="e" vm="2">
        <f>(AH61-AG61)/AG61</f>
        <v>#VALUE!</v>
      </c>
      <c r="AI62" s="602" t="e" vm="2">
        <f>AVERAGE(AE62:AH62)</f>
        <v>#VALUE!</v>
      </c>
      <c r="AJ62" s="602" t="e" vm="2">
        <f>(AJ61-AH61)/AH61</f>
        <v>#VALUE!</v>
      </c>
      <c r="AK62" s="602">
        <f>(AK61-AJ61)/AJ61</f>
        <v>0</v>
      </c>
      <c r="AL62" s="602">
        <f>(AL61-AK61)/AK61</f>
        <v>0</v>
      </c>
      <c r="AM62" s="602">
        <f>(AM61-AL61)/AL61</f>
        <v>0</v>
      </c>
      <c r="AN62" s="602" t="e" vm="2">
        <f>(AN61-AI61)/AI61</f>
        <v>#VALUE!</v>
      </c>
      <c r="AO62" s="602">
        <f>(AO61-AM61)/AM61</f>
        <v>0.14285714285714285</v>
      </c>
      <c r="AP62" s="602">
        <f>(AP61-AO61)/AO61</f>
        <v>0</v>
      </c>
      <c r="AQ62" s="602">
        <f>(AQ61-AP61)/AP61</f>
        <v>0</v>
      </c>
      <c r="AR62" s="602">
        <f>(AR61-AQ61)/AQ61</f>
        <v>0</v>
      </c>
      <c r="AS62" s="602">
        <f>AVERAGE(AO62:AR62)</f>
        <v>3.5714285714285712E-2</v>
      </c>
      <c r="AT62" s="602">
        <f>(AT61-AR61)/AR61</f>
        <v>0</v>
      </c>
      <c r="AU62" s="602">
        <f>(AU61-AT61)/AT61</f>
        <v>0</v>
      </c>
      <c r="AV62" s="602">
        <f>(AV61-AU61)/AU61</f>
        <v>0</v>
      </c>
      <c r="AW62" s="602">
        <f>(AW61-AV61)/AV61</f>
        <v>0</v>
      </c>
      <c r="AX62" s="602">
        <f>(AX61-AS61)/AS61</f>
        <v>0</v>
      </c>
      <c r="AY62" s="602">
        <f>(AY61-AX61)/AX61</f>
        <v>0</v>
      </c>
      <c r="AZ62" s="602"/>
      <c r="BA62" s="602"/>
      <c r="BB62" s="602"/>
      <c r="BC62" s="602"/>
      <c r="BD62" s="602"/>
      <c r="BE62" s="602"/>
      <c r="BF62" s="602"/>
      <c r="BG62" s="602"/>
      <c r="BH62" s="602"/>
    </row>
    <row r="63" spans="1:60">
      <c r="A63" s="602" t="s">
        <v>370</v>
      </c>
      <c r="B63" s="511"/>
      <c r="C63" s="511">
        <v>15</v>
      </c>
      <c r="D63" s="511"/>
      <c r="E63" s="512"/>
      <c r="F63" s="604"/>
      <c r="G63" s="605"/>
      <c r="H63" s="605"/>
      <c r="I63" s="605"/>
      <c r="J63" s="605"/>
      <c r="K63" s="605"/>
      <c r="L63" s="605"/>
      <c r="M63" s="605"/>
      <c r="N63" s="605"/>
      <c r="O63" s="605"/>
      <c r="P63" s="605"/>
      <c r="Q63" s="605"/>
      <c r="R63" s="605"/>
      <c r="S63" s="605"/>
      <c r="T63" s="605"/>
      <c r="U63" s="605"/>
      <c r="V63" s="605"/>
      <c r="W63" s="605"/>
      <c r="X63" s="605"/>
      <c r="Y63" s="605"/>
      <c r="Z63" s="605"/>
      <c r="AA63" s="605"/>
      <c r="AB63" s="605"/>
      <c r="AC63" s="605"/>
      <c r="AD63" s="605"/>
      <c r="AE63" s="605"/>
      <c r="AF63" s="605"/>
      <c r="AG63" s="605"/>
      <c r="AH63" s="605"/>
      <c r="AI63" s="605"/>
      <c r="AJ63" s="605"/>
      <c r="AK63" s="605"/>
      <c r="AL63" s="605"/>
      <c r="AM63" s="605"/>
      <c r="AN63" s="606"/>
      <c r="AO63" s="605"/>
      <c r="AP63" s="605"/>
      <c r="AQ63" s="605"/>
      <c r="AR63" s="605"/>
      <c r="AS63" s="606"/>
      <c r="AT63" s="605"/>
      <c r="AU63" s="605"/>
      <c r="AV63" s="605"/>
      <c r="AW63" s="605"/>
      <c r="AX63" s="605"/>
      <c r="AY63" s="605"/>
    </row>
    <row r="64" spans="1:60" ht="6" customHeight="1">
      <c r="A64" s="511"/>
      <c r="B64" s="511"/>
      <c r="C64" s="511"/>
      <c r="D64" s="511"/>
      <c r="E64" s="512"/>
      <c r="F64" s="604"/>
      <c r="G64" s="605"/>
      <c r="H64" s="605"/>
      <c r="I64" s="605"/>
      <c r="J64" s="605"/>
      <c r="K64" s="605"/>
      <c r="L64" s="605"/>
      <c r="M64" s="605"/>
      <c r="N64" s="605"/>
      <c r="O64" s="605"/>
      <c r="P64" s="605"/>
      <c r="Q64" s="605"/>
      <c r="R64" s="605"/>
      <c r="S64" s="605"/>
      <c r="T64" s="605"/>
      <c r="U64" s="605"/>
      <c r="V64" s="605"/>
      <c r="W64" s="605"/>
      <c r="X64" s="605"/>
      <c r="Y64" s="605"/>
      <c r="Z64" s="605"/>
      <c r="AA64" s="605"/>
      <c r="AB64" s="605"/>
      <c r="AC64" s="605"/>
      <c r="AD64" s="605"/>
      <c r="AE64" s="605"/>
      <c r="AF64" s="605"/>
      <c r="AG64" s="605"/>
      <c r="AH64" s="605"/>
      <c r="AI64" s="605"/>
      <c r="AJ64" s="605"/>
      <c r="AK64" s="605"/>
      <c r="AL64" s="605"/>
      <c r="AM64" s="605"/>
      <c r="AN64" s="606"/>
      <c r="AO64" s="605"/>
      <c r="AP64" s="605"/>
      <c r="AQ64" s="605"/>
      <c r="AR64" s="605"/>
      <c r="AS64" s="606"/>
      <c r="AT64" s="605"/>
      <c r="AU64" s="605"/>
      <c r="AV64" s="605"/>
      <c r="AW64" s="605"/>
      <c r="AX64" s="605"/>
      <c r="AY64" s="605"/>
    </row>
    <row r="65" spans="1:51" ht="10.5" customHeight="1">
      <c r="A65" s="511" t="s">
        <v>421</v>
      </c>
      <c r="B65" s="511"/>
      <c r="C65" s="511"/>
      <c r="D65" s="511"/>
      <c r="E65" s="512"/>
      <c r="F65" s="604"/>
      <c r="G65" s="605"/>
      <c r="H65" s="605"/>
      <c r="I65" s="605"/>
      <c r="J65" s="605"/>
      <c r="K65" s="605"/>
      <c r="L65" s="605"/>
      <c r="M65" s="605"/>
      <c r="N65" s="605"/>
      <c r="O65" s="605"/>
      <c r="P65" s="605"/>
      <c r="Q65" s="605"/>
      <c r="R65" s="605"/>
      <c r="S65" s="605"/>
      <c r="T65" s="605"/>
      <c r="U65" s="605"/>
      <c r="V65" s="605"/>
      <c r="W65" s="605"/>
      <c r="X65" s="605"/>
      <c r="Y65" s="605"/>
      <c r="Z65" s="605"/>
      <c r="AA65" s="605"/>
      <c r="AB65" s="605"/>
      <c r="AC65" s="605"/>
      <c r="AD65" s="605"/>
      <c r="AE65" s="605"/>
      <c r="AF65" s="605"/>
      <c r="AG65" s="605"/>
      <c r="AH65" s="605"/>
      <c r="AI65" s="605"/>
      <c r="AJ65" s="605"/>
      <c r="AK65" s="605"/>
      <c r="AL65" s="605"/>
      <c r="AM65" s="605"/>
      <c r="AN65" s="606"/>
      <c r="AO65" s="605"/>
      <c r="AP65" s="605"/>
      <c r="AQ65" s="605"/>
      <c r="AR65" s="605"/>
      <c r="AS65" s="606"/>
      <c r="AT65" s="605"/>
      <c r="AU65" s="605"/>
      <c r="AV65" s="605"/>
      <c r="AW65" s="605"/>
      <c r="AX65" s="605"/>
      <c r="AY65" s="605"/>
    </row>
    <row r="66" spans="1:51" s="602" customFormat="1">
      <c r="A66" s="607" t="s">
        <v>421</v>
      </c>
      <c r="B66" s="607"/>
      <c r="C66" s="607"/>
      <c r="D66" s="607"/>
      <c r="E66" s="608"/>
      <c r="F66" s="604"/>
      <c r="G66" s="605"/>
      <c r="H66" s="605"/>
      <c r="I66" s="605"/>
      <c r="J66" s="605"/>
      <c r="K66" s="605"/>
      <c r="L66" s="605"/>
      <c r="M66" s="605"/>
      <c r="N66" s="605"/>
      <c r="O66" s="605"/>
      <c r="P66" s="605"/>
      <c r="Q66" s="605"/>
      <c r="R66" s="605"/>
      <c r="S66" s="605"/>
      <c r="T66" s="605"/>
      <c r="U66" s="605"/>
      <c r="V66" s="605"/>
      <c r="W66" s="605"/>
      <c r="X66" s="605"/>
      <c r="Y66" s="605"/>
      <c r="Z66" s="605"/>
      <c r="AA66" s="605"/>
      <c r="AB66" s="605"/>
      <c r="AC66" s="605"/>
      <c r="AD66" s="605"/>
      <c r="AE66" s="605"/>
      <c r="AF66" s="605"/>
      <c r="AG66" s="605"/>
      <c r="AH66" s="605"/>
      <c r="AI66" s="605"/>
      <c r="AJ66" s="605"/>
      <c r="AK66" s="605"/>
      <c r="AL66" s="605"/>
      <c r="AM66" s="605"/>
      <c r="AN66" s="602" t="e" vm="2">
        <f>AI82</f>
        <v>#VALUE!</v>
      </c>
      <c r="AO66" s="605"/>
      <c r="AP66" s="605"/>
      <c r="AQ66" s="605"/>
      <c r="AR66" s="605"/>
      <c r="AS66" s="602" t="e" vm="2">
        <f>AN82</f>
        <v>#VALUE!</v>
      </c>
      <c r="AT66" s="605"/>
      <c r="AU66" s="605"/>
      <c r="AV66" s="605"/>
      <c r="AW66" s="605"/>
      <c r="AX66" s="602" t="e" vm="2">
        <f>AS82</f>
        <v>#VALUE!</v>
      </c>
      <c r="AY66" s="602" t="e" vm="2">
        <f>AX82</f>
        <v>#VALUE!</v>
      </c>
    </row>
    <row r="67" spans="1:51" s="602" customFormat="1">
      <c r="A67" s="609" t="s">
        <v>422</v>
      </c>
      <c r="B67" s="603"/>
      <c r="C67" s="603"/>
      <c r="D67" s="603"/>
      <c r="E67" s="610"/>
      <c r="F67" s="604"/>
      <c r="G67" s="605"/>
      <c r="H67" s="605"/>
      <c r="I67" s="605"/>
      <c r="J67" s="605"/>
      <c r="K67" s="605"/>
      <c r="L67" s="605"/>
      <c r="M67" s="605"/>
      <c r="N67" s="605"/>
      <c r="O67" s="605"/>
      <c r="P67" s="605"/>
      <c r="Q67" s="605"/>
      <c r="R67" s="605"/>
      <c r="S67" s="605"/>
      <c r="T67" s="605"/>
      <c r="U67" s="605"/>
      <c r="V67" s="605"/>
      <c r="W67" s="605"/>
      <c r="X67" s="605"/>
      <c r="Y67" s="605"/>
      <c r="Z67" s="605"/>
      <c r="AA67" s="605"/>
      <c r="AB67" s="605"/>
      <c r="AC67" s="605"/>
      <c r="AD67" s="605"/>
      <c r="AE67" s="605"/>
      <c r="AF67" s="605"/>
      <c r="AG67" s="605"/>
      <c r="AH67" s="605"/>
      <c r="AI67" s="605"/>
      <c r="AJ67" s="605"/>
      <c r="AK67" s="605"/>
      <c r="AL67" s="605"/>
      <c r="AM67" s="605"/>
      <c r="AN67" s="602">
        <f>AN61</f>
        <v>700</v>
      </c>
      <c r="AO67" s="605"/>
      <c r="AP67" s="605"/>
      <c r="AQ67" s="605"/>
      <c r="AR67" s="605"/>
      <c r="AS67" s="602">
        <f>AS61</f>
        <v>800</v>
      </c>
      <c r="AT67" s="605"/>
      <c r="AU67" s="605"/>
      <c r="AV67" s="605"/>
      <c r="AW67" s="605"/>
      <c r="AX67" s="602">
        <f>AX61</f>
        <v>800</v>
      </c>
      <c r="AY67" s="602">
        <f>AY61</f>
        <v>800</v>
      </c>
    </row>
    <row r="68" spans="1:51" s="602" customFormat="1">
      <c r="A68" s="609" t="s">
        <v>423</v>
      </c>
      <c r="B68" s="603"/>
      <c r="C68" s="603"/>
      <c r="D68" s="603"/>
      <c r="E68" s="610"/>
      <c r="F68" s="604"/>
      <c r="G68" s="605"/>
      <c r="H68" s="605"/>
      <c r="I68" s="605"/>
      <c r="J68" s="605"/>
      <c r="K68" s="605"/>
      <c r="L68" s="605"/>
      <c r="M68" s="605"/>
      <c r="N68" s="605"/>
      <c r="O68" s="605"/>
      <c r="P68" s="605"/>
      <c r="Q68" s="605"/>
      <c r="R68" s="605"/>
      <c r="S68" s="605"/>
      <c r="T68" s="605"/>
      <c r="U68" s="605"/>
      <c r="V68" s="605"/>
      <c r="W68" s="605"/>
      <c r="X68" s="605"/>
      <c r="Y68" s="605"/>
      <c r="Z68" s="605"/>
      <c r="AA68" s="605"/>
      <c r="AB68" s="605"/>
      <c r="AC68" s="605"/>
      <c r="AD68" s="605"/>
      <c r="AE68" s="605"/>
      <c r="AF68" s="605"/>
      <c r="AG68" s="605"/>
      <c r="AH68" s="605"/>
      <c r="AI68" s="605"/>
      <c r="AJ68" s="605"/>
      <c r="AK68" s="605"/>
      <c r="AL68" s="605"/>
      <c r="AM68" s="605"/>
      <c r="AN68" s="602">
        <v>0</v>
      </c>
      <c r="AO68" s="605"/>
      <c r="AP68" s="605"/>
      <c r="AQ68" s="605"/>
      <c r="AR68" s="605"/>
      <c r="AS68" s="602">
        <v>0</v>
      </c>
      <c r="AT68" s="605"/>
      <c r="AU68" s="605"/>
      <c r="AV68" s="605"/>
      <c r="AW68" s="605"/>
      <c r="AX68" s="605"/>
      <c r="AY68" s="605"/>
    </row>
    <row r="69" spans="1:51" s="602" customFormat="1">
      <c r="A69" s="603"/>
      <c r="B69" s="603"/>
      <c r="C69" s="603"/>
      <c r="D69" s="603"/>
      <c r="E69" s="610"/>
      <c r="F69" s="604"/>
      <c r="G69" s="605"/>
      <c r="H69" s="605"/>
      <c r="I69" s="605"/>
      <c r="J69" s="605"/>
      <c r="K69" s="605"/>
      <c r="L69" s="605"/>
      <c r="M69" s="605"/>
      <c r="N69" s="605"/>
      <c r="O69" s="605"/>
      <c r="P69" s="605"/>
      <c r="Q69" s="605"/>
      <c r="R69" s="605"/>
      <c r="S69" s="605"/>
      <c r="T69" s="605"/>
      <c r="U69" s="605"/>
      <c r="V69" s="605"/>
      <c r="W69" s="605"/>
      <c r="X69" s="605"/>
      <c r="Y69" s="605"/>
      <c r="Z69" s="605"/>
      <c r="AA69" s="605"/>
      <c r="AB69" s="605"/>
      <c r="AC69" s="605"/>
      <c r="AD69" s="605"/>
      <c r="AE69" s="605"/>
      <c r="AF69" s="605"/>
      <c r="AG69" s="605"/>
      <c r="AH69" s="605"/>
      <c r="AI69" s="605"/>
      <c r="AJ69" s="605"/>
      <c r="AK69" s="605"/>
      <c r="AL69" s="605"/>
      <c r="AM69" s="605"/>
      <c r="AN69" s="606"/>
      <c r="AO69" s="605"/>
      <c r="AP69" s="605"/>
      <c r="AQ69" s="605"/>
      <c r="AR69" s="605"/>
      <c r="AS69" s="606"/>
      <c r="AT69" s="605"/>
      <c r="AU69" s="605"/>
      <c r="AV69" s="605"/>
      <c r="AW69" s="605"/>
      <c r="AX69" s="605"/>
      <c r="AY69" s="605"/>
    </row>
    <row r="70" spans="1:51" s="602" customFormat="1">
      <c r="A70" s="603" t="s">
        <v>424</v>
      </c>
      <c r="B70" s="603"/>
      <c r="C70" s="603"/>
      <c r="D70" s="603"/>
      <c r="E70" s="610"/>
      <c r="F70" s="604"/>
      <c r="G70" s="605"/>
      <c r="H70" s="605"/>
      <c r="I70" s="605"/>
      <c r="J70" s="605"/>
      <c r="K70" s="605"/>
      <c r="L70" s="605"/>
      <c r="M70" s="605"/>
      <c r="N70" s="605"/>
      <c r="O70" s="605"/>
      <c r="P70" s="605"/>
      <c r="Q70" s="605"/>
      <c r="R70" s="605"/>
      <c r="S70" s="605"/>
      <c r="T70" s="605"/>
      <c r="U70" s="605"/>
      <c r="V70" s="605"/>
      <c r="W70" s="605"/>
      <c r="X70" s="605"/>
      <c r="Y70" s="605"/>
      <c r="Z70" s="605"/>
      <c r="AA70" s="605"/>
      <c r="AB70" s="605"/>
      <c r="AC70" s="605"/>
      <c r="AD70" s="605"/>
      <c r="AE70" s="605"/>
      <c r="AF70" s="605"/>
      <c r="AG70" s="605"/>
      <c r="AH70" s="605"/>
      <c r="AI70" s="605"/>
      <c r="AJ70" s="605"/>
      <c r="AK70" s="605"/>
      <c r="AL70" s="605"/>
      <c r="AM70" s="605"/>
      <c r="AN70" s="602" t="e" vm="2">
        <f>-AN66/C63</f>
        <v>#VALUE!</v>
      </c>
      <c r="AO70" s="605"/>
      <c r="AP70" s="605"/>
      <c r="AQ70" s="605"/>
      <c r="AR70" s="605"/>
      <c r="AS70" s="602" t="e" vm="2">
        <f>-AS66/C63</f>
        <v>#VALUE!</v>
      </c>
      <c r="AT70" s="605"/>
      <c r="AU70" s="605"/>
      <c r="AV70" s="605"/>
      <c r="AW70" s="605"/>
      <c r="AX70" s="602" t="e" vm="2">
        <f>-AX66/$C$63</f>
        <v>#VALUE!</v>
      </c>
      <c r="AY70" s="602" t="e" vm="2">
        <f>-AY66/$C$63</f>
        <v>#VALUE!</v>
      </c>
    </row>
    <row r="71" spans="1:51" s="602" customFormat="1">
      <c r="A71" s="603" t="s">
        <v>425</v>
      </c>
      <c r="B71" s="603"/>
      <c r="C71" s="603"/>
      <c r="D71" s="603"/>
      <c r="E71" s="610"/>
      <c r="F71" s="604"/>
      <c r="G71" s="605"/>
      <c r="H71" s="605"/>
      <c r="I71" s="605"/>
      <c r="J71" s="605"/>
      <c r="K71" s="605"/>
      <c r="L71" s="605"/>
      <c r="M71" s="605"/>
      <c r="N71" s="605"/>
      <c r="O71" s="605"/>
      <c r="P71" s="605"/>
      <c r="Q71" s="605"/>
      <c r="R71" s="605"/>
      <c r="S71" s="605"/>
      <c r="T71" s="605"/>
      <c r="U71" s="605"/>
      <c r="V71" s="605"/>
      <c r="W71" s="605"/>
      <c r="X71" s="605"/>
      <c r="Y71" s="605"/>
      <c r="Z71" s="605"/>
      <c r="AA71" s="605"/>
      <c r="AB71" s="605"/>
      <c r="AC71" s="605"/>
      <c r="AD71" s="605"/>
      <c r="AE71" s="605"/>
      <c r="AF71" s="605"/>
      <c r="AG71" s="605"/>
      <c r="AH71" s="605"/>
      <c r="AI71" s="605"/>
      <c r="AJ71" s="605"/>
      <c r="AK71" s="605"/>
      <c r="AL71" s="605"/>
      <c r="AM71" s="605"/>
      <c r="AN71" s="606"/>
      <c r="AO71" s="605"/>
      <c r="AP71" s="605"/>
      <c r="AQ71" s="605"/>
      <c r="AR71" s="605"/>
      <c r="AS71" s="606"/>
      <c r="AT71" s="605"/>
      <c r="AU71" s="605"/>
      <c r="AV71" s="605"/>
      <c r="AW71" s="605"/>
      <c r="AX71" s="605"/>
      <c r="AY71" s="605"/>
    </row>
    <row r="72" spans="1:51" s="602" customFormat="1">
      <c r="A72" s="603" t="s">
        <v>33</v>
      </c>
      <c r="B72" s="603">
        <f>AN61</f>
        <v>700</v>
      </c>
      <c r="C72" s="603"/>
      <c r="D72" s="603"/>
      <c r="E72" s="610"/>
      <c r="F72" s="604"/>
      <c r="G72" s="605"/>
      <c r="H72" s="605"/>
      <c r="I72" s="605"/>
      <c r="J72" s="605"/>
      <c r="K72" s="605"/>
      <c r="L72" s="605"/>
      <c r="M72" s="605"/>
      <c r="N72" s="605"/>
      <c r="O72" s="605"/>
      <c r="P72" s="605"/>
      <c r="Q72" s="605"/>
      <c r="R72" s="605"/>
      <c r="S72" s="605"/>
      <c r="T72" s="605"/>
      <c r="U72" s="605"/>
      <c r="V72" s="605"/>
      <c r="W72" s="605"/>
      <c r="X72" s="605"/>
      <c r="Y72" s="605"/>
      <c r="Z72" s="605"/>
      <c r="AA72" s="605"/>
      <c r="AB72" s="605"/>
      <c r="AC72" s="605"/>
      <c r="AD72" s="605"/>
      <c r="AE72" s="605"/>
      <c r="AF72" s="605"/>
      <c r="AG72" s="605"/>
      <c r="AH72" s="605"/>
      <c r="AI72" s="605"/>
      <c r="AJ72" s="605"/>
      <c r="AK72" s="605"/>
      <c r="AL72" s="605"/>
      <c r="AM72" s="605"/>
      <c r="AN72" s="602">
        <f>-AN61/C63</f>
        <v>-46.666666666666664</v>
      </c>
      <c r="AO72" s="605"/>
      <c r="AP72" s="605"/>
      <c r="AQ72" s="605"/>
      <c r="AR72" s="605"/>
      <c r="AS72" s="602">
        <f>-$AN$67/$C$63</f>
        <v>-46.666666666666664</v>
      </c>
      <c r="AT72" s="605"/>
      <c r="AU72" s="605"/>
      <c r="AV72" s="605"/>
      <c r="AW72" s="605"/>
      <c r="AX72" s="602">
        <f>-$AN$67/$C$63</f>
        <v>-46.666666666666664</v>
      </c>
      <c r="AY72" s="602">
        <f>-$AN$67/$C$63</f>
        <v>-46.666666666666664</v>
      </c>
    </row>
    <row r="73" spans="1:51" s="602" customFormat="1">
      <c r="A73" s="603" t="s">
        <v>84</v>
      </c>
      <c r="B73" s="602">
        <f>AS61</f>
        <v>800</v>
      </c>
      <c r="C73" s="603"/>
      <c r="D73" s="603"/>
      <c r="E73" s="611"/>
      <c r="F73" s="604"/>
      <c r="G73" s="605"/>
      <c r="H73" s="605"/>
      <c r="I73" s="605"/>
      <c r="J73" s="605"/>
      <c r="K73" s="605"/>
      <c r="L73" s="605"/>
      <c r="M73" s="605"/>
      <c r="N73" s="605"/>
      <c r="O73" s="605"/>
      <c r="P73" s="605"/>
      <c r="Q73" s="605"/>
      <c r="R73" s="605"/>
      <c r="S73" s="605"/>
      <c r="T73" s="605"/>
      <c r="U73" s="605"/>
      <c r="V73" s="605"/>
      <c r="W73" s="605"/>
      <c r="X73" s="605"/>
      <c r="Y73" s="605"/>
      <c r="Z73" s="605"/>
      <c r="AA73" s="605"/>
      <c r="AB73" s="605"/>
      <c r="AC73" s="605"/>
      <c r="AD73" s="605"/>
      <c r="AE73" s="605"/>
      <c r="AF73" s="605"/>
      <c r="AG73" s="605"/>
      <c r="AH73" s="605"/>
      <c r="AI73" s="605"/>
      <c r="AJ73" s="605"/>
      <c r="AK73" s="605"/>
      <c r="AL73" s="605"/>
      <c r="AM73" s="605"/>
      <c r="AN73" s="606"/>
      <c r="AO73" s="605"/>
      <c r="AP73" s="605"/>
      <c r="AQ73" s="605"/>
      <c r="AR73" s="605"/>
      <c r="AS73" s="602">
        <f>-AS61/$C$63</f>
        <v>-53.333333333333336</v>
      </c>
      <c r="AT73" s="605"/>
      <c r="AU73" s="605"/>
      <c r="AV73" s="605"/>
      <c r="AW73" s="605"/>
      <c r="AX73" s="602">
        <f>-$AS$67/$C$63</f>
        <v>-53.333333333333336</v>
      </c>
      <c r="AY73" s="602">
        <f>-$AS$67/$C$63</f>
        <v>-53.333333333333336</v>
      </c>
    </row>
    <row r="74" spans="1:51" s="602" customFormat="1">
      <c r="A74" s="603" t="s">
        <v>85</v>
      </c>
      <c r="B74" s="603">
        <f>AX61</f>
        <v>800</v>
      </c>
      <c r="C74" s="603"/>
      <c r="D74" s="603"/>
      <c r="E74" s="611"/>
      <c r="F74" s="604"/>
      <c r="G74" s="605"/>
      <c r="H74" s="605"/>
      <c r="I74" s="605"/>
      <c r="J74" s="605"/>
      <c r="K74" s="605"/>
      <c r="L74" s="605"/>
      <c r="M74" s="605"/>
      <c r="N74" s="605"/>
      <c r="O74" s="605"/>
      <c r="P74" s="605"/>
      <c r="Q74" s="605"/>
      <c r="R74" s="605"/>
      <c r="S74" s="605"/>
      <c r="T74" s="605"/>
      <c r="U74" s="605"/>
      <c r="V74" s="605"/>
      <c r="W74" s="605"/>
      <c r="X74" s="605"/>
      <c r="Y74" s="605"/>
      <c r="Z74" s="605"/>
      <c r="AA74" s="605"/>
      <c r="AB74" s="605"/>
      <c r="AC74" s="605"/>
      <c r="AD74" s="605"/>
      <c r="AE74" s="605"/>
      <c r="AF74" s="605"/>
      <c r="AG74" s="605"/>
      <c r="AH74" s="605"/>
      <c r="AI74" s="605"/>
      <c r="AJ74" s="605"/>
      <c r="AK74" s="605"/>
      <c r="AL74" s="605"/>
      <c r="AM74" s="605"/>
      <c r="AN74" s="606"/>
      <c r="AO74" s="605"/>
      <c r="AP74" s="605"/>
      <c r="AQ74" s="605"/>
      <c r="AR74" s="605"/>
      <c r="AS74" s="606"/>
      <c r="AT74" s="605"/>
      <c r="AU74" s="605"/>
      <c r="AV74" s="605"/>
      <c r="AW74" s="605"/>
      <c r="AX74" s="602">
        <f>-$AX$61/$C$63</f>
        <v>-53.333333333333336</v>
      </c>
      <c r="AY74" s="602">
        <f>-$AX$61/$C$63</f>
        <v>-53.333333333333336</v>
      </c>
    </row>
    <row r="75" spans="1:51" s="602" customFormat="1">
      <c r="A75" s="603" t="s">
        <v>86</v>
      </c>
      <c r="B75" s="603">
        <f>AY61</f>
        <v>800</v>
      </c>
      <c r="C75" s="603"/>
      <c r="D75" s="603"/>
      <c r="E75" s="611"/>
      <c r="F75" s="604"/>
      <c r="G75" s="605"/>
      <c r="H75" s="605"/>
      <c r="I75" s="605"/>
      <c r="J75" s="605"/>
      <c r="K75" s="605"/>
      <c r="L75" s="605"/>
      <c r="M75" s="605"/>
      <c r="N75" s="605"/>
      <c r="O75" s="605"/>
      <c r="P75" s="605"/>
      <c r="Q75" s="605"/>
      <c r="R75" s="605"/>
      <c r="S75" s="605"/>
      <c r="T75" s="605"/>
      <c r="U75" s="605"/>
      <c r="V75" s="605"/>
      <c r="W75" s="605"/>
      <c r="X75" s="605"/>
      <c r="Y75" s="605"/>
      <c r="Z75" s="605"/>
      <c r="AA75" s="605"/>
      <c r="AB75" s="605"/>
      <c r="AC75" s="605"/>
      <c r="AD75" s="605"/>
      <c r="AE75" s="605"/>
      <c r="AF75" s="605"/>
      <c r="AG75" s="605"/>
      <c r="AH75" s="605"/>
      <c r="AI75" s="605"/>
      <c r="AJ75" s="605"/>
      <c r="AK75" s="605"/>
      <c r="AL75" s="605"/>
      <c r="AM75" s="605"/>
      <c r="AN75" s="606"/>
      <c r="AO75" s="605"/>
      <c r="AP75" s="605"/>
      <c r="AQ75" s="605"/>
      <c r="AR75" s="605"/>
      <c r="AS75" s="606"/>
      <c r="AT75" s="605"/>
      <c r="AU75" s="605"/>
      <c r="AV75" s="605"/>
      <c r="AW75" s="605"/>
      <c r="AX75" s="605"/>
      <c r="AY75" s="602">
        <f>-AY67/$C$63</f>
        <v>-53.333333333333336</v>
      </c>
    </row>
    <row r="76" spans="1:51" s="602" customFormat="1">
      <c r="A76" s="603"/>
      <c r="B76" s="603"/>
      <c r="C76" s="603"/>
      <c r="D76" s="603"/>
      <c r="E76" s="611"/>
      <c r="F76" s="604"/>
      <c r="G76" s="605"/>
      <c r="H76" s="605"/>
      <c r="I76" s="605"/>
      <c r="J76" s="605"/>
      <c r="K76" s="605"/>
      <c r="L76" s="605"/>
      <c r="M76" s="605"/>
      <c r="N76" s="605"/>
      <c r="O76" s="605"/>
      <c r="P76" s="605"/>
      <c r="Q76" s="605"/>
      <c r="R76" s="605"/>
      <c r="S76" s="605"/>
      <c r="T76" s="605"/>
      <c r="U76" s="605"/>
      <c r="V76" s="605"/>
      <c r="W76" s="605"/>
      <c r="X76" s="605"/>
      <c r="Y76" s="605"/>
      <c r="Z76" s="605"/>
      <c r="AA76" s="605"/>
      <c r="AB76" s="605"/>
      <c r="AC76" s="605"/>
      <c r="AD76" s="605"/>
      <c r="AE76" s="605"/>
      <c r="AF76" s="605"/>
      <c r="AG76" s="605"/>
      <c r="AH76" s="605"/>
      <c r="AI76" s="605"/>
      <c r="AJ76" s="605"/>
      <c r="AK76" s="605"/>
      <c r="AL76" s="605"/>
      <c r="AM76" s="605"/>
      <c r="AN76" s="606"/>
      <c r="AO76" s="605"/>
      <c r="AP76" s="605"/>
      <c r="AQ76" s="605"/>
      <c r="AR76" s="605"/>
      <c r="AS76" s="606"/>
      <c r="AT76" s="605"/>
      <c r="AU76" s="605"/>
      <c r="AV76" s="605"/>
      <c r="AW76" s="605"/>
      <c r="AX76" s="605"/>
      <c r="AY76" s="605"/>
    </row>
    <row r="77" spans="1:51" s="602" customFormat="1">
      <c r="B77" s="603"/>
      <c r="C77" s="603"/>
      <c r="D77" s="603"/>
      <c r="E77" s="611"/>
      <c r="F77" s="604"/>
      <c r="G77" s="605"/>
      <c r="H77" s="605"/>
      <c r="I77" s="605"/>
      <c r="J77" s="605"/>
      <c r="K77" s="605"/>
      <c r="L77" s="605"/>
      <c r="M77" s="605"/>
      <c r="N77" s="605"/>
      <c r="O77" s="605"/>
      <c r="P77" s="605"/>
      <c r="Q77" s="605"/>
      <c r="R77" s="605"/>
      <c r="S77" s="605"/>
      <c r="T77" s="605"/>
      <c r="U77" s="605"/>
      <c r="V77" s="605"/>
      <c r="W77" s="605"/>
      <c r="X77" s="605"/>
      <c r="Y77" s="605"/>
      <c r="Z77" s="605"/>
      <c r="AA77" s="605"/>
      <c r="AB77" s="605"/>
      <c r="AC77" s="605"/>
      <c r="AD77" s="605"/>
      <c r="AE77" s="605"/>
      <c r="AF77" s="605"/>
      <c r="AG77" s="605"/>
      <c r="AH77" s="605"/>
      <c r="AI77" s="605"/>
      <c r="AJ77" s="605"/>
      <c r="AK77" s="605"/>
      <c r="AL77" s="605"/>
      <c r="AM77" s="605"/>
      <c r="AN77" s="606"/>
      <c r="AO77" s="605"/>
      <c r="AP77" s="605"/>
      <c r="AQ77" s="605"/>
      <c r="AR77" s="605"/>
      <c r="AS77" s="606"/>
      <c r="AT77" s="605"/>
      <c r="AU77" s="605"/>
      <c r="AV77" s="605"/>
      <c r="AW77" s="605"/>
      <c r="AX77" s="605"/>
      <c r="AY77" s="605"/>
    </row>
    <row r="78" spans="1:51" s="602" customFormat="1">
      <c r="A78" s="612" t="s">
        <v>426</v>
      </c>
      <c r="B78" s="612"/>
      <c r="C78" s="603"/>
      <c r="D78" s="603"/>
      <c r="E78" s="610"/>
      <c r="F78" s="604"/>
      <c r="G78" s="605"/>
      <c r="H78" s="605"/>
      <c r="I78" s="605"/>
      <c r="J78" s="605"/>
      <c r="K78" s="605"/>
      <c r="L78" s="605"/>
      <c r="M78" s="605"/>
      <c r="N78" s="605"/>
      <c r="O78" s="605"/>
      <c r="P78" s="605"/>
      <c r="Q78" s="605"/>
      <c r="R78" s="605"/>
      <c r="S78" s="605"/>
      <c r="T78" s="605"/>
      <c r="U78" s="605"/>
      <c r="V78" s="605"/>
      <c r="W78" s="605"/>
      <c r="X78" s="605"/>
      <c r="Y78" s="605"/>
      <c r="Z78" s="605"/>
      <c r="AA78" s="605"/>
      <c r="AB78" s="605"/>
      <c r="AC78" s="605"/>
      <c r="AD78" s="605"/>
      <c r="AE78" s="605"/>
      <c r="AF78" s="605"/>
      <c r="AG78" s="605"/>
      <c r="AH78" s="605"/>
      <c r="AI78" s="605"/>
      <c r="AJ78" s="605"/>
      <c r="AK78" s="605"/>
      <c r="AL78" s="605"/>
      <c r="AM78" s="605"/>
      <c r="AN78" s="602">
        <f>SUM(AN72:AN77)</f>
        <v>-46.666666666666664</v>
      </c>
      <c r="AO78" s="605"/>
      <c r="AP78" s="605"/>
      <c r="AQ78" s="605"/>
      <c r="AR78" s="605"/>
      <c r="AS78" s="602">
        <f>SUM(AS72:AS77)</f>
        <v>-100</v>
      </c>
      <c r="AT78" s="605"/>
      <c r="AU78" s="605"/>
      <c r="AV78" s="605"/>
      <c r="AW78" s="605"/>
      <c r="AX78" s="602">
        <f>SUM(AX72:AX77)</f>
        <v>-153.33333333333334</v>
      </c>
      <c r="AY78" s="602">
        <f>SUM(AY72:AY77)</f>
        <v>-206.66666666666669</v>
      </c>
    </row>
    <row r="79" spans="1:51" s="602" customFormat="1">
      <c r="A79" s="603"/>
      <c r="B79" s="603"/>
      <c r="C79" s="603"/>
      <c r="D79" s="603"/>
      <c r="E79" s="610"/>
      <c r="F79" s="604"/>
      <c r="G79" s="605"/>
      <c r="H79" s="605"/>
      <c r="I79" s="605"/>
      <c r="J79" s="605"/>
      <c r="K79" s="605"/>
      <c r="L79" s="605"/>
      <c r="M79" s="605"/>
      <c r="N79" s="605"/>
      <c r="O79" s="605"/>
      <c r="P79" s="605"/>
      <c r="Q79" s="605"/>
      <c r="R79" s="605"/>
      <c r="S79" s="605"/>
      <c r="T79" s="605"/>
      <c r="U79" s="605"/>
      <c r="V79" s="605"/>
      <c r="W79" s="605"/>
      <c r="X79" s="605"/>
      <c r="Y79" s="605"/>
      <c r="Z79" s="605"/>
      <c r="AA79" s="605"/>
      <c r="AB79" s="605"/>
      <c r="AC79" s="605"/>
      <c r="AD79" s="605"/>
      <c r="AE79" s="605"/>
      <c r="AF79" s="605"/>
      <c r="AG79" s="605"/>
      <c r="AH79" s="605"/>
      <c r="AI79" s="605"/>
      <c r="AJ79" s="605"/>
      <c r="AK79" s="605"/>
      <c r="AL79" s="605"/>
      <c r="AM79" s="605"/>
      <c r="AN79" s="606"/>
      <c r="AO79" s="605"/>
      <c r="AP79" s="605"/>
      <c r="AQ79" s="605"/>
      <c r="AR79" s="605"/>
      <c r="AS79" s="606"/>
      <c r="AT79" s="605"/>
      <c r="AU79" s="605"/>
      <c r="AV79" s="605"/>
      <c r="AW79" s="605"/>
      <c r="AX79" s="605"/>
      <c r="AY79" s="605"/>
    </row>
    <row r="80" spans="1:51" s="602" customFormat="1">
      <c r="A80" s="603" t="s">
        <v>427</v>
      </c>
      <c r="B80" s="603"/>
      <c r="C80" s="603"/>
      <c r="D80" s="603"/>
      <c r="E80" s="610"/>
      <c r="F80" s="604"/>
      <c r="G80" s="605"/>
      <c r="H80" s="605"/>
      <c r="I80" s="605"/>
      <c r="J80" s="605"/>
      <c r="K80" s="605"/>
      <c r="L80" s="605"/>
      <c r="M80" s="605"/>
      <c r="N80" s="605"/>
      <c r="O80" s="605"/>
      <c r="P80" s="605"/>
      <c r="Q80" s="605"/>
      <c r="R80" s="605"/>
      <c r="S80" s="605"/>
      <c r="T80" s="605"/>
      <c r="U80" s="605"/>
      <c r="V80" s="605"/>
      <c r="W80" s="605"/>
      <c r="X80" s="605"/>
      <c r="Y80" s="605"/>
      <c r="Z80" s="605"/>
      <c r="AA80" s="605"/>
      <c r="AB80" s="605"/>
      <c r="AC80" s="605"/>
      <c r="AD80" s="605"/>
      <c r="AE80" s="605"/>
      <c r="AF80" s="605"/>
      <c r="AG80" s="605"/>
      <c r="AH80" s="605"/>
      <c r="AI80" s="605"/>
      <c r="AJ80" s="605"/>
      <c r="AK80" s="605"/>
      <c r="AL80" s="605"/>
      <c r="AM80" s="605"/>
      <c r="AN80" s="602" t="e" vm="2">
        <f>SUM(AN70,AN78)</f>
        <v>#VALUE!</v>
      </c>
      <c r="AO80" s="605"/>
      <c r="AP80" s="605"/>
      <c r="AQ80" s="605"/>
      <c r="AR80" s="605"/>
      <c r="AS80" s="602" t="e" vm="2">
        <f>SUM(AS70,AS78)</f>
        <v>#VALUE!</v>
      </c>
      <c r="AT80" s="605"/>
      <c r="AU80" s="605"/>
      <c r="AV80" s="605"/>
      <c r="AW80" s="605"/>
      <c r="AX80" s="602" t="e" vm="2">
        <f>SUM(AX70,AX78)</f>
        <v>#VALUE!</v>
      </c>
      <c r="AY80" s="602" t="e" vm="2">
        <f>SUM(AY70,AY78)</f>
        <v>#VALUE!</v>
      </c>
    </row>
    <row r="81" spans="1:51" s="602" customFormat="1">
      <c r="A81" s="603"/>
      <c r="B81" s="603"/>
      <c r="C81" s="603"/>
      <c r="D81" s="603"/>
      <c r="E81" s="610"/>
      <c r="F81" s="604"/>
      <c r="G81" s="605"/>
      <c r="H81" s="605"/>
      <c r="I81" s="605"/>
      <c r="J81" s="605"/>
      <c r="K81" s="605"/>
      <c r="L81" s="605"/>
      <c r="M81" s="605"/>
      <c r="N81" s="605"/>
      <c r="O81" s="605"/>
      <c r="P81" s="605"/>
      <c r="Q81" s="605"/>
      <c r="R81" s="605"/>
      <c r="S81" s="605"/>
      <c r="T81" s="605"/>
      <c r="U81" s="605"/>
      <c r="V81" s="605"/>
      <c r="W81" s="605"/>
      <c r="X81" s="605"/>
      <c r="Y81" s="605"/>
      <c r="Z81" s="605"/>
      <c r="AA81" s="605"/>
      <c r="AB81" s="605"/>
      <c r="AC81" s="605"/>
      <c r="AD81" s="605"/>
      <c r="AE81" s="605"/>
      <c r="AF81" s="605"/>
      <c r="AG81" s="605"/>
      <c r="AH81" s="605"/>
      <c r="AI81" s="605"/>
      <c r="AJ81" s="605"/>
      <c r="AK81" s="605"/>
      <c r="AL81" s="605"/>
      <c r="AM81" s="605"/>
      <c r="AN81" s="606"/>
      <c r="AO81" s="605"/>
      <c r="AP81" s="605"/>
      <c r="AQ81" s="605"/>
      <c r="AR81" s="605"/>
      <c r="AS81" s="606"/>
      <c r="AT81" s="605"/>
      <c r="AU81" s="605"/>
      <c r="AV81" s="605"/>
      <c r="AW81" s="605"/>
      <c r="AX81" s="605"/>
      <c r="AY81" s="605"/>
    </row>
    <row r="82" spans="1:51" s="602" customFormat="1">
      <c r="A82" s="739" t="s">
        <v>428</v>
      </c>
      <c r="B82" s="739"/>
      <c r="C82" s="739"/>
      <c r="D82" s="739"/>
      <c r="E82" s="740" t="s">
        <v>417</v>
      </c>
      <c r="F82" s="741" t="e" vm="1">
        <v>#VALUE!</v>
      </c>
      <c r="G82" s="741" t="e" vm="1">
        <v>#VALUE!</v>
      </c>
      <c r="H82" s="741" t="e" vm="1">
        <v>#VALUE!</v>
      </c>
      <c r="I82" s="741" t="e" vm="1">
        <v>#VALUE!</v>
      </c>
      <c r="J82" s="741" t="e" vm="1">
        <v>#VALUE!</v>
      </c>
      <c r="K82" s="741" t="e" vm="1">
        <v>#VALUE!</v>
      </c>
      <c r="L82" s="741" t="e" vm="1">
        <v>#VALUE!</v>
      </c>
      <c r="M82" s="741" t="e" vm="1">
        <v>#VALUE!</v>
      </c>
      <c r="N82" s="741" t="e" vm="1">
        <v>#VALUE!</v>
      </c>
      <c r="O82" s="741" t="e" vm="1">
        <v>#VALUE!</v>
      </c>
      <c r="P82" s="741" t="e" vm="1">
        <v>#VALUE!</v>
      </c>
      <c r="Q82" s="741" t="e" vm="1">
        <v>#VALUE!</v>
      </c>
      <c r="R82" s="741" t="e" vm="1">
        <v>#VALUE!</v>
      </c>
      <c r="S82" s="741" t="e" vm="1">
        <v>#VALUE!</v>
      </c>
      <c r="T82" s="741" t="e" vm="1">
        <v>#VALUE!</v>
      </c>
      <c r="U82" s="741" t="e" vm="1">
        <v>#VALUE!</v>
      </c>
      <c r="V82" s="741" t="e" vm="1">
        <v>#VALUE!</v>
      </c>
      <c r="W82" s="741" t="e" vm="1">
        <v>#VALUE!</v>
      </c>
      <c r="X82" s="741" t="e" vm="1">
        <v>#VALUE!</v>
      </c>
      <c r="Y82" s="741" t="e" vm="1">
        <v>#VALUE!</v>
      </c>
      <c r="Z82" s="741" t="e" vm="1">
        <v>#VALUE!</v>
      </c>
      <c r="AA82" s="741" t="e" vm="1">
        <v>#VALUE!</v>
      </c>
      <c r="AB82" s="741" t="e" vm="1">
        <v>#VALUE!</v>
      </c>
      <c r="AC82" s="741" t="e" vm="1">
        <v>#VALUE!</v>
      </c>
      <c r="AD82" s="741" t="e" vm="1">
        <v>#VALUE!</v>
      </c>
      <c r="AE82" s="741" t="e" vm="1">
        <v>#VALUE!</v>
      </c>
      <c r="AF82" s="741" t="e" vm="1">
        <v>#VALUE!</v>
      </c>
      <c r="AG82" s="741" t="e" vm="1">
        <v>#VALUE!</v>
      </c>
      <c r="AH82" s="741" t="e" vm="1">
        <v>#VALUE!</v>
      </c>
      <c r="AI82" s="741" t="e" vm="1">
        <v>#VALUE!</v>
      </c>
      <c r="AJ82" s="741"/>
      <c r="AK82" s="741"/>
      <c r="AL82" s="741"/>
      <c r="AM82" s="741"/>
      <c r="AN82" s="741" t="e" vm="2">
        <f>SUM(AN66,AN67,AN68,AN80)</f>
        <v>#VALUE!</v>
      </c>
      <c r="AO82" s="741"/>
      <c r="AP82" s="741"/>
      <c r="AQ82" s="741"/>
      <c r="AR82" s="741"/>
      <c r="AS82" s="741" t="e" vm="2">
        <f>SUM(AS66,AS67,AS68,AS80)</f>
        <v>#VALUE!</v>
      </c>
      <c r="AT82" s="741"/>
      <c r="AU82" s="741"/>
      <c r="AV82" s="741"/>
      <c r="AW82" s="741"/>
      <c r="AX82" s="741" t="e" vm="2">
        <f>SUM(AX66,AX67,AX68,AX80)</f>
        <v>#VALUE!</v>
      </c>
      <c r="AY82" s="741" t="e" vm="2">
        <f>SUM(AY66,AY67,AY68,AY80)</f>
        <v>#VALUE!</v>
      </c>
    </row>
    <row r="83" spans="1:51">
      <c r="AX83" s="515"/>
      <c r="AY83" s="515"/>
    </row>
    <row r="84" spans="1:51">
      <c r="AX84" s="515"/>
      <c r="AY84" s="515"/>
    </row>
    <row r="85" spans="1:51">
      <c r="AX85" s="515"/>
      <c r="AY85" s="515"/>
    </row>
    <row r="86" spans="1:51">
      <c r="AX86" s="515"/>
      <c r="AY86" s="515"/>
    </row>
    <row r="87" spans="1:51">
      <c r="AX87" s="515"/>
      <c r="AY87" s="515"/>
    </row>
    <row r="88" spans="1:51">
      <c r="AX88" s="515"/>
      <c r="AY88" s="515"/>
    </row>
    <row r="89" spans="1:51">
      <c r="AX89" s="515"/>
      <c r="AY89" s="515"/>
    </row>
    <row r="90" spans="1:51">
      <c r="AX90" s="515"/>
      <c r="AY90" s="515"/>
    </row>
    <row r="91" spans="1:51">
      <c r="A91" s="613" t="s">
        <v>923</v>
      </c>
      <c r="AX91" s="515"/>
      <c r="AY91" s="515"/>
    </row>
    <row r="92" spans="1:51">
      <c r="A92" s="549" t="s">
        <v>445</v>
      </c>
      <c r="B92" s="549"/>
      <c r="C92" s="549"/>
      <c r="D92" s="549"/>
      <c r="E92" s="550"/>
      <c r="F92" s="549"/>
      <c r="G92" s="549"/>
      <c r="H92" s="549"/>
      <c r="I92" s="549"/>
      <c r="J92" s="549"/>
      <c r="K92" s="549"/>
      <c r="L92" s="549"/>
      <c r="M92" s="549"/>
      <c r="N92" s="549"/>
      <c r="O92" s="549"/>
      <c r="P92" s="549"/>
      <c r="Q92" s="549"/>
      <c r="R92" s="549"/>
      <c r="S92" s="549"/>
      <c r="T92" s="549"/>
      <c r="U92" s="549"/>
      <c r="V92" s="549"/>
      <c r="W92" s="549"/>
      <c r="X92" s="549"/>
      <c r="Y92" s="549"/>
      <c r="Z92" s="549"/>
      <c r="AA92" s="549"/>
      <c r="AB92" s="549"/>
      <c r="AC92" s="549"/>
      <c r="AD92" s="549"/>
      <c r="AE92" s="549"/>
      <c r="AF92" s="549"/>
      <c r="AG92" s="549"/>
      <c r="AH92" s="549"/>
      <c r="AI92" s="549"/>
      <c r="AJ92" s="549"/>
      <c r="AK92" s="549"/>
      <c r="AL92" s="549"/>
      <c r="AM92" s="549"/>
      <c r="AN92" s="549"/>
      <c r="AO92" s="549"/>
      <c r="AP92" s="549"/>
      <c r="AQ92" s="549"/>
      <c r="AR92" s="549"/>
      <c r="AS92" s="549"/>
      <c r="AT92" s="549"/>
      <c r="AU92" s="549"/>
      <c r="AV92" s="549"/>
      <c r="AW92" s="549"/>
      <c r="AX92" s="549"/>
      <c r="AY92" s="549"/>
    </row>
    <row r="93" spans="1:51">
      <c r="A93" s="515" t="s">
        <v>454</v>
      </c>
      <c r="F93" s="614">
        <f t="shared" ref="F93:AH96" si="22">F3</f>
        <v>5698</v>
      </c>
      <c r="G93" s="614">
        <f t="shared" si="22"/>
        <v>5758</v>
      </c>
      <c r="H93" s="614">
        <f t="shared" si="22"/>
        <v>5589</v>
      </c>
      <c r="I93" s="614">
        <f t="shared" si="22"/>
        <v>8695</v>
      </c>
      <c r="J93" s="614">
        <f t="shared" si="22"/>
        <v>25331</v>
      </c>
      <c r="K93" s="614">
        <f t="shared" si="22"/>
        <v>5676</v>
      </c>
      <c r="L93" s="614">
        <f t="shared" si="22"/>
        <v>5722</v>
      </c>
      <c r="M93" s="614">
        <f t="shared" si="22"/>
        <v>5356</v>
      </c>
      <c r="N93" s="614">
        <f t="shared" si="22"/>
        <v>8577</v>
      </c>
      <c r="O93" s="614">
        <f t="shared" si="22"/>
        <v>18097</v>
      </c>
      <c r="P93" s="614">
        <f t="shared" si="22"/>
        <v>3148</v>
      </c>
      <c r="Q93" s="614">
        <f t="shared" si="22"/>
        <v>3727</v>
      </c>
      <c r="R93" s="614">
        <f t="shared" si="22"/>
        <v>4185</v>
      </c>
      <c r="S93" s="614">
        <f t="shared" si="22"/>
        <v>7037</v>
      </c>
      <c r="T93" s="614">
        <f t="shared" si="22"/>
        <v>25399</v>
      </c>
      <c r="U93" s="614">
        <f t="shared" si="22"/>
        <v>0</v>
      </c>
      <c r="V93" s="614">
        <f t="shared" si="22"/>
        <v>0</v>
      </c>
      <c r="W93" s="614">
        <f t="shared" si="22"/>
        <v>0</v>
      </c>
      <c r="X93" s="614">
        <f t="shared" si="22"/>
        <v>0</v>
      </c>
      <c r="Y93" s="614">
        <f t="shared" si="22"/>
        <v>25449</v>
      </c>
      <c r="Z93" s="614">
        <f t="shared" si="22"/>
        <v>0</v>
      </c>
      <c r="AA93" s="614">
        <f t="shared" si="22"/>
        <v>0</v>
      </c>
      <c r="AB93" s="614">
        <f t="shared" si="22"/>
        <v>0</v>
      </c>
      <c r="AC93" s="614">
        <f t="shared" si="22"/>
        <v>0</v>
      </c>
      <c r="AD93" s="614">
        <f t="shared" si="22"/>
        <v>23866</v>
      </c>
      <c r="AE93" s="614">
        <f t="shared" si="22"/>
        <v>5173</v>
      </c>
      <c r="AF93" s="614">
        <f t="shared" si="22"/>
        <v>5280</v>
      </c>
      <c r="AG93" s="614">
        <f t="shared" si="22"/>
        <v>5038</v>
      </c>
      <c r="AH93" s="614">
        <f t="shared" si="22"/>
        <v>8375</v>
      </c>
      <c r="AI93" s="533">
        <v>23006</v>
      </c>
      <c r="AJ93" s="533"/>
      <c r="AK93" s="533"/>
      <c r="AL93" s="533"/>
      <c r="AM93" s="533"/>
      <c r="AN93" s="533" t="e" vm="1">
        <v>#VALUE!</v>
      </c>
      <c r="AO93" s="533" t="e" vm="1">
        <v>#VALUE!</v>
      </c>
      <c r="AP93" s="533" t="e" vm="1">
        <v>#VALUE!</v>
      </c>
      <c r="AQ93" s="533" t="e" vm="1">
        <v>#VALUE!</v>
      </c>
      <c r="AR93" s="533" t="e" vm="1">
        <v>#VALUE!</v>
      </c>
      <c r="AS93" s="533" t="e" vm="1">
        <v>#VALUE!</v>
      </c>
      <c r="AT93" s="533" t="e" vm="1">
        <v>#VALUE!</v>
      </c>
      <c r="AU93" s="533" t="e" vm="1">
        <v>#VALUE!</v>
      </c>
      <c r="AV93" s="533" t="e" vm="1">
        <v>#VALUE!</v>
      </c>
      <c r="AW93" s="533" t="e" vm="1">
        <v>#VALUE!</v>
      </c>
      <c r="AX93" s="533" t="e" vm="1">
        <v>#VALUE!</v>
      </c>
      <c r="AY93" s="533" t="e" vm="1">
        <v>#VALUE!</v>
      </c>
    </row>
    <row r="94" spans="1:51">
      <c r="A94" s="535" t="s">
        <v>455</v>
      </c>
      <c r="K94" s="536">
        <f t="shared" si="22"/>
        <v>-3.8610038610038611E-3</v>
      </c>
      <c r="L94" s="536">
        <f t="shared" si="22"/>
        <v>-6.252170892671066E-3</v>
      </c>
      <c r="M94" s="536">
        <f t="shared" si="22"/>
        <v>-4.1689032027196281E-2</v>
      </c>
      <c r="N94" s="536">
        <f t="shared" si="22"/>
        <v>-1.3571017826336976E-2</v>
      </c>
      <c r="O94" s="536">
        <f t="shared" si="22"/>
        <v>-0.28557893490189884</v>
      </c>
      <c r="P94" s="536">
        <f t="shared" si="22"/>
        <v>-0.44538407329105001</v>
      </c>
      <c r="Q94" s="536">
        <f t="shared" si="22"/>
        <v>-0.34865431667249214</v>
      </c>
      <c r="R94" s="536">
        <f t="shared" si="22"/>
        <v>-0.21863330843913367</v>
      </c>
      <c r="S94" s="536">
        <f t="shared" si="22"/>
        <v>-0.17954995919319108</v>
      </c>
      <c r="T94" s="536">
        <f t="shared" si="22"/>
        <v>0.40349229154003424</v>
      </c>
      <c r="U94" s="536">
        <f t="shared" si="22"/>
        <v>-1</v>
      </c>
      <c r="V94" s="536">
        <f t="shared" si="22"/>
        <v>-1</v>
      </c>
      <c r="W94" s="536">
        <f t="shared" si="22"/>
        <v>-1</v>
      </c>
      <c r="X94" s="536">
        <f t="shared" si="22"/>
        <v>-1</v>
      </c>
      <c r="Y94" s="536">
        <f t="shared" si="22"/>
        <v>1.9685814402141816E-3</v>
      </c>
      <c r="Z94" s="536" t="e">
        <f t="shared" si="22"/>
        <v>#DIV/0!</v>
      </c>
      <c r="AA94" s="536" t="e">
        <f t="shared" si="22"/>
        <v>#DIV/0!</v>
      </c>
      <c r="AB94" s="536" t="e">
        <f t="shared" si="22"/>
        <v>#DIV/0!</v>
      </c>
      <c r="AC94" s="536" t="e">
        <f t="shared" si="22"/>
        <v>#DIV/0!</v>
      </c>
      <c r="AD94" s="536">
        <f t="shared" si="22"/>
        <v>-6.2202837046642305E-2</v>
      </c>
      <c r="AE94" s="536" t="e">
        <f t="shared" si="22"/>
        <v>#DIV/0!</v>
      </c>
      <c r="AF94" s="536" t="e">
        <f t="shared" si="22"/>
        <v>#DIV/0!</v>
      </c>
      <c r="AG94" s="536" t="e">
        <f t="shared" si="22"/>
        <v>#DIV/0!</v>
      </c>
      <c r="AH94" s="536" t="e">
        <f t="shared" si="22"/>
        <v>#DIV/0!</v>
      </c>
      <c r="AI94" s="536">
        <f t="shared" ref="AI94:AI96" si="23">AI4</f>
        <v>-3.6034526104081123E-2</v>
      </c>
      <c r="AN94" s="536" t="e" vm="2">
        <f>(AN93-AI93)/AI93</f>
        <v>#VALUE!</v>
      </c>
      <c r="AO94" s="536"/>
      <c r="AP94" s="536"/>
      <c r="AQ94" s="536"/>
      <c r="AR94" s="536"/>
      <c r="AS94" s="536" t="e" vm="2">
        <f>(AS93-AN93)/AN93</f>
        <v>#VALUE!</v>
      </c>
      <c r="AT94" s="536"/>
      <c r="AU94" s="536"/>
      <c r="AV94" s="536"/>
      <c r="AW94" s="536"/>
      <c r="AX94" s="536" t="e" vm="2">
        <f>(AX93-AS93)/AS93</f>
        <v>#VALUE!</v>
      </c>
      <c r="AY94" s="536" t="e" vm="2">
        <f>(AY93-AX93)/AX93</f>
        <v>#VALUE!</v>
      </c>
    </row>
    <row r="95" spans="1:51">
      <c r="A95" s="511" t="s">
        <v>456</v>
      </c>
      <c r="F95" s="614">
        <f t="shared" ref="F95:J96" si="24">F5</f>
        <v>3382</v>
      </c>
      <c r="G95" s="614">
        <f t="shared" si="24"/>
        <v>3320</v>
      </c>
      <c r="H95" s="614">
        <f t="shared" si="24"/>
        <v>3226</v>
      </c>
      <c r="I95" s="614">
        <f t="shared" si="24"/>
        <v>5288</v>
      </c>
      <c r="J95" s="614">
        <f t="shared" si="24"/>
        <v>15171</v>
      </c>
      <c r="K95" s="614">
        <f t="shared" si="22"/>
        <v>2201</v>
      </c>
      <c r="L95" s="614">
        <f t="shared" si="22"/>
        <v>2718</v>
      </c>
      <c r="M95" s="614">
        <f t="shared" si="22"/>
        <v>2569</v>
      </c>
      <c r="N95" s="614">
        <f t="shared" si="22"/>
        <v>4798</v>
      </c>
      <c r="O95" s="614">
        <f t="shared" si="22"/>
        <v>12286</v>
      </c>
      <c r="P95" s="614">
        <f t="shared" si="22"/>
        <v>2889</v>
      </c>
      <c r="Q95" s="614">
        <f t="shared" si="22"/>
        <v>3353</v>
      </c>
      <c r="R95" s="614">
        <f t="shared" si="22"/>
        <v>3207</v>
      </c>
      <c r="S95" s="614">
        <f t="shared" si="22"/>
        <v>5507</v>
      </c>
      <c r="T95" s="614">
        <f t="shared" si="22"/>
        <v>14956</v>
      </c>
      <c r="U95" s="614">
        <f t="shared" si="22"/>
        <v>3231</v>
      </c>
      <c r="V95" s="614">
        <f t="shared" si="22"/>
        <v>3422</v>
      </c>
      <c r="W95" s="614">
        <f t="shared" si="22"/>
        <v>3204</v>
      </c>
      <c r="X95" s="614">
        <f t="shared" si="22"/>
        <v>5450</v>
      </c>
      <c r="Y95" s="614">
        <f t="shared" si="22"/>
        <v>15347</v>
      </c>
      <c r="Z95" s="614">
        <f t="shared" si="22"/>
        <v>2988</v>
      </c>
      <c r="AA95" s="614">
        <f t="shared" si="22"/>
        <v>3176</v>
      </c>
      <c r="AB95" s="614">
        <f t="shared" si="22"/>
        <v>2905</v>
      </c>
      <c r="AC95" s="614">
        <f t="shared" si="22"/>
        <v>5154</v>
      </c>
      <c r="AD95" s="614">
        <f t="shared" si="22"/>
        <v>14224</v>
      </c>
      <c r="AE95" s="614">
        <f t="shared" si="22"/>
        <v>2988</v>
      </c>
      <c r="AF95" s="614">
        <f t="shared" si="22"/>
        <v>3176</v>
      </c>
      <c r="AG95" s="614">
        <f t="shared" si="22"/>
        <v>2905</v>
      </c>
      <c r="AH95" s="614">
        <f t="shared" si="22"/>
        <v>5154</v>
      </c>
      <c r="AI95" s="614">
        <f t="shared" si="23"/>
        <v>13740</v>
      </c>
      <c r="AN95" s="615" t="e" vm="2">
        <f>AN93*AN96</f>
        <v>#VALUE!</v>
      </c>
      <c r="AO95" s="615" t="e" vm="2">
        <f t="shared" ref="AO95:AX95" si="25">AO93*AO96</f>
        <v>#VALUE!</v>
      </c>
      <c r="AP95" s="615" t="e" vm="2">
        <f t="shared" si="25"/>
        <v>#VALUE!</v>
      </c>
      <c r="AQ95" s="615" t="e" vm="2">
        <f t="shared" si="25"/>
        <v>#VALUE!</v>
      </c>
      <c r="AR95" s="615" t="e" vm="2">
        <f t="shared" si="25"/>
        <v>#VALUE!</v>
      </c>
      <c r="AS95" s="615" t="e" vm="2">
        <f t="shared" si="25"/>
        <v>#VALUE!</v>
      </c>
      <c r="AT95" s="615" t="e" vm="2">
        <f t="shared" si="25"/>
        <v>#VALUE!</v>
      </c>
      <c r="AU95" s="615" t="e" vm="2">
        <f t="shared" si="25"/>
        <v>#VALUE!</v>
      </c>
      <c r="AV95" s="615" t="e" vm="2">
        <f t="shared" si="25"/>
        <v>#VALUE!</v>
      </c>
      <c r="AW95" s="615" t="e" vm="2">
        <f t="shared" si="25"/>
        <v>#VALUE!</v>
      </c>
      <c r="AX95" s="615" t="e" vm="2">
        <f t="shared" si="25"/>
        <v>#VALUE!</v>
      </c>
      <c r="AY95" s="533" t="e" vm="2">
        <f>AY93*AY96</f>
        <v>#VALUE!</v>
      </c>
    </row>
    <row r="96" spans="1:51">
      <c r="A96" s="543" t="s">
        <v>457</v>
      </c>
      <c r="F96" s="536">
        <f t="shared" si="24"/>
        <v>0.59354159354159353</v>
      </c>
      <c r="G96" s="536">
        <f t="shared" si="24"/>
        <v>0.57658909343522058</v>
      </c>
      <c r="H96" s="536">
        <f t="shared" si="24"/>
        <v>0.57720522454821976</v>
      </c>
      <c r="I96" s="536">
        <f t="shared" si="24"/>
        <v>0.60816561242093159</v>
      </c>
      <c r="J96" s="536">
        <f t="shared" si="24"/>
        <v>0.59891042596028576</v>
      </c>
      <c r="K96" s="536">
        <f t="shared" si="22"/>
        <v>0.38777307963354474</v>
      </c>
      <c r="L96" s="536">
        <f t="shared" si="22"/>
        <v>0.47500873820342537</v>
      </c>
      <c r="M96" s="536">
        <f t="shared" si="22"/>
        <v>0.4796489917849141</v>
      </c>
      <c r="N96" s="536">
        <f t="shared" si="22"/>
        <v>0.55940305468112395</v>
      </c>
      <c r="O96" s="536">
        <f t="shared" si="22"/>
        <v>0.67889705476045759</v>
      </c>
      <c r="P96" s="536">
        <f t="shared" si="22"/>
        <v>0.91772554002541296</v>
      </c>
      <c r="Q96" s="536">
        <f t="shared" si="22"/>
        <v>0.89965119398980409</v>
      </c>
      <c r="R96" s="536">
        <f t="shared" si="22"/>
        <v>0.76630824372759854</v>
      </c>
      <c r="S96" s="536">
        <f t="shared" si="22"/>
        <v>0.78257780304106861</v>
      </c>
      <c r="T96" s="536">
        <f t="shared" si="22"/>
        <v>0.58884208039686603</v>
      </c>
      <c r="U96" s="536" t="e">
        <f t="shared" si="22"/>
        <v>#DIV/0!</v>
      </c>
      <c r="V96" s="536" t="e">
        <f t="shared" si="22"/>
        <v>#DIV/0!</v>
      </c>
      <c r="W96" s="536" t="e">
        <f t="shared" si="22"/>
        <v>#DIV/0!</v>
      </c>
      <c r="X96" s="536" t="e">
        <f t="shared" si="22"/>
        <v>#DIV/0!</v>
      </c>
      <c r="Y96" s="536">
        <f t="shared" si="22"/>
        <v>0.60304923572635472</v>
      </c>
      <c r="Z96" s="536" t="e">
        <f t="shared" si="22"/>
        <v>#DIV/0!</v>
      </c>
      <c r="AA96" s="536" t="e">
        <f t="shared" si="22"/>
        <v>#DIV/0!</v>
      </c>
      <c r="AB96" s="536" t="e">
        <f t="shared" si="22"/>
        <v>#DIV/0!</v>
      </c>
      <c r="AC96" s="536" t="e">
        <f t="shared" si="22"/>
        <v>#DIV/0!</v>
      </c>
      <c r="AD96" s="536">
        <f t="shared" si="22"/>
        <v>0.59599430151680211</v>
      </c>
      <c r="AE96" s="536">
        <f t="shared" si="22"/>
        <v>0.57761453701913779</v>
      </c>
      <c r="AF96" s="536">
        <f t="shared" si="22"/>
        <v>0.60151515151515156</v>
      </c>
      <c r="AG96" s="536">
        <f t="shared" si="22"/>
        <v>0.57661770543866608</v>
      </c>
      <c r="AH96" s="536">
        <f t="shared" si="22"/>
        <v>0.61540298507462687</v>
      </c>
      <c r="AI96" s="536">
        <f t="shared" si="23"/>
        <v>0.59723550378162216</v>
      </c>
      <c r="AN96" s="513">
        <v>0.60599999999999998</v>
      </c>
      <c r="AO96" s="513"/>
      <c r="AP96" s="513"/>
      <c r="AS96" s="513">
        <v>0.60599999999999998</v>
      </c>
      <c r="AT96" s="513"/>
      <c r="AU96" s="513"/>
      <c r="AV96" s="513"/>
      <c r="AW96" s="513"/>
      <c r="AX96" s="513">
        <v>0.60599999999999998</v>
      </c>
      <c r="AY96" s="513">
        <v>0.60599999999999998</v>
      </c>
    </row>
    <row r="97" spans="1:51">
      <c r="A97" s="548" t="s">
        <v>458</v>
      </c>
      <c r="F97" s="536">
        <f>1-F96</f>
        <v>0.40645840645840647</v>
      </c>
      <c r="G97" s="536">
        <f t="shared" ref="G97:AY97" si="26">1-G96</f>
        <v>0.42341090656477942</v>
      </c>
      <c r="H97" s="536">
        <f t="shared" si="26"/>
        <v>0.42279477545178024</v>
      </c>
      <c r="I97" s="536">
        <f t="shared" si="26"/>
        <v>0.39183438757906841</v>
      </c>
      <c r="J97" s="536">
        <f t="shared" si="26"/>
        <v>0.40108957403971424</v>
      </c>
      <c r="K97" s="536">
        <f t="shared" si="26"/>
        <v>0.61222692036645521</v>
      </c>
      <c r="L97" s="536">
        <f t="shared" si="26"/>
        <v>0.52499126179657463</v>
      </c>
      <c r="M97" s="536">
        <f t="shared" si="26"/>
        <v>0.52035100821508595</v>
      </c>
      <c r="N97" s="536">
        <f t="shared" si="26"/>
        <v>0.44059694531887605</v>
      </c>
      <c r="O97" s="536">
        <f t="shared" si="26"/>
        <v>0.32110294523954241</v>
      </c>
      <c r="P97" s="536">
        <f t="shared" si="26"/>
        <v>8.2274459974587044E-2</v>
      </c>
      <c r="Q97" s="536">
        <f t="shared" si="26"/>
        <v>0.10034880601019591</v>
      </c>
      <c r="R97" s="536">
        <f t="shared" si="26"/>
        <v>0.23369175627240146</v>
      </c>
      <c r="S97" s="536">
        <f t="shared" si="26"/>
        <v>0.21742219695893139</v>
      </c>
      <c r="T97" s="536">
        <f t="shared" si="26"/>
        <v>0.41115791960313397</v>
      </c>
      <c r="U97" s="536" t="e">
        <f t="shared" si="26"/>
        <v>#DIV/0!</v>
      </c>
      <c r="V97" s="536" t="e">
        <f t="shared" si="26"/>
        <v>#DIV/0!</v>
      </c>
      <c r="W97" s="536" t="e">
        <f t="shared" si="26"/>
        <v>#DIV/0!</v>
      </c>
      <c r="X97" s="536" t="e">
        <f t="shared" si="26"/>
        <v>#DIV/0!</v>
      </c>
      <c r="Y97" s="536">
        <f t="shared" si="26"/>
        <v>0.39695076427364528</v>
      </c>
      <c r="Z97" s="536" t="e">
        <f t="shared" si="26"/>
        <v>#DIV/0!</v>
      </c>
      <c r="AA97" s="536" t="e">
        <f t="shared" si="26"/>
        <v>#DIV/0!</v>
      </c>
      <c r="AB97" s="536" t="e">
        <f t="shared" si="26"/>
        <v>#DIV/0!</v>
      </c>
      <c r="AC97" s="536" t="e">
        <f t="shared" si="26"/>
        <v>#DIV/0!</v>
      </c>
      <c r="AD97" s="536">
        <f t="shared" si="26"/>
        <v>0.40400569848319789</v>
      </c>
      <c r="AE97" s="536">
        <f t="shared" si="26"/>
        <v>0.42238546298086221</v>
      </c>
      <c r="AF97" s="536">
        <f t="shared" si="26"/>
        <v>0.39848484848484844</v>
      </c>
      <c r="AG97" s="536">
        <f t="shared" si="26"/>
        <v>0.42338229456133392</v>
      </c>
      <c r="AH97" s="536">
        <f t="shared" si="26"/>
        <v>0.38459701492537313</v>
      </c>
      <c r="AI97" s="536">
        <f t="shared" si="26"/>
        <v>0.40276449621837784</v>
      </c>
      <c r="AJ97" s="536">
        <f t="shared" si="26"/>
        <v>1</v>
      </c>
      <c r="AK97" s="536">
        <f t="shared" si="26"/>
        <v>1</v>
      </c>
      <c r="AL97" s="536">
        <f t="shared" si="26"/>
        <v>1</v>
      </c>
      <c r="AM97" s="536">
        <f t="shared" si="26"/>
        <v>1</v>
      </c>
      <c r="AN97" s="536">
        <f t="shared" si="26"/>
        <v>0.39400000000000002</v>
      </c>
      <c r="AO97" s="536">
        <f t="shared" si="26"/>
        <v>1</v>
      </c>
      <c r="AP97" s="536">
        <f t="shared" si="26"/>
        <v>1</v>
      </c>
      <c r="AQ97" s="536">
        <f t="shared" si="26"/>
        <v>1</v>
      </c>
      <c r="AR97" s="536">
        <f t="shared" si="26"/>
        <v>1</v>
      </c>
      <c r="AS97" s="536">
        <f t="shared" si="26"/>
        <v>0.39400000000000002</v>
      </c>
      <c r="AT97" s="536">
        <f t="shared" si="26"/>
        <v>1</v>
      </c>
      <c r="AU97" s="536">
        <f t="shared" si="26"/>
        <v>1</v>
      </c>
      <c r="AV97" s="536">
        <f t="shared" si="26"/>
        <v>1</v>
      </c>
      <c r="AW97" s="536">
        <f t="shared" si="26"/>
        <v>1</v>
      </c>
      <c r="AX97" s="536">
        <f t="shared" si="26"/>
        <v>0.39400000000000002</v>
      </c>
      <c r="AY97" s="536">
        <f t="shared" si="26"/>
        <v>0.39400000000000002</v>
      </c>
    </row>
    <row r="98" spans="1:51">
      <c r="A98" s="511"/>
      <c r="AX98" s="515"/>
      <c r="AY98" s="515"/>
    </row>
    <row r="99" spans="1:51">
      <c r="A99" s="531" t="s">
        <v>459</v>
      </c>
      <c r="AX99" s="515"/>
      <c r="AY99" s="515"/>
    </row>
    <row r="100" spans="1:51">
      <c r="A100" s="532" t="s">
        <v>460</v>
      </c>
      <c r="F100" s="616">
        <f t="shared" ref="F100:AI100" si="27">F10</f>
        <v>2072</v>
      </c>
      <c r="G100" s="616">
        <f t="shared" si="27"/>
        <v>2153</v>
      </c>
      <c r="H100" s="616">
        <f t="shared" si="27"/>
        <v>2246</v>
      </c>
      <c r="I100" s="616">
        <f t="shared" si="27"/>
        <v>2530</v>
      </c>
      <c r="J100" s="616">
        <f t="shared" si="27"/>
        <v>9001</v>
      </c>
      <c r="K100" s="616">
        <f t="shared" si="27"/>
        <v>2105</v>
      </c>
      <c r="L100" s="616">
        <f t="shared" si="27"/>
        <v>2169</v>
      </c>
      <c r="M100" s="616">
        <f t="shared" si="27"/>
        <v>2194</v>
      </c>
      <c r="N100" s="616">
        <f t="shared" si="27"/>
        <v>2501</v>
      </c>
      <c r="O100" s="616">
        <f t="shared" si="27"/>
        <v>8969</v>
      </c>
      <c r="P100" s="616">
        <f t="shared" si="27"/>
        <v>1589</v>
      </c>
      <c r="Q100" s="616">
        <f t="shared" si="27"/>
        <v>1386</v>
      </c>
      <c r="R100" s="616">
        <f t="shared" si="27"/>
        <v>1710</v>
      </c>
      <c r="S100" s="616">
        <f t="shared" si="27"/>
        <v>2027</v>
      </c>
      <c r="T100" s="616">
        <f t="shared" si="27"/>
        <v>6713</v>
      </c>
      <c r="U100" s="616">
        <f t="shared" si="27"/>
        <v>1733</v>
      </c>
      <c r="V100" s="616">
        <f t="shared" si="27"/>
        <v>1881</v>
      </c>
      <c r="W100" s="616">
        <f t="shared" si="27"/>
        <v>1956</v>
      </c>
      <c r="X100" s="616">
        <f t="shared" si="27"/>
        <v>2412</v>
      </c>
      <c r="Y100" s="616">
        <f t="shared" si="27"/>
        <v>7982</v>
      </c>
      <c r="Z100" s="616">
        <f t="shared" si="27"/>
        <v>1898</v>
      </c>
      <c r="AA100" s="616">
        <f t="shared" si="27"/>
        <v>2004</v>
      </c>
      <c r="AB100" s="616">
        <f t="shared" si="27"/>
        <v>2081</v>
      </c>
      <c r="AC100" s="616">
        <f t="shared" si="27"/>
        <v>2457</v>
      </c>
      <c r="AD100" s="616">
        <f t="shared" si="27"/>
        <v>8440</v>
      </c>
      <c r="AE100" s="616">
        <f t="shared" si="27"/>
        <v>1946</v>
      </c>
      <c r="AF100" s="616">
        <f t="shared" si="27"/>
        <v>1976</v>
      </c>
      <c r="AG100" s="616">
        <f t="shared" si="27"/>
        <v>2038</v>
      </c>
      <c r="AH100" s="616">
        <f t="shared" si="27"/>
        <v>2404</v>
      </c>
      <c r="AI100" s="616">
        <f t="shared" si="27"/>
        <v>8364</v>
      </c>
      <c r="AN100" s="533" t="e" vm="1">
        <v>#VALUE!</v>
      </c>
      <c r="AO100" s="533" t="e" vm="1">
        <v>#VALUE!</v>
      </c>
      <c r="AP100" s="533" t="e" vm="1">
        <v>#VALUE!</v>
      </c>
      <c r="AQ100" s="533" t="e" vm="1">
        <v>#VALUE!</v>
      </c>
      <c r="AR100" s="533" t="e" vm="1">
        <v>#VALUE!</v>
      </c>
      <c r="AS100" s="533" t="e" vm="1">
        <v>#VALUE!</v>
      </c>
      <c r="AT100" s="533" t="e" vm="1">
        <v>#VALUE!</v>
      </c>
      <c r="AU100" s="533" t="e" vm="1">
        <v>#VALUE!</v>
      </c>
      <c r="AV100" s="533" t="e" vm="1">
        <v>#VALUE!</v>
      </c>
      <c r="AW100" s="533" t="e" vm="1">
        <v>#VALUE!</v>
      </c>
      <c r="AX100" s="533" t="e" vm="1">
        <v>#VALUE!</v>
      </c>
      <c r="AY100" s="533" t="e" vm="1">
        <v>#VALUE!</v>
      </c>
    </row>
    <row r="101" spans="1:51">
      <c r="A101" s="510" t="s">
        <v>908</v>
      </c>
      <c r="F101" s="617" t="e" vm="1">
        <v>#VALUE!</v>
      </c>
      <c r="G101" s="617" t="e" vm="1">
        <v>#VALUE!</v>
      </c>
      <c r="H101" s="617" t="e" vm="1">
        <v>#VALUE!</v>
      </c>
      <c r="I101" s="617" t="e" vm="1">
        <v>#VALUE!</v>
      </c>
      <c r="J101" s="617" t="e" vm="1">
        <v>#VALUE!</v>
      </c>
      <c r="K101" s="617" t="e" vm="1">
        <v>#VALUE!</v>
      </c>
      <c r="L101" s="617" t="e" vm="1">
        <v>#VALUE!</v>
      </c>
      <c r="M101" s="617" t="e" vm="1">
        <v>#VALUE!</v>
      </c>
      <c r="N101" s="617" t="e" vm="1">
        <v>#VALUE!</v>
      </c>
      <c r="O101" s="617" t="e" vm="1">
        <v>#VALUE!</v>
      </c>
      <c r="P101" s="617" t="e" vm="1">
        <v>#VALUE!</v>
      </c>
      <c r="Q101" s="617" t="e" vm="1">
        <v>#VALUE!</v>
      </c>
      <c r="R101" s="617" t="e" vm="1">
        <v>#VALUE!</v>
      </c>
      <c r="S101" s="617" t="e" vm="1">
        <v>#VALUE!</v>
      </c>
      <c r="T101" s="617" t="e" vm="1">
        <v>#VALUE!</v>
      </c>
      <c r="U101" s="617" t="e" vm="1">
        <v>#VALUE!</v>
      </c>
      <c r="V101" s="617" t="e" vm="1">
        <v>#VALUE!</v>
      </c>
      <c r="W101" s="617" t="e" vm="1">
        <v>#VALUE!</v>
      </c>
      <c r="X101" s="617" t="e" vm="1">
        <v>#VALUE!</v>
      </c>
      <c r="Y101" s="617" t="e" vm="1">
        <v>#VALUE!</v>
      </c>
      <c r="Z101" s="617" t="e" vm="1">
        <v>#VALUE!</v>
      </c>
      <c r="AA101" s="617" t="e" vm="1">
        <v>#VALUE!</v>
      </c>
      <c r="AB101" s="617" t="e" vm="1">
        <v>#VALUE!</v>
      </c>
      <c r="AC101" s="617" t="e" vm="1">
        <v>#VALUE!</v>
      </c>
      <c r="AD101" s="617" t="e" vm="1">
        <v>#VALUE!</v>
      </c>
      <c r="AE101" s="617" t="e" vm="1">
        <v>#VALUE!</v>
      </c>
      <c r="AF101" s="617" t="e" vm="1">
        <v>#VALUE!</v>
      </c>
      <c r="AG101" s="617" t="e" vm="1">
        <v>#VALUE!</v>
      </c>
      <c r="AH101" s="617" t="e" vm="1">
        <v>#VALUE!</v>
      </c>
      <c r="AI101" s="617" t="e" vm="1">
        <v>#VALUE!</v>
      </c>
      <c r="AN101" s="536">
        <v>0.375</v>
      </c>
      <c r="AO101" s="536">
        <v>0.375</v>
      </c>
      <c r="AP101" s="536">
        <v>0.375</v>
      </c>
      <c r="AQ101" s="536">
        <v>0.375</v>
      </c>
      <c r="AR101" s="536">
        <v>0.375</v>
      </c>
      <c r="AS101" s="536">
        <v>0.375</v>
      </c>
      <c r="AT101" s="536">
        <v>0.375</v>
      </c>
      <c r="AU101" s="536">
        <v>0.375</v>
      </c>
      <c r="AV101" s="536">
        <v>0.375</v>
      </c>
      <c r="AW101" s="536">
        <v>0.375</v>
      </c>
      <c r="AX101" s="536">
        <v>0.375</v>
      </c>
      <c r="AY101" s="536">
        <v>0.375</v>
      </c>
    </row>
    <row r="102" spans="1:51">
      <c r="A102" s="517" t="s">
        <v>461</v>
      </c>
      <c r="F102" s="614" t="str">
        <f t="shared" ref="F102:AY102" si="28">F12</f>
        <v>-</v>
      </c>
      <c r="G102" s="614" t="str">
        <f t="shared" si="28"/>
        <v>-</v>
      </c>
      <c r="H102" s="614" t="str">
        <f t="shared" si="28"/>
        <v>-</v>
      </c>
      <c r="I102" s="614">
        <f t="shared" si="28"/>
        <v>-8</v>
      </c>
      <c r="J102" s="614">
        <f t="shared" si="28"/>
        <v>-8</v>
      </c>
      <c r="K102" s="614">
        <f t="shared" si="28"/>
        <v>1</v>
      </c>
      <c r="L102" s="614">
        <f t="shared" si="28"/>
        <v>1</v>
      </c>
      <c r="M102" s="614">
        <f t="shared" si="28"/>
        <v>8</v>
      </c>
      <c r="N102" s="614">
        <f t="shared" si="28"/>
        <v>-10</v>
      </c>
      <c r="O102" s="614">
        <f t="shared" si="28"/>
        <v>0</v>
      </c>
      <c r="P102" s="614">
        <f t="shared" si="28"/>
        <v>9</v>
      </c>
      <c r="Q102" s="614">
        <f t="shared" si="28"/>
        <v>58</v>
      </c>
      <c r="R102" s="614">
        <f t="shared" si="28"/>
        <v>12</v>
      </c>
      <c r="S102" s="614">
        <f t="shared" si="28"/>
        <v>-79</v>
      </c>
      <c r="T102" s="614" t="str">
        <f t="shared" si="28"/>
        <v>-</v>
      </c>
      <c r="U102" s="614" t="str">
        <f t="shared" si="28"/>
        <v>-</v>
      </c>
      <c r="V102" s="614" t="str">
        <f t="shared" si="28"/>
        <v>-</v>
      </c>
      <c r="W102" s="614" t="str">
        <f t="shared" si="28"/>
        <v>-</v>
      </c>
      <c r="X102" s="614">
        <f t="shared" si="28"/>
        <v>21</v>
      </c>
      <c r="Y102" s="614">
        <f t="shared" si="28"/>
        <v>21</v>
      </c>
      <c r="Z102" s="614" t="str">
        <f t="shared" si="28"/>
        <v>-</v>
      </c>
      <c r="AA102" s="614" t="str">
        <f t="shared" si="28"/>
        <v>-</v>
      </c>
      <c r="AB102" s="614" t="str">
        <f t="shared" si="28"/>
        <v>-</v>
      </c>
      <c r="AC102" s="614">
        <f t="shared" si="28"/>
        <v>21</v>
      </c>
      <c r="AD102" s="614">
        <f t="shared" si="28"/>
        <v>21</v>
      </c>
      <c r="AE102" s="614" t="str">
        <f t="shared" si="28"/>
        <v>-</v>
      </c>
      <c r="AF102" s="614" t="str">
        <f t="shared" si="28"/>
        <v>-</v>
      </c>
      <c r="AG102" s="614" t="str">
        <f t="shared" si="28"/>
        <v>-</v>
      </c>
      <c r="AH102" s="614">
        <f t="shared" si="28"/>
        <v>15</v>
      </c>
      <c r="AI102" s="614">
        <f t="shared" si="28"/>
        <v>15</v>
      </c>
      <c r="AJ102" s="614">
        <f t="shared" si="28"/>
        <v>0</v>
      </c>
      <c r="AK102" s="614">
        <f t="shared" si="28"/>
        <v>0</v>
      </c>
      <c r="AL102" s="614">
        <f t="shared" si="28"/>
        <v>0</v>
      </c>
      <c r="AM102" s="614">
        <f t="shared" si="28"/>
        <v>0</v>
      </c>
      <c r="AN102" s="614">
        <f t="shared" si="28"/>
        <v>15</v>
      </c>
      <c r="AO102" s="614">
        <f t="shared" si="28"/>
        <v>0</v>
      </c>
      <c r="AP102" s="614">
        <f t="shared" si="28"/>
        <v>0</v>
      </c>
      <c r="AQ102" s="614">
        <f t="shared" si="28"/>
        <v>0</v>
      </c>
      <c r="AR102" s="614">
        <f t="shared" si="28"/>
        <v>0</v>
      </c>
      <c r="AS102" s="614">
        <f t="shared" si="28"/>
        <v>15</v>
      </c>
      <c r="AT102" s="614">
        <f t="shared" si="28"/>
        <v>0</v>
      </c>
      <c r="AU102" s="614">
        <f t="shared" si="28"/>
        <v>0</v>
      </c>
      <c r="AV102" s="614">
        <f t="shared" si="28"/>
        <v>0</v>
      </c>
      <c r="AW102" s="614">
        <f t="shared" si="28"/>
        <v>0</v>
      </c>
      <c r="AX102" s="614">
        <f t="shared" si="28"/>
        <v>15</v>
      </c>
      <c r="AY102" s="614">
        <f t="shared" si="28"/>
        <v>15</v>
      </c>
    </row>
    <row r="103" spans="1:51" ht="12.4" thickBot="1">
      <c r="A103" s="521" t="s">
        <v>462</v>
      </c>
      <c r="F103" s="604"/>
      <c r="G103" s="604"/>
      <c r="H103" s="604"/>
      <c r="I103" s="604"/>
      <c r="J103" s="618">
        <f>J13</f>
        <v>1142</v>
      </c>
      <c r="K103" s="604"/>
      <c r="L103" s="604"/>
      <c r="M103" s="604"/>
      <c r="N103" s="604"/>
      <c r="O103" s="618">
        <f>O13</f>
        <v>818</v>
      </c>
      <c r="P103" s="604"/>
      <c r="Q103" s="604"/>
      <c r="R103" s="604"/>
      <c r="S103" s="604"/>
      <c r="T103" s="618">
        <f>T13</f>
        <v>1177</v>
      </c>
      <c r="U103" s="604"/>
      <c r="V103" s="604"/>
      <c r="W103" s="604"/>
      <c r="X103" s="604"/>
      <c r="Y103" s="618">
        <f>Y13</f>
        <v>1163</v>
      </c>
      <c r="Z103" s="604"/>
      <c r="AA103" s="604"/>
      <c r="AB103" s="604"/>
      <c r="AC103" s="604"/>
      <c r="AD103" s="618">
        <f>AD13</f>
        <v>1107</v>
      </c>
      <c r="AE103" s="604"/>
      <c r="AF103" s="604"/>
      <c r="AG103" s="604"/>
      <c r="AH103" s="604"/>
      <c r="AI103" s="618">
        <f>AI13</f>
        <v>1102</v>
      </c>
      <c r="AN103" s="518">
        <v>1100</v>
      </c>
      <c r="AO103" s="520"/>
      <c r="AP103" s="520"/>
      <c r="AQ103" s="520"/>
      <c r="AR103" s="520"/>
      <c r="AS103" s="518">
        <v>1100</v>
      </c>
      <c r="AT103" s="520"/>
      <c r="AU103" s="520"/>
      <c r="AV103" s="520"/>
      <c r="AW103" s="520"/>
      <c r="AX103" s="520">
        <v>1100</v>
      </c>
      <c r="AY103" s="520">
        <v>1100</v>
      </c>
    </row>
    <row r="104" spans="1:51" s="568" customFormat="1" ht="12.4" thickBot="1">
      <c r="A104" s="619" t="s">
        <v>924</v>
      </c>
      <c r="J104" s="620">
        <f>SUM(J103,J102,J100)</f>
        <v>10135</v>
      </c>
      <c r="O104" s="620">
        <f>SUM(O103,O102,O100)</f>
        <v>9787</v>
      </c>
      <c r="T104" s="620">
        <f>SUM(T103,T102,T100)</f>
        <v>7890</v>
      </c>
      <c r="Y104" s="620">
        <f>SUM(Y103,Y102,Y100)</f>
        <v>9166</v>
      </c>
      <c r="AD104" s="620">
        <f>SUM(AD103,AD102,AD100)</f>
        <v>9568</v>
      </c>
      <c r="AI104" s="620">
        <f>SUM(AI103,AI102,AI100)</f>
        <v>9481</v>
      </c>
      <c r="AN104" s="620" t="e" vm="2">
        <f>SUM(AN103,AN102,AN100)</f>
        <v>#VALUE!</v>
      </c>
      <c r="AS104" s="620" t="e" vm="2">
        <f>SUM(AS103,AS102,AS100)</f>
        <v>#VALUE!</v>
      </c>
      <c r="AX104" s="620" t="e" vm="2">
        <f>SUM(AX103,AX102,AX100)</f>
        <v>#VALUE!</v>
      </c>
      <c r="AY104" s="620" t="e" vm="2">
        <f>SUM(AY103,AY102,AY100)</f>
        <v>#VALUE!</v>
      </c>
    </row>
    <row r="105" spans="1:51">
      <c r="AX105" s="515"/>
      <c r="AY105" s="614"/>
    </row>
    <row r="106" spans="1:51">
      <c r="AX106" s="515"/>
      <c r="AY106" s="515"/>
    </row>
    <row r="107" spans="1:51">
      <c r="AX107" s="515"/>
      <c r="AY107" s="515"/>
    </row>
    <row r="108" spans="1:51">
      <c r="A108" s="613" t="s">
        <v>925</v>
      </c>
      <c r="AX108" s="515"/>
      <c r="AY108" s="515"/>
    </row>
    <row r="109" spans="1:51">
      <c r="A109" s="549" t="s">
        <v>445</v>
      </c>
      <c r="B109" s="549"/>
      <c r="C109" s="549"/>
      <c r="D109" s="549"/>
      <c r="E109" s="550"/>
      <c r="F109" s="549"/>
      <c r="G109" s="549"/>
      <c r="H109" s="549"/>
      <c r="I109" s="549"/>
      <c r="J109" s="549"/>
      <c r="K109" s="549"/>
      <c r="L109" s="549"/>
      <c r="M109" s="549"/>
      <c r="N109" s="549"/>
      <c r="O109" s="549"/>
      <c r="P109" s="549"/>
      <c r="Q109" s="549"/>
      <c r="R109" s="549"/>
      <c r="S109" s="549"/>
      <c r="T109" s="549"/>
      <c r="U109" s="549"/>
      <c r="V109" s="549"/>
      <c r="W109" s="549"/>
      <c r="X109" s="549"/>
      <c r="Y109" s="549"/>
      <c r="Z109" s="549"/>
      <c r="AA109" s="549"/>
      <c r="AB109" s="549"/>
      <c r="AC109" s="549"/>
      <c r="AD109" s="549"/>
      <c r="AE109" s="549"/>
      <c r="AF109" s="549"/>
      <c r="AG109" s="549"/>
      <c r="AH109" s="549"/>
      <c r="AI109" s="549"/>
      <c r="AJ109" s="549"/>
      <c r="AK109" s="549"/>
      <c r="AL109" s="549"/>
      <c r="AM109" s="549"/>
      <c r="AN109" s="549"/>
      <c r="AO109" s="549"/>
      <c r="AP109" s="549"/>
      <c r="AQ109" s="549"/>
      <c r="AR109" s="549"/>
      <c r="AS109" s="549"/>
      <c r="AT109" s="549"/>
      <c r="AU109" s="549"/>
      <c r="AV109" s="549"/>
      <c r="AW109" s="549"/>
      <c r="AX109" s="549"/>
      <c r="AY109" s="549"/>
    </row>
    <row r="110" spans="1:51">
      <c r="A110" s="515" t="s">
        <v>454</v>
      </c>
      <c r="F110" s="614">
        <f t="shared" ref="F110:AH113" si="29">F3</f>
        <v>5698</v>
      </c>
      <c r="G110" s="614">
        <f t="shared" si="29"/>
        <v>5758</v>
      </c>
      <c r="H110" s="614">
        <f t="shared" si="29"/>
        <v>5589</v>
      </c>
      <c r="I110" s="614">
        <f t="shared" si="29"/>
        <v>8695</v>
      </c>
      <c r="J110" s="614">
        <f t="shared" si="29"/>
        <v>25331</v>
      </c>
      <c r="K110" s="614">
        <f t="shared" si="29"/>
        <v>5676</v>
      </c>
      <c r="L110" s="614">
        <f t="shared" si="29"/>
        <v>5722</v>
      </c>
      <c r="M110" s="614">
        <f t="shared" si="29"/>
        <v>5356</v>
      </c>
      <c r="N110" s="614">
        <f t="shared" si="29"/>
        <v>8577</v>
      </c>
      <c r="O110" s="614">
        <f t="shared" si="29"/>
        <v>18097</v>
      </c>
      <c r="P110" s="614">
        <f t="shared" si="29"/>
        <v>3148</v>
      </c>
      <c r="Q110" s="614">
        <f t="shared" si="29"/>
        <v>3727</v>
      </c>
      <c r="R110" s="614">
        <f t="shared" si="29"/>
        <v>4185</v>
      </c>
      <c r="S110" s="614">
        <f t="shared" si="29"/>
        <v>7037</v>
      </c>
      <c r="T110" s="614">
        <f t="shared" si="29"/>
        <v>25399</v>
      </c>
      <c r="U110" s="614">
        <f t="shared" si="29"/>
        <v>0</v>
      </c>
      <c r="V110" s="614">
        <f t="shared" si="29"/>
        <v>0</v>
      </c>
      <c r="W110" s="614">
        <f t="shared" si="29"/>
        <v>0</v>
      </c>
      <c r="X110" s="614">
        <f t="shared" si="29"/>
        <v>0</v>
      </c>
      <c r="Y110" s="614">
        <f t="shared" si="29"/>
        <v>25449</v>
      </c>
      <c r="Z110" s="614">
        <f t="shared" si="29"/>
        <v>0</v>
      </c>
      <c r="AA110" s="614">
        <f t="shared" si="29"/>
        <v>0</v>
      </c>
      <c r="AB110" s="614">
        <f t="shared" si="29"/>
        <v>0</v>
      </c>
      <c r="AC110" s="614">
        <f t="shared" si="29"/>
        <v>0</v>
      </c>
      <c r="AD110" s="614">
        <f t="shared" si="29"/>
        <v>23866</v>
      </c>
      <c r="AE110" s="614">
        <f t="shared" si="29"/>
        <v>5173</v>
      </c>
      <c r="AF110" s="614">
        <f t="shared" si="29"/>
        <v>5280</v>
      </c>
      <c r="AG110" s="614">
        <f t="shared" si="29"/>
        <v>5038</v>
      </c>
      <c r="AH110" s="614">
        <f t="shared" si="29"/>
        <v>8375</v>
      </c>
      <c r="AI110" s="533">
        <v>23066</v>
      </c>
      <c r="AN110" s="515" t="e" vm="1">
        <v>#VALUE!</v>
      </c>
      <c r="AO110" s="515" t="e" vm="1">
        <v>#VALUE!</v>
      </c>
      <c r="AP110" s="515" t="e" vm="1">
        <v>#VALUE!</v>
      </c>
      <c r="AQ110" s="515" t="e" vm="1">
        <v>#VALUE!</v>
      </c>
      <c r="AR110" s="515" t="e" vm="1">
        <v>#VALUE!</v>
      </c>
      <c r="AS110" s="515" t="e" vm="1">
        <v>#VALUE!</v>
      </c>
      <c r="AT110" s="515" t="e" vm="1">
        <v>#VALUE!</v>
      </c>
      <c r="AU110" s="515" t="e" vm="1">
        <v>#VALUE!</v>
      </c>
      <c r="AV110" s="515" t="e" vm="1">
        <v>#VALUE!</v>
      </c>
      <c r="AW110" s="515" t="e" vm="1">
        <v>#VALUE!</v>
      </c>
      <c r="AX110" s="515" t="e" vm="1">
        <v>#VALUE!</v>
      </c>
      <c r="AY110" s="515" t="e" vm="1">
        <v>#VALUE!</v>
      </c>
    </row>
    <row r="111" spans="1:51">
      <c r="A111" s="535" t="s">
        <v>455</v>
      </c>
      <c r="K111" s="536">
        <f t="shared" si="29"/>
        <v>-3.8610038610038611E-3</v>
      </c>
      <c r="L111" s="536">
        <f t="shared" si="29"/>
        <v>-6.252170892671066E-3</v>
      </c>
      <c r="M111" s="536">
        <f t="shared" si="29"/>
        <v>-4.1689032027196281E-2</v>
      </c>
      <c r="N111" s="536">
        <f t="shared" si="29"/>
        <v>-1.3571017826336976E-2</v>
      </c>
      <c r="O111" s="536">
        <f t="shared" si="29"/>
        <v>-0.28557893490189884</v>
      </c>
      <c r="P111" s="536">
        <f t="shared" si="29"/>
        <v>-0.44538407329105001</v>
      </c>
      <c r="Q111" s="536">
        <f t="shared" si="29"/>
        <v>-0.34865431667249214</v>
      </c>
      <c r="R111" s="536">
        <f t="shared" si="29"/>
        <v>-0.21863330843913367</v>
      </c>
      <c r="S111" s="536">
        <f t="shared" si="29"/>
        <v>-0.17954995919319108</v>
      </c>
      <c r="T111" s="536">
        <f t="shared" si="29"/>
        <v>0.40349229154003424</v>
      </c>
      <c r="U111" s="536">
        <f t="shared" si="29"/>
        <v>-1</v>
      </c>
      <c r="V111" s="536">
        <f t="shared" si="29"/>
        <v>-1</v>
      </c>
      <c r="W111" s="536">
        <f t="shared" si="29"/>
        <v>-1</v>
      </c>
      <c r="X111" s="536">
        <f t="shared" si="29"/>
        <v>-1</v>
      </c>
      <c r="Y111" s="536">
        <f t="shared" si="29"/>
        <v>1.9685814402141816E-3</v>
      </c>
      <c r="Z111" s="536" t="e">
        <f t="shared" si="29"/>
        <v>#DIV/0!</v>
      </c>
      <c r="AA111" s="536" t="e">
        <f t="shared" si="29"/>
        <v>#DIV/0!</v>
      </c>
      <c r="AB111" s="536" t="e">
        <f t="shared" si="29"/>
        <v>#DIV/0!</v>
      </c>
      <c r="AC111" s="536" t="e">
        <f t="shared" si="29"/>
        <v>#DIV/0!</v>
      </c>
      <c r="AD111" s="536">
        <f t="shared" si="29"/>
        <v>-6.2202837046642305E-2</v>
      </c>
      <c r="AE111" s="536" t="e">
        <f t="shared" si="29"/>
        <v>#DIV/0!</v>
      </c>
      <c r="AF111" s="536" t="e">
        <f t="shared" si="29"/>
        <v>#DIV/0!</v>
      </c>
      <c r="AG111" s="536" t="e">
        <f t="shared" si="29"/>
        <v>#DIV/0!</v>
      </c>
      <c r="AH111" s="536" t="e">
        <f t="shared" si="29"/>
        <v>#DIV/0!</v>
      </c>
      <c r="AI111" s="536">
        <f t="shared" ref="AI111:AI113" si="30">AI4</f>
        <v>-3.6034526104081123E-2</v>
      </c>
      <c r="AN111" s="536" t="e" vm="2">
        <f>(AN110-AI110)/AI110</f>
        <v>#VALUE!</v>
      </c>
      <c r="AO111" s="536" t="e" vm="2">
        <f t="shared" ref="AO111:AX111" si="31">(AO110-AJ110)/AJ110</f>
        <v>#VALUE!</v>
      </c>
      <c r="AP111" s="536" t="e" vm="2">
        <f t="shared" si="31"/>
        <v>#VALUE!</v>
      </c>
      <c r="AQ111" s="536" t="e" vm="2">
        <f t="shared" si="31"/>
        <v>#VALUE!</v>
      </c>
      <c r="AR111" s="536" t="e" vm="2">
        <f t="shared" si="31"/>
        <v>#VALUE!</v>
      </c>
      <c r="AS111" s="536" t="e" vm="2">
        <f>(AS110-AN110)/AN110</f>
        <v>#VALUE!</v>
      </c>
      <c r="AT111" s="536" t="e" vm="2">
        <f t="shared" si="31"/>
        <v>#VALUE!</v>
      </c>
      <c r="AU111" s="536" t="e" vm="2">
        <f t="shared" si="31"/>
        <v>#VALUE!</v>
      </c>
      <c r="AV111" s="536" t="e" vm="2">
        <f t="shared" si="31"/>
        <v>#VALUE!</v>
      </c>
      <c r="AW111" s="536" t="e" vm="2">
        <f t="shared" si="31"/>
        <v>#VALUE!</v>
      </c>
      <c r="AX111" s="536" t="e" vm="2">
        <f t="shared" si="31"/>
        <v>#VALUE!</v>
      </c>
      <c r="AY111" s="536" t="e" vm="2">
        <f>(AY110-AX110)/AX110</f>
        <v>#VALUE!</v>
      </c>
    </row>
    <row r="112" spans="1:51">
      <c r="A112" s="511" t="s">
        <v>456</v>
      </c>
      <c r="F112" s="614">
        <f t="shared" ref="F112:J113" si="32">F5</f>
        <v>3382</v>
      </c>
      <c r="G112" s="614">
        <f t="shared" si="32"/>
        <v>3320</v>
      </c>
      <c r="H112" s="614">
        <f t="shared" si="32"/>
        <v>3226</v>
      </c>
      <c r="I112" s="614">
        <f t="shared" si="32"/>
        <v>5288</v>
      </c>
      <c r="J112" s="614">
        <f t="shared" si="32"/>
        <v>15171</v>
      </c>
      <c r="K112" s="614">
        <f t="shared" si="29"/>
        <v>2201</v>
      </c>
      <c r="L112" s="614">
        <f t="shared" si="29"/>
        <v>2718</v>
      </c>
      <c r="M112" s="614">
        <f t="shared" si="29"/>
        <v>2569</v>
      </c>
      <c r="N112" s="614">
        <f t="shared" si="29"/>
        <v>4798</v>
      </c>
      <c r="O112" s="614">
        <f t="shared" si="29"/>
        <v>12286</v>
      </c>
      <c r="P112" s="614">
        <f t="shared" si="29"/>
        <v>2889</v>
      </c>
      <c r="Q112" s="614">
        <f t="shared" si="29"/>
        <v>3353</v>
      </c>
      <c r="R112" s="614">
        <f t="shared" si="29"/>
        <v>3207</v>
      </c>
      <c r="S112" s="614">
        <f t="shared" si="29"/>
        <v>5507</v>
      </c>
      <c r="T112" s="614">
        <f t="shared" si="29"/>
        <v>14956</v>
      </c>
      <c r="U112" s="614">
        <f t="shared" si="29"/>
        <v>3231</v>
      </c>
      <c r="V112" s="614">
        <f t="shared" si="29"/>
        <v>3422</v>
      </c>
      <c r="W112" s="614">
        <f t="shared" si="29"/>
        <v>3204</v>
      </c>
      <c r="X112" s="614">
        <f t="shared" si="29"/>
        <v>5450</v>
      </c>
      <c r="Y112" s="614">
        <f t="shared" si="29"/>
        <v>15347</v>
      </c>
      <c r="Z112" s="614">
        <f t="shared" si="29"/>
        <v>2988</v>
      </c>
      <c r="AA112" s="614">
        <f t="shared" si="29"/>
        <v>3176</v>
      </c>
      <c r="AB112" s="614">
        <f t="shared" si="29"/>
        <v>2905</v>
      </c>
      <c r="AC112" s="614">
        <f t="shared" si="29"/>
        <v>5154</v>
      </c>
      <c r="AD112" s="614">
        <f t="shared" si="29"/>
        <v>14224</v>
      </c>
      <c r="AE112" s="614">
        <f t="shared" si="29"/>
        <v>2988</v>
      </c>
      <c r="AF112" s="614">
        <f t="shared" si="29"/>
        <v>3176</v>
      </c>
      <c r="AG112" s="614">
        <f t="shared" si="29"/>
        <v>2905</v>
      </c>
      <c r="AH112" s="614">
        <f t="shared" si="29"/>
        <v>5154</v>
      </c>
      <c r="AI112" s="614">
        <f t="shared" si="30"/>
        <v>13740</v>
      </c>
      <c r="AN112" s="515" t="e" vm="2">
        <f>AN110*AN113</f>
        <v>#VALUE!</v>
      </c>
      <c r="AO112" s="515" t="e" vm="2">
        <f t="shared" ref="AO112:AX112" si="33">AO110*AO113</f>
        <v>#VALUE!</v>
      </c>
      <c r="AP112" s="515" t="e" vm="2">
        <f t="shared" si="33"/>
        <v>#VALUE!</v>
      </c>
      <c r="AQ112" s="515" t="e" vm="2">
        <f t="shared" si="33"/>
        <v>#VALUE!</v>
      </c>
      <c r="AR112" s="515" t="e" vm="2">
        <f t="shared" si="33"/>
        <v>#VALUE!</v>
      </c>
      <c r="AS112" s="515" t="e" vm="2">
        <f>AS110*AS113</f>
        <v>#VALUE!</v>
      </c>
      <c r="AT112" s="515" t="e" vm="2">
        <f t="shared" si="33"/>
        <v>#VALUE!</v>
      </c>
      <c r="AU112" s="515" t="e" vm="2">
        <f t="shared" si="33"/>
        <v>#VALUE!</v>
      </c>
      <c r="AV112" s="515" t="e" vm="2">
        <f t="shared" si="33"/>
        <v>#VALUE!</v>
      </c>
      <c r="AW112" s="515" t="e" vm="2">
        <f t="shared" si="33"/>
        <v>#VALUE!</v>
      </c>
      <c r="AX112" s="515" t="e" vm="2">
        <f t="shared" si="33"/>
        <v>#VALUE!</v>
      </c>
      <c r="AY112" s="515" t="e" vm="2">
        <f>AY110*AY113</f>
        <v>#VALUE!</v>
      </c>
    </row>
    <row r="113" spans="1:51">
      <c r="A113" s="543" t="s">
        <v>457</v>
      </c>
      <c r="F113" s="536">
        <f t="shared" si="32"/>
        <v>0.59354159354159353</v>
      </c>
      <c r="G113" s="536">
        <f t="shared" si="32"/>
        <v>0.57658909343522058</v>
      </c>
      <c r="H113" s="536">
        <f t="shared" si="32"/>
        <v>0.57720522454821976</v>
      </c>
      <c r="I113" s="536">
        <f t="shared" si="32"/>
        <v>0.60816561242093159</v>
      </c>
      <c r="J113" s="536">
        <f t="shared" si="32"/>
        <v>0.59891042596028576</v>
      </c>
      <c r="K113" s="536">
        <f t="shared" si="29"/>
        <v>0.38777307963354474</v>
      </c>
      <c r="L113" s="536">
        <f t="shared" si="29"/>
        <v>0.47500873820342537</v>
      </c>
      <c r="M113" s="536">
        <f t="shared" si="29"/>
        <v>0.4796489917849141</v>
      </c>
      <c r="N113" s="536">
        <f t="shared" si="29"/>
        <v>0.55940305468112395</v>
      </c>
      <c r="O113" s="536">
        <f t="shared" si="29"/>
        <v>0.67889705476045759</v>
      </c>
      <c r="P113" s="536">
        <f t="shared" si="29"/>
        <v>0.91772554002541296</v>
      </c>
      <c r="Q113" s="536">
        <f t="shared" si="29"/>
        <v>0.89965119398980409</v>
      </c>
      <c r="R113" s="536">
        <f t="shared" si="29"/>
        <v>0.76630824372759854</v>
      </c>
      <c r="S113" s="536">
        <f t="shared" si="29"/>
        <v>0.78257780304106861</v>
      </c>
      <c r="T113" s="536">
        <f t="shared" si="29"/>
        <v>0.58884208039686603</v>
      </c>
      <c r="U113" s="536" t="e">
        <f t="shared" si="29"/>
        <v>#DIV/0!</v>
      </c>
      <c r="V113" s="536" t="e">
        <f t="shared" si="29"/>
        <v>#DIV/0!</v>
      </c>
      <c r="W113" s="536" t="e">
        <f t="shared" si="29"/>
        <v>#DIV/0!</v>
      </c>
      <c r="X113" s="536" t="e">
        <f t="shared" si="29"/>
        <v>#DIV/0!</v>
      </c>
      <c r="Y113" s="536">
        <f t="shared" si="29"/>
        <v>0.60304923572635472</v>
      </c>
      <c r="Z113" s="536" t="e">
        <f t="shared" si="29"/>
        <v>#DIV/0!</v>
      </c>
      <c r="AA113" s="536" t="e">
        <f t="shared" si="29"/>
        <v>#DIV/0!</v>
      </c>
      <c r="AB113" s="536" t="e">
        <f t="shared" si="29"/>
        <v>#DIV/0!</v>
      </c>
      <c r="AC113" s="536" t="e">
        <f t="shared" si="29"/>
        <v>#DIV/0!</v>
      </c>
      <c r="AD113" s="536">
        <f t="shared" si="29"/>
        <v>0.59599430151680211</v>
      </c>
      <c r="AE113" s="536">
        <f t="shared" si="29"/>
        <v>0.57761453701913779</v>
      </c>
      <c r="AF113" s="536">
        <f t="shared" si="29"/>
        <v>0.60151515151515156</v>
      </c>
      <c r="AG113" s="536">
        <f t="shared" si="29"/>
        <v>0.57661770543866608</v>
      </c>
      <c r="AH113" s="536">
        <f t="shared" si="29"/>
        <v>0.61540298507462687</v>
      </c>
      <c r="AI113" s="536">
        <f t="shared" si="30"/>
        <v>0.59723550378162216</v>
      </c>
      <c r="AN113" s="513">
        <v>0.626</v>
      </c>
      <c r="AO113" s="513">
        <v>0.626</v>
      </c>
      <c r="AP113" s="513">
        <v>0.626</v>
      </c>
      <c r="AQ113" s="513">
        <v>0.626</v>
      </c>
      <c r="AR113" s="513">
        <v>0.626</v>
      </c>
      <c r="AS113" s="513">
        <v>0.626</v>
      </c>
      <c r="AT113" s="513">
        <v>0.626</v>
      </c>
      <c r="AU113" s="513">
        <v>0.626</v>
      </c>
      <c r="AV113" s="513">
        <v>0.626</v>
      </c>
      <c r="AW113" s="513">
        <v>0.626</v>
      </c>
      <c r="AX113" s="513">
        <v>0.626</v>
      </c>
      <c r="AY113" s="513">
        <v>0.626</v>
      </c>
    </row>
    <row r="114" spans="1:51">
      <c r="A114" s="548" t="s">
        <v>458</v>
      </c>
      <c r="F114" s="536">
        <f>1-F113</f>
        <v>0.40645840645840647</v>
      </c>
      <c r="G114" s="536">
        <f t="shared" ref="G114:AH114" si="34">1-G113</f>
        <v>0.42341090656477942</v>
      </c>
      <c r="H114" s="536">
        <f t="shared" si="34"/>
        <v>0.42279477545178024</v>
      </c>
      <c r="I114" s="536">
        <f t="shared" si="34"/>
        <v>0.39183438757906841</v>
      </c>
      <c r="J114" s="536">
        <f t="shared" si="34"/>
        <v>0.40108957403971424</v>
      </c>
      <c r="K114" s="536">
        <f t="shared" si="34"/>
        <v>0.61222692036645521</v>
      </c>
      <c r="L114" s="536">
        <f t="shared" si="34"/>
        <v>0.52499126179657463</v>
      </c>
      <c r="M114" s="536">
        <f t="shared" si="34"/>
        <v>0.52035100821508595</v>
      </c>
      <c r="N114" s="536">
        <f t="shared" si="34"/>
        <v>0.44059694531887605</v>
      </c>
      <c r="O114" s="536">
        <f t="shared" si="34"/>
        <v>0.32110294523954241</v>
      </c>
      <c r="P114" s="536">
        <f t="shared" si="34"/>
        <v>8.2274459974587044E-2</v>
      </c>
      <c r="Q114" s="536">
        <f t="shared" si="34"/>
        <v>0.10034880601019591</v>
      </c>
      <c r="R114" s="536">
        <f t="shared" si="34"/>
        <v>0.23369175627240146</v>
      </c>
      <c r="S114" s="536">
        <f t="shared" si="34"/>
        <v>0.21742219695893139</v>
      </c>
      <c r="T114" s="536">
        <f t="shared" si="34"/>
        <v>0.41115791960313397</v>
      </c>
      <c r="U114" s="536" t="e">
        <f t="shared" si="34"/>
        <v>#DIV/0!</v>
      </c>
      <c r="V114" s="536" t="e">
        <f t="shared" si="34"/>
        <v>#DIV/0!</v>
      </c>
      <c r="W114" s="536" t="e">
        <f t="shared" si="34"/>
        <v>#DIV/0!</v>
      </c>
      <c r="X114" s="536" t="e">
        <f t="shared" si="34"/>
        <v>#DIV/0!</v>
      </c>
      <c r="Y114" s="536">
        <f t="shared" si="34"/>
        <v>0.39695076427364528</v>
      </c>
      <c r="Z114" s="536" t="e">
        <f t="shared" si="34"/>
        <v>#DIV/0!</v>
      </c>
      <c r="AA114" s="536" t="e">
        <f t="shared" si="34"/>
        <v>#DIV/0!</v>
      </c>
      <c r="AB114" s="536" t="e">
        <f t="shared" si="34"/>
        <v>#DIV/0!</v>
      </c>
      <c r="AC114" s="536" t="e">
        <f t="shared" si="34"/>
        <v>#DIV/0!</v>
      </c>
      <c r="AD114" s="536">
        <f t="shared" si="34"/>
        <v>0.40400569848319789</v>
      </c>
      <c r="AE114" s="536">
        <f t="shared" si="34"/>
        <v>0.42238546298086221</v>
      </c>
      <c r="AF114" s="536">
        <f t="shared" si="34"/>
        <v>0.39848484848484844</v>
      </c>
      <c r="AG114" s="536">
        <f t="shared" si="34"/>
        <v>0.42338229456133392</v>
      </c>
      <c r="AH114" s="536">
        <f t="shared" si="34"/>
        <v>0.38459701492537313</v>
      </c>
      <c r="AI114" s="536">
        <f>1-AI113</f>
        <v>0.40276449621837784</v>
      </c>
      <c r="AJ114" s="536">
        <f t="shared" ref="AJ114:AX114" si="35">1-AJ113</f>
        <v>1</v>
      </c>
      <c r="AK114" s="536">
        <f t="shared" si="35"/>
        <v>1</v>
      </c>
      <c r="AL114" s="536">
        <f t="shared" si="35"/>
        <v>1</v>
      </c>
      <c r="AM114" s="536">
        <f t="shared" si="35"/>
        <v>1</v>
      </c>
      <c r="AN114" s="536">
        <f t="shared" si="35"/>
        <v>0.374</v>
      </c>
      <c r="AO114" s="536">
        <f t="shared" si="35"/>
        <v>0.374</v>
      </c>
      <c r="AP114" s="536">
        <f t="shared" si="35"/>
        <v>0.374</v>
      </c>
      <c r="AQ114" s="536">
        <f t="shared" si="35"/>
        <v>0.374</v>
      </c>
      <c r="AR114" s="536">
        <f t="shared" si="35"/>
        <v>0.374</v>
      </c>
      <c r="AS114" s="536">
        <f t="shared" si="35"/>
        <v>0.374</v>
      </c>
      <c r="AT114" s="536">
        <f t="shared" si="35"/>
        <v>0.374</v>
      </c>
      <c r="AU114" s="536">
        <f t="shared" si="35"/>
        <v>0.374</v>
      </c>
      <c r="AV114" s="536">
        <f t="shared" si="35"/>
        <v>0.374</v>
      </c>
      <c r="AW114" s="536">
        <f t="shared" si="35"/>
        <v>0.374</v>
      </c>
      <c r="AX114" s="536">
        <f t="shared" si="35"/>
        <v>0.374</v>
      </c>
      <c r="AY114" s="536">
        <f>1-AY113</f>
        <v>0.374</v>
      </c>
    </row>
    <row r="115" spans="1:51">
      <c r="A115" s="511"/>
      <c r="AX115" s="515"/>
      <c r="AY115" s="515"/>
    </row>
    <row r="116" spans="1:51">
      <c r="A116" s="531" t="s">
        <v>459</v>
      </c>
      <c r="AX116" s="515"/>
      <c r="AY116" s="515"/>
    </row>
    <row r="117" spans="1:51">
      <c r="A117" s="532" t="s">
        <v>460</v>
      </c>
      <c r="F117" s="614">
        <f t="shared" ref="F117:AM117" si="36">F10</f>
        <v>2072</v>
      </c>
      <c r="G117" s="614">
        <f t="shared" si="36"/>
        <v>2153</v>
      </c>
      <c r="H117" s="614">
        <f t="shared" si="36"/>
        <v>2246</v>
      </c>
      <c r="I117" s="614">
        <f t="shared" si="36"/>
        <v>2530</v>
      </c>
      <c r="J117" s="614">
        <f t="shared" si="36"/>
        <v>9001</v>
      </c>
      <c r="K117" s="614">
        <f t="shared" si="36"/>
        <v>2105</v>
      </c>
      <c r="L117" s="614">
        <f t="shared" si="36"/>
        <v>2169</v>
      </c>
      <c r="M117" s="614">
        <f t="shared" si="36"/>
        <v>2194</v>
      </c>
      <c r="N117" s="614">
        <f t="shared" si="36"/>
        <v>2501</v>
      </c>
      <c r="O117" s="614">
        <f t="shared" si="36"/>
        <v>8969</v>
      </c>
      <c r="P117" s="614">
        <f t="shared" si="36"/>
        <v>1589</v>
      </c>
      <c r="Q117" s="614">
        <f t="shared" si="36"/>
        <v>1386</v>
      </c>
      <c r="R117" s="614">
        <f t="shared" si="36"/>
        <v>1710</v>
      </c>
      <c r="S117" s="614">
        <f t="shared" si="36"/>
        <v>2027</v>
      </c>
      <c r="T117" s="614">
        <f t="shared" si="36"/>
        <v>6713</v>
      </c>
      <c r="U117" s="614">
        <f t="shared" si="36"/>
        <v>1733</v>
      </c>
      <c r="V117" s="614">
        <f t="shared" si="36"/>
        <v>1881</v>
      </c>
      <c r="W117" s="614">
        <f t="shared" si="36"/>
        <v>1956</v>
      </c>
      <c r="X117" s="614">
        <f t="shared" si="36"/>
        <v>2412</v>
      </c>
      <c r="Y117" s="614">
        <f t="shared" si="36"/>
        <v>7982</v>
      </c>
      <c r="Z117" s="614">
        <f t="shared" si="36"/>
        <v>1898</v>
      </c>
      <c r="AA117" s="614">
        <f t="shared" si="36"/>
        <v>2004</v>
      </c>
      <c r="AB117" s="614">
        <f t="shared" si="36"/>
        <v>2081</v>
      </c>
      <c r="AC117" s="614">
        <f t="shared" si="36"/>
        <v>2457</v>
      </c>
      <c r="AD117" s="614">
        <f t="shared" si="36"/>
        <v>8440</v>
      </c>
      <c r="AE117" s="614">
        <f t="shared" si="36"/>
        <v>1946</v>
      </c>
      <c r="AF117" s="614">
        <f t="shared" si="36"/>
        <v>1976</v>
      </c>
      <c r="AG117" s="614">
        <f t="shared" si="36"/>
        <v>2038</v>
      </c>
      <c r="AH117" s="614">
        <f t="shared" si="36"/>
        <v>2404</v>
      </c>
      <c r="AI117" s="614">
        <f t="shared" si="36"/>
        <v>8364</v>
      </c>
      <c r="AJ117" s="614">
        <f t="shared" si="36"/>
        <v>0</v>
      </c>
      <c r="AK117" s="614">
        <f t="shared" si="36"/>
        <v>0</v>
      </c>
      <c r="AL117" s="614">
        <f t="shared" si="36"/>
        <v>0</v>
      </c>
      <c r="AM117" s="614">
        <f t="shared" si="36"/>
        <v>0</v>
      </c>
      <c r="AN117" s="614" t="e" vm="1">
        <v>#VALUE!</v>
      </c>
      <c r="AO117" s="614" t="e" vm="1">
        <v>#VALUE!</v>
      </c>
      <c r="AP117" s="614" t="e" vm="1">
        <v>#VALUE!</v>
      </c>
      <c r="AQ117" s="614" t="e" vm="1">
        <v>#VALUE!</v>
      </c>
      <c r="AR117" s="614" t="e" vm="1">
        <v>#VALUE!</v>
      </c>
      <c r="AS117" s="614" t="e" vm="1">
        <v>#VALUE!</v>
      </c>
      <c r="AT117" s="614" t="e" vm="1">
        <v>#VALUE!</v>
      </c>
      <c r="AU117" s="614" t="e" vm="1">
        <v>#VALUE!</v>
      </c>
      <c r="AV117" s="614" t="e" vm="1">
        <v>#VALUE!</v>
      </c>
      <c r="AW117" s="614" t="e" vm="1">
        <v>#VALUE!</v>
      </c>
      <c r="AX117" s="614" t="e" vm="1">
        <v>#VALUE!</v>
      </c>
      <c r="AY117" s="614" t="e" vm="1">
        <v>#VALUE!</v>
      </c>
    </row>
    <row r="118" spans="1:51">
      <c r="A118" s="510" t="s">
        <v>908</v>
      </c>
      <c r="F118" s="617" t="e" vm="1">
        <v>#VALUE!</v>
      </c>
      <c r="G118" s="617" t="e" vm="1">
        <v>#VALUE!</v>
      </c>
      <c r="H118" s="617" t="e" vm="1">
        <v>#VALUE!</v>
      </c>
      <c r="I118" s="617" t="e" vm="1">
        <v>#VALUE!</v>
      </c>
      <c r="J118" s="617" t="e" vm="1">
        <v>#VALUE!</v>
      </c>
      <c r="K118" s="617" t="e" vm="1">
        <v>#VALUE!</v>
      </c>
      <c r="L118" s="617" t="e" vm="1">
        <v>#VALUE!</v>
      </c>
      <c r="M118" s="617" t="e" vm="1">
        <v>#VALUE!</v>
      </c>
      <c r="N118" s="617" t="e" vm="1">
        <v>#VALUE!</v>
      </c>
      <c r="O118" s="617" t="e" vm="1">
        <v>#VALUE!</v>
      </c>
      <c r="P118" s="617" t="e" vm="1">
        <v>#VALUE!</v>
      </c>
      <c r="Q118" s="617" t="e" vm="1">
        <v>#VALUE!</v>
      </c>
      <c r="R118" s="617" t="e" vm="1">
        <v>#VALUE!</v>
      </c>
      <c r="S118" s="617" t="e" vm="1">
        <v>#VALUE!</v>
      </c>
      <c r="T118" s="617" t="e" vm="1">
        <v>#VALUE!</v>
      </c>
      <c r="U118" s="617" t="e" vm="1">
        <v>#VALUE!</v>
      </c>
      <c r="V118" s="617" t="e" vm="1">
        <v>#VALUE!</v>
      </c>
      <c r="W118" s="617" t="e" vm="1">
        <v>#VALUE!</v>
      </c>
      <c r="X118" s="617" t="e" vm="1">
        <v>#VALUE!</v>
      </c>
      <c r="Y118" s="617" t="e" vm="1">
        <v>#VALUE!</v>
      </c>
      <c r="Z118" s="617" t="e" vm="1">
        <v>#VALUE!</v>
      </c>
      <c r="AA118" s="617" t="e" vm="1">
        <v>#VALUE!</v>
      </c>
      <c r="AB118" s="617" t="e" vm="1">
        <v>#VALUE!</v>
      </c>
      <c r="AC118" s="617" t="e" vm="1">
        <v>#VALUE!</v>
      </c>
      <c r="AD118" s="617" t="e" vm="1">
        <v>#VALUE!</v>
      </c>
      <c r="AE118" s="617" t="e" vm="1">
        <v>#VALUE!</v>
      </c>
      <c r="AF118" s="617" t="e" vm="1">
        <v>#VALUE!</v>
      </c>
      <c r="AG118" s="617" t="e" vm="1">
        <v>#VALUE!</v>
      </c>
      <c r="AH118" s="617" t="e" vm="1">
        <v>#VALUE!</v>
      </c>
      <c r="AI118" s="617" t="e" vm="1">
        <v>#VALUE!</v>
      </c>
      <c r="AN118" s="536">
        <v>0.39500000000000002</v>
      </c>
      <c r="AO118" s="536">
        <v>0.39500000000000002</v>
      </c>
      <c r="AP118" s="536">
        <v>0.39500000000000002</v>
      </c>
      <c r="AQ118" s="536">
        <v>0.39500000000000002</v>
      </c>
      <c r="AR118" s="536">
        <v>0.39500000000000002</v>
      </c>
      <c r="AS118" s="536">
        <v>0.39500000000000002</v>
      </c>
      <c r="AT118" s="536">
        <v>0.39500000000000002</v>
      </c>
      <c r="AU118" s="536">
        <v>0.39500000000000002</v>
      </c>
      <c r="AV118" s="536">
        <v>0.39500000000000002</v>
      </c>
      <c r="AW118" s="536">
        <v>0.39500000000000002</v>
      </c>
      <c r="AX118" s="536">
        <v>0.39500000000000002</v>
      </c>
      <c r="AY118" s="536">
        <v>0.39500000000000002</v>
      </c>
    </row>
    <row r="119" spans="1:51">
      <c r="A119" s="517" t="s">
        <v>461</v>
      </c>
      <c r="F119" s="614" t="str">
        <f t="shared" ref="F119:AY119" si="37">F12</f>
        <v>-</v>
      </c>
      <c r="G119" s="614" t="str">
        <f t="shared" si="37"/>
        <v>-</v>
      </c>
      <c r="H119" s="614" t="str">
        <f t="shared" si="37"/>
        <v>-</v>
      </c>
      <c r="I119" s="614">
        <f t="shared" si="37"/>
        <v>-8</v>
      </c>
      <c r="J119" s="614">
        <f t="shared" si="37"/>
        <v>-8</v>
      </c>
      <c r="K119" s="614">
        <f t="shared" si="37"/>
        <v>1</v>
      </c>
      <c r="L119" s="614">
        <f t="shared" si="37"/>
        <v>1</v>
      </c>
      <c r="M119" s="614">
        <f t="shared" si="37"/>
        <v>8</v>
      </c>
      <c r="N119" s="614">
        <f t="shared" si="37"/>
        <v>-10</v>
      </c>
      <c r="O119" s="614">
        <f t="shared" si="37"/>
        <v>0</v>
      </c>
      <c r="P119" s="614">
        <f t="shared" si="37"/>
        <v>9</v>
      </c>
      <c r="Q119" s="614">
        <f t="shared" si="37"/>
        <v>58</v>
      </c>
      <c r="R119" s="614">
        <f t="shared" si="37"/>
        <v>12</v>
      </c>
      <c r="S119" s="614">
        <f t="shared" si="37"/>
        <v>-79</v>
      </c>
      <c r="T119" s="614" t="str">
        <f t="shared" si="37"/>
        <v>-</v>
      </c>
      <c r="U119" s="614" t="str">
        <f t="shared" si="37"/>
        <v>-</v>
      </c>
      <c r="V119" s="614" t="str">
        <f t="shared" si="37"/>
        <v>-</v>
      </c>
      <c r="W119" s="614" t="str">
        <f t="shared" si="37"/>
        <v>-</v>
      </c>
      <c r="X119" s="614">
        <f t="shared" si="37"/>
        <v>21</v>
      </c>
      <c r="Y119" s="614">
        <f t="shared" si="37"/>
        <v>21</v>
      </c>
      <c r="Z119" s="614" t="str">
        <f t="shared" si="37"/>
        <v>-</v>
      </c>
      <c r="AA119" s="614" t="str">
        <f t="shared" si="37"/>
        <v>-</v>
      </c>
      <c r="AB119" s="614" t="str">
        <f t="shared" si="37"/>
        <v>-</v>
      </c>
      <c r="AC119" s="614">
        <f t="shared" si="37"/>
        <v>21</v>
      </c>
      <c r="AD119" s="614">
        <f t="shared" si="37"/>
        <v>21</v>
      </c>
      <c r="AE119" s="614" t="str">
        <f t="shared" si="37"/>
        <v>-</v>
      </c>
      <c r="AF119" s="614" t="str">
        <f t="shared" si="37"/>
        <v>-</v>
      </c>
      <c r="AG119" s="614" t="str">
        <f t="shared" si="37"/>
        <v>-</v>
      </c>
      <c r="AH119" s="614">
        <f t="shared" si="37"/>
        <v>15</v>
      </c>
      <c r="AI119" s="614">
        <f t="shared" si="37"/>
        <v>15</v>
      </c>
      <c r="AJ119" s="614">
        <f t="shared" si="37"/>
        <v>0</v>
      </c>
      <c r="AK119" s="614">
        <f t="shared" si="37"/>
        <v>0</v>
      </c>
      <c r="AL119" s="614">
        <f t="shared" si="37"/>
        <v>0</v>
      </c>
      <c r="AM119" s="614">
        <f t="shared" si="37"/>
        <v>0</v>
      </c>
      <c r="AN119" s="614">
        <f t="shared" si="37"/>
        <v>15</v>
      </c>
      <c r="AO119" s="614">
        <f t="shared" si="37"/>
        <v>0</v>
      </c>
      <c r="AP119" s="614">
        <f t="shared" si="37"/>
        <v>0</v>
      </c>
      <c r="AQ119" s="614">
        <f t="shared" si="37"/>
        <v>0</v>
      </c>
      <c r="AR119" s="614">
        <f t="shared" si="37"/>
        <v>0</v>
      </c>
      <c r="AS119" s="614">
        <f t="shared" si="37"/>
        <v>15</v>
      </c>
      <c r="AT119" s="614">
        <f t="shared" si="37"/>
        <v>0</v>
      </c>
      <c r="AU119" s="614">
        <f t="shared" si="37"/>
        <v>0</v>
      </c>
      <c r="AV119" s="614">
        <f t="shared" si="37"/>
        <v>0</v>
      </c>
      <c r="AW119" s="614">
        <f t="shared" si="37"/>
        <v>0</v>
      </c>
      <c r="AX119" s="614">
        <f t="shared" si="37"/>
        <v>15</v>
      </c>
      <c r="AY119" s="614">
        <f t="shared" si="37"/>
        <v>15</v>
      </c>
    </row>
    <row r="120" spans="1:51" ht="12.4" thickBot="1">
      <c r="A120" s="521" t="s">
        <v>462</v>
      </c>
      <c r="F120" s="604"/>
      <c r="G120" s="604"/>
      <c r="H120" s="604"/>
      <c r="I120" s="604"/>
      <c r="J120" s="618">
        <f>J13</f>
        <v>1142</v>
      </c>
      <c r="K120" s="604"/>
      <c r="L120" s="604"/>
      <c r="M120" s="604"/>
      <c r="N120" s="604"/>
      <c r="O120" s="618">
        <f>O13</f>
        <v>818</v>
      </c>
      <c r="P120" s="604"/>
      <c r="Q120" s="604"/>
      <c r="R120" s="604"/>
      <c r="S120" s="604"/>
      <c r="T120" s="618">
        <f>T13</f>
        <v>1177</v>
      </c>
      <c r="U120" s="604"/>
      <c r="V120" s="604"/>
      <c r="W120" s="604"/>
      <c r="X120" s="604"/>
      <c r="Y120" s="618">
        <f>Y13</f>
        <v>1163</v>
      </c>
      <c r="Z120" s="604"/>
      <c r="AA120" s="604"/>
      <c r="AB120" s="604"/>
      <c r="AC120" s="604"/>
      <c r="AD120" s="618">
        <f>AD13</f>
        <v>1107</v>
      </c>
      <c r="AE120" s="604"/>
      <c r="AF120" s="604"/>
      <c r="AG120" s="604"/>
      <c r="AH120" s="604"/>
      <c r="AI120" s="618">
        <f>AI13</f>
        <v>1102</v>
      </c>
      <c r="AN120" s="518">
        <v>1100</v>
      </c>
      <c r="AO120" s="520"/>
      <c r="AP120" s="520"/>
      <c r="AQ120" s="520"/>
      <c r="AR120" s="520"/>
      <c r="AS120" s="518">
        <v>1100</v>
      </c>
      <c r="AT120" s="520"/>
      <c r="AU120" s="520"/>
      <c r="AV120" s="520"/>
      <c r="AW120" s="520"/>
      <c r="AX120" s="520">
        <v>1100</v>
      </c>
      <c r="AY120" s="520">
        <v>1100</v>
      </c>
    </row>
    <row r="121" spans="1:51" s="568" customFormat="1" ht="12.4" thickBot="1">
      <c r="A121" s="619" t="s">
        <v>924</v>
      </c>
      <c r="J121" s="620">
        <f>SUM(J120,J119,J117)</f>
        <v>10135</v>
      </c>
      <c r="O121" s="620">
        <f>SUM(O120,O119,O117)</f>
        <v>9787</v>
      </c>
      <c r="T121" s="620">
        <f>SUM(T120,T119,T117)</f>
        <v>7890</v>
      </c>
      <c r="Y121" s="620">
        <f>SUM(Y120,Y119,Y117)</f>
        <v>9166</v>
      </c>
      <c r="AD121" s="620">
        <f>SUM(AD120,AD119,AD117)</f>
        <v>9568</v>
      </c>
      <c r="AI121" s="620">
        <f t="shared" ref="AI121:AY121" si="38">SUM(AI120,AI119,AI117)</f>
        <v>9481</v>
      </c>
      <c r="AJ121" s="620">
        <f t="shared" si="38"/>
        <v>0</v>
      </c>
      <c r="AK121" s="620">
        <f t="shared" si="38"/>
        <v>0</v>
      </c>
      <c r="AL121" s="620">
        <f t="shared" si="38"/>
        <v>0</v>
      </c>
      <c r="AM121" s="620">
        <f t="shared" si="38"/>
        <v>0</v>
      </c>
      <c r="AN121" s="620" t="e" vm="2">
        <f t="shared" si="38"/>
        <v>#VALUE!</v>
      </c>
      <c r="AO121" s="620" t="e" vm="2">
        <f t="shared" si="38"/>
        <v>#VALUE!</v>
      </c>
      <c r="AP121" s="620" t="e" vm="2">
        <f t="shared" si="38"/>
        <v>#VALUE!</v>
      </c>
      <c r="AQ121" s="620" t="e" vm="2">
        <f t="shared" si="38"/>
        <v>#VALUE!</v>
      </c>
      <c r="AR121" s="620" t="e" vm="2">
        <f t="shared" si="38"/>
        <v>#VALUE!</v>
      </c>
      <c r="AS121" s="620" t="e" vm="2">
        <f t="shared" si="38"/>
        <v>#VALUE!</v>
      </c>
      <c r="AT121" s="620" t="e" vm="2">
        <f t="shared" si="38"/>
        <v>#VALUE!</v>
      </c>
      <c r="AU121" s="620" t="e" vm="2">
        <f t="shared" si="38"/>
        <v>#VALUE!</v>
      </c>
      <c r="AV121" s="620" t="e" vm="2">
        <f t="shared" si="38"/>
        <v>#VALUE!</v>
      </c>
      <c r="AW121" s="620" t="e" vm="2">
        <f t="shared" si="38"/>
        <v>#VALUE!</v>
      </c>
      <c r="AX121" s="620" t="e" vm="2">
        <f t="shared" si="38"/>
        <v>#VALUE!</v>
      </c>
      <c r="AY121" s="620" t="e" vm="2">
        <f t="shared" si="38"/>
        <v>#VALUE!</v>
      </c>
    </row>
    <row r="122" spans="1:51">
      <c r="AX122" s="515"/>
      <c r="AY122" s="515"/>
    </row>
    <row r="123" spans="1:51">
      <c r="AX123" s="515"/>
      <c r="AY123" s="515"/>
    </row>
    <row r="124" spans="1:51">
      <c r="AX124" s="515"/>
      <c r="AY124" s="515"/>
    </row>
    <row r="125" spans="1:51">
      <c r="AX125" s="515"/>
      <c r="AY125" s="515"/>
    </row>
    <row r="126" spans="1:51">
      <c r="AX126" s="515"/>
      <c r="AY126" s="515"/>
    </row>
    <row r="127" spans="1:51">
      <c r="AX127" s="515"/>
      <c r="AY127" s="515"/>
    </row>
    <row r="128" spans="1:51">
      <c r="AX128" s="515"/>
      <c r="AY128" s="515"/>
    </row>
    <row r="129" s="515" customFormat="1"/>
    <row r="130" s="515" customFormat="1"/>
    <row r="131" s="515" customFormat="1"/>
    <row r="132" s="515" customFormat="1"/>
    <row r="133" s="515" customFormat="1"/>
    <row r="134" s="515" customFormat="1"/>
    <row r="135" s="515" customFormat="1"/>
    <row r="136" s="515" customFormat="1"/>
    <row r="137" s="515" customFormat="1"/>
    <row r="138" s="515" customFormat="1"/>
    <row r="139" s="515" customFormat="1"/>
    <row r="140" s="515" customFormat="1"/>
    <row r="141" s="515" customFormat="1"/>
    <row r="142" s="515" customFormat="1"/>
    <row r="143" s="515" customFormat="1"/>
    <row r="144" s="515" customFormat="1"/>
    <row r="145" spans="50:51">
      <c r="AX145" s="515"/>
      <c r="AY145" s="515"/>
    </row>
    <row r="146" spans="50:51">
      <c r="AX146" s="515"/>
      <c r="AY146" s="515"/>
    </row>
    <row r="147" spans="50:51">
      <c r="AX147" s="515"/>
      <c r="AY147" s="515"/>
    </row>
    <row r="148" spans="50:51">
      <c r="AX148" s="515"/>
      <c r="AY148" s="515"/>
    </row>
    <row r="149" spans="50:51">
      <c r="AX149" s="515"/>
      <c r="AY149" s="515"/>
    </row>
    <row r="150" spans="50:51">
      <c r="AX150" s="515"/>
    </row>
    <row r="151" spans="50:51">
      <c r="AX151" s="515"/>
    </row>
    <row r="152" spans="50:51">
      <c r="AX152" s="515"/>
    </row>
    <row r="153" spans="50:51">
      <c r="AX153" s="515"/>
    </row>
    <row r="154" spans="50:51">
      <c r="AX154" s="515"/>
    </row>
    <row r="155" spans="50:51">
      <c r="AX155" s="515"/>
    </row>
    <row r="156" spans="50:51">
      <c r="AX156" s="515"/>
    </row>
    <row r="157" spans="50:51">
      <c r="AX157" s="515"/>
    </row>
  </sheetData>
  <mergeCells count="1">
    <mergeCell ref="BK22:BP2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66B37-4FFE-8E4E-9C24-7057FAA7D1DE}">
  <sheetPr codeName="Sheet11">
    <tabColor theme="8" tint="0.59999389629810485"/>
  </sheetPr>
  <dimension ref="B1:K49"/>
  <sheetViews>
    <sheetView zoomScale="109" zoomScaleNormal="95" workbookViewId="0">
      <selection activeCell="L38" sqref="L38"/>
    </sheetView>
  </sheetViews>
  <sheetFormatPr defaultColWidth="8.8125" defaultRowHeight="15.75"/>
  <cols>
    <col min="2" max="2" width="38.8125" customWidth="1"/>
    <col min="4" max="5" width="9.6875" bestFit="1" customWidth="1"/>
    <col min="6" max="6" width="10.6875" bestFit="1" customWidth="1"/>
    <col min="7" max="9" width="9.6875" bestFit="1" customWidth="1"/>
  </cols>
  <sheetData>
    <row r="1" spans="2:10">
      <c r="B1" t="s">
        <v>539</v>
      </c>
    </row>
    <row r="2" spans="2:10">
      <c r="C2" s="476" t="s">
        <v>540</v>
      </c>
      <c r="D2" s="476" t="s">
        <v>541</v>
      </c>
      <c r="J2" t="s">
        <v>542</v>
      </c>
    </row>
    <row r="3" spans="2:10">
      <c r="B3" t="s">
        <v>543</v>
      </c>
      <c r="C3" s="419">
        <v>-1.2999999999999999E-2</v>
      </c>
      <c r="D3" s="477">
        <v>0.81787350421605376</v>
      </c>
      <c r="E3" s="477">
        <f t="shared" ref="E3:E5" si="0">C3*D3</f>
        <v>-1.0632355554808699E-2</v>
      </c>
    </row>
    <row r="4" spans="2:10">
      <c r="B4" t="s">
        <v>544</v>
      </c>
      <c r="C4" s="419">
        <v>2.5000000000000001E-2</v>
      </c>
      <c r="D4" s="477">
        <v>0.17684824671005567</v>
      </c>
      <c r="E4" s="477">
        <f t="shared" si="0"/>
        <v>4.4212061677513922E-3</v>
      </c>
    </row>
    <row r="5" spans="2:10">
      <c r="B5" t="s">
        <v>545</v>
      </c>
      <c r="C5" s="419">
        <v>0.04</v>
      </c>
      <c r="D5" s="419">
        <v>5.2786477197302407E-3</v>
      </c>
      <c r="E5" s="419">
        <f t="shared" si="0"/>
        <v>2.1114590878920964E-4</v>
      </c>
      <c r="G5" s="476" t="s">
        <v>546</v>
      </c>
    </row>
    <row r="6" spans="2:10">
      <c r="C6" s="696"/>
      <c r="D6" s="697">
        <f>SUM(D3:D5)</f>
        <v>1.0000003986458397</v>
      </c>
      <c r="E6" s="697">
        <f>SUM(E3:E5)</f>
        <v>-6.0000034782680964E-3</v>
      </c>
      <c r="G6" s="419">
        <v>-6.0000000000000001E-3</v>
      </c>
      <c r="H6" t="b">
        <f>ROUND(E6,5)=G6</f>
        <v>1</v>
      </c>
    </row>
    <row r="8" spans="2:10">
      <c r="C8" s="786" t="s">
        <v>547</v>
      </c>
      <c r="D8" s="786"/>
      <c r="E8" s="786"/>
      <c r="F8" s="786"/>
      <c r="G8" s="786"/>
      <c r="H8" s="786"/>
    </row>
    <row r="9" spans="2:10">
      <c r="C9" s="476">
        <v>2024</v>
      </c>
      <c r="D9" s="478">
        <v>2025</v>
      </c>
      <c r="E9" s="478">
        <v>2026</v>
      </c>
      <c r="F9" s="478">
        <v>2027</v>
      </c>
      <c r="G9" s="478">
        <v>2028</v>
      </c>
      <c r="H9" s="478">
        <v>2029</v>
      </c>
    </row>
    <row r="10" spans="2:10">
      <c r="B10" t="s">
        <v>548</v>
      </c>
      <c r="C10" s="696">
        <f>Stores!D11</f>
        <v>450</v>
      </c>
      <c r="D10" s="696">
        <f>Stores!J11</f>
        <v>400</v>
      </c>
      <c r="E10" s="696">
        <f>Stores!K11</f>
        <v>350</v>
      </c>
      <c r="F10" s="696">
        <f>$E10</f>
        <v>350</v>
      </c>
      <c r="G10" s="696">
        <f t="shared" ref="G10:H12" si="1">$E10</f>
        <v>350</v>
      </c>
      <c r="H10" s="696">
        <f t="shared" si="1"/>
        <v>350</v>
      </c>
    </row>
    <row r="11" spans="2:10">
      <c r="B11" t="s">
        <v>549</v>
      </c>
      <c r="C11" s="479">
        <f>Stores!D18</f>
        <v>59</v>
      </c>
      <c r="D11" s="479">
        <f>Stores!J18</f>
        <v>67</v>
      </c>
      <c r="E11" s="479">
        <f>Stores!K18</f>
        <v>74</v>
      </c>
      <c r="F11" s="479">
        <f>$E11</f>
        <v>74</v>
      </c>
      <c r="G11" s="479">
        <f t="shared" si="1"/>
        <v>74</v>
      </c>
      <c r="H11" s="479">
        <f t="shared" si="1"/>
        <v>74</v>
      </c>
    </row>
    <row r="12" spans="2:10">
      <c r="B12" t="s">
        <v>550</v>
      </c>
      <c r="C12" s="479">
        <f>Stores!D20</f>
        <v>171</v>
      </c>
      <c r="D12" s="479">
        <f>Stores!J20</f>
        <v>187</v>
      </c>
      <c r="E12" s="479">
        <f>Stores!K20</f>
        <v>205</v>
      </c>
      <c r="F12" s="479">
        <f>$E12</f>
        <v>205</v>
      </c>
      <c r="G12" s="479">
        <f t="shared" si="1"/>
        <v>205</v>
      </c>
      <c r="H12" s="479">
        <f t="shared" si="1"/>
        <v>205</v>
      </c>
    </row>
    <row r="13" spans="2:10">
      <c r="C13" s="696">
        <f>SUM(C10:C12)</f>
        <v>680</v>
      </c>
      <c r="D13" s="696">
        <f t="shared" ref="D13:H13" si="2">SUM(D10:D12)</f>
        <v>654</v>
      </c>
      <c r="E13" s="696">
        <f t="shared" si="2"/>
        <v>629</v>
      </c>
      <c r="F13" s="696">
        <f t="shared" si="2"/>
        <v>629</v>
      </c>
      <c r="G13" s="696">
        <f t="shared" si="2"/>
        <v>629</v>
      </c>
      <c r="H13" s="696">
        <f t="shared" si="2"/>
        <v>629</v>
      </c>
    </row>
    <row r="16" spans="2:10" s="491" customFormat="1">
      <c r="B16" s="491" t="s">
        <v>463</v>
      </c>
    </row>
    <row r="17" spans="2:11" s="476" customFormat="1"/>
    <row r="18" spans="2:11">
      <c r="C18" s="492" t="s">
        <v>551</v>
      </c>
      <c r="D18" s="476">
        <v>2024</v>
      </c>
      <c r="E18" s="478">
        <v>2025</v>
      </c>
      <c r="F18" s="478">
        <v>2026</v>
      </c>
      <c r="G18" s="478">
        <v>2027</v>
      </c>
      <c r="H18" s="478">
        <v>2028</v>
      </c>
      <c r="I18" s="478">
        <v>2029</v>
      </c>
    </row>
    <row r="19" spans="2:11">
      <c r="B19" s="488" t="s">
        <v>488</v>
      </c>
      <c r="E19" s="419"/>
      <c r="F19" s="419"/>
      <c r="G19" s="419"/>
      <c r="H19" s="419"/>
      <c r="I19" s="419"/>
    </row>
    <row r="20" spans="2:11">
      <c r="B20" s="490" t="s">
        <v>552</v>
      </c>
      <c r="C20" s="494">
        <f>C3</f>
        <v>-1.2999999999999999E-2</v>
      </c>
      <c r="D20" s="493">
        <f>D3*$D$23</f>
        <v>18232.854029488488</v>
      </c>
      <c r="E20" s="493">
        <f>D20*(1+$C20)*D10/C10</f>
        <v>15996.290601871231</v>
      </c>
      <c r="F20" s="493">
        <f t="shared" ref="F20:I22" si="3">E20*(1+$C20)*E10/D10</f>
        <v>13814.796471041043</v>
      </c>
      <c r="G20" s="493">
        <f t="shared" si="3"/>
        <v>13635.20411691751</v>
      </c>
      <c r="H20" s="493">
        <f t="shared" si="3"/>
        <v>13457.946463397582</v>
      </c>
      <c r="I20" s="493">
        <f t="shared" si="3"/>
        <v>13282.993159373413</v>
      </c>
    </row>
    <row r="21" spans="2:11">
      <c r="B21" s="490" t="s">
        <v>553</v>
      </c>
      <c r="C21" s="494">
        <f t="shared" ref="C21:C22" si="4">C4</f>
        <v>2.5000000000000001E-2</v>
      </c>
      <c r="D21" s="493">
        <f t="shared" ref="D21:D22" si="5">D4*$D$23</f>
        <v>3942.4779639072708</v>
      </c>
      <c r="E21" s="493">
        <f t="shared" ref="E21:E22" si="6">D21*(1+$C21)*D11/C11</f>
        <v>4588.9775283276576</v>
      </c>
      <c r="F21" s="493">
        <f t="shared" si="3"/>
        <v>5195.1335152783995</v>
      </c>
      <c r="G21" s="493">
        <f t="shared" si="3"/>
        <v>5325.0118531603594</v>
      </c>
      <c r="H21" s="493">
        <f t="shared" si="3"/>
        <v>5458.1371494893683</v>
      </c>
      <c r="I21" s="493">
        <f t="shared" si="3"/>
        <v>5594.5905782266018</v>
      </c>
    </row>
    <row r="22" spans="2:11">
      <c r="B22" s="490" t="s">
        <v>554</v>
      </c>
      <c r="C22" s="494">
        <f t="shared" si="4"/>
        <v>0.04</v>
      </c>
      <c r="D22" s="493">
        <f t="shared" si="5"/>
        <v>117.67689361594626</v>
      </c>
      <c r="E22" s="493">
        <f t="shared" si="6"/>
        <v>133.83510099666213</v>
      </c>
      <c r="F22" s="493">
        <f t="shared" si="3"/>
        <v>152.58632905073995</v>
      </c>
      <c r="G22" s="493">
        <f t="shared" si="3"/>
        <v>158.68978221276956</v>
      </c>
      <c r="H22" s="493">
        <f t="shared" si="3"/>
        <v>165.03737350128034</v>
      </c>
      <c r="I22" s="493">
        <f t="shared" si="3"/>
        <v>171.63886844133157</v>
      </c>
    </row>
    <row r="23" spans="2:11">
      <c r="B23" s="488" t="s">
        <v>504</v>
      </c>
      <c r="C23" s="492"/>
      <c r="D23" s="489">
        <v>22293</v>
      </c>
      <c r="E23" s="489">
        <f>SUM(E20:E22)</f>
        <v>20719.10323119555</v>
      </c>
      <c r="F23" s="489">
        <f t="shared" ref="F23:I23" si="7">SUM(F20:F22)</f>
        <v>19162.516315370183</v>
      </c>
      <c r="G23" s="489">
        <f t="shared" si="7"/>
        <v>19118.905752290637</v>
      </c>
      <c r="H23" s="489">
        <f t="shared" si="7"/>
        <v>19081.120986388229</v>
      </c>
      <c r="I23" s="489">
        <f t="shared" si="7"/>
        <v>19049.222606041345</v>
      </c>
    </row>
    <row r="24" spans="2:11">
      <c r="B24" s="488" t="s">
        <v>260</v>
      </c>
      <c r="C24" s="492"/>
      <c r="D24" s="489">
        <v>713</v>
      </c>
      <c r="E24" s="489">
        <f>D24*(1+E25)</f>
        <v>653.48216846121613</v>
      </c>
      <c r="F24" s="489">
        <f t="shared" ref="F24:I24" si="8">E24*(1+F25)</f>
        <v>612.00224434646589</v>
      </c>
      <c r="G24" s="489">
        <f t="shared" si="8"/>
        <v>585.39531240872475</v>
      </c>
      <c r="H24" s="489">
        <f t="shared" si="8"/>
        <v>571.65302892668967</v>
      </c>
      <c r="I24" s="489">
        <f t="shared" si="8"/>
        <v>569.66640914504046</v>
      </c>
    </row>
    <row r="25" spans="2:11">
      <c r="B25" s="490" t="s">
        <v>555</v>
      </c>
      <c r="C25" s="494">
        <v>-8.3475219549486529E-2</v>
      </c>
      <c r="E25" s="419">
        <f>C25</f>
        <v>-8.3475219549486529E-2</v>
      </c>
      <c r="F25" s="419">
        <f>E25+2%</f>
        <v>-6.3475219549486525E-2</v>
      </c>
      <c r="G25" s="419">
        <f t="shared" ref="G25:I25" si="9">F25+2%</f>
        <v>-4.3475219549486521E-2</v>
      </c>
      <c r="H25" s="419">
        <f t="shared" si="9"/>
        <v>-2.3475219549486521E-2</v>
      </c>
      <c r="I25" s="419">
        <f t="shared" si="9"/>
        <v>-3.4752195494865204E-3</v>
      </c>
      <c r="K25" s="495"/>
    </row>
    <row r="26" spans="2:11" s="8" customFormat="1">
      <c r="B26" s="698" t="s">
        <v>480</v>
      </c>
      <c r="C26" s="698"/>
      <c r="D26" s="699">
        <f>D23+D24</f>
        <v>23006</v>
      </c>
      <c r="E26" s="699">
        <f t="shared" ref="E26:I26" si="10">E23+E24</f>
        <v>21372.585399656768</v>
      </c>
      <c r="F26" s="699">
        <f t="shared" si="10"/>
        <v>19774.518559716649</v>
      </c>
      <c r="G26" s="699">
        <f t="shared" si="10"/>
        <v>19704.301064699361</v>
      </c>
      <c r="H26" s="699">
        <f t="shared" si="10"/>
        <v>19652.774015314917</v>
      </c>
      <c r="I26" s="699">
        <f t="shared" si="10"/>
        <v>19618.889015186385</v>
      </c>
    </row>
    <row r="27" spans="2:11">
      <c r="B27" t="s">
        <v>484</v>
      </c>
      <c r="E27" s="419">
        <f>E26/D26-1</f>
        <v>-7.09995044920122E-2</v>
      </c>
      <c r="F27" s="419">
        <f t="shared" ref="F27:I27" si="11">F26/E26-1</f>
        <v>-7.4771807437287507E-2</v>
      </c>
      <c r="G27" s="419">
        <f t="shared" si="11"/>
        <v>-3.550907942726389E-3</v>
      </c>
      <c r="H27" s="419">
        <f t="shared" si="11"/>
        <v>-2.6150153316909508E-3</v>
      </c>
      <c r="I27" s="419">
        <f t="shared" si="11"/>
        <v>-1.7241840822128651E-3</v>
      </c>
    </row>
    <row r="29" spans="2:11">
      <c r="C29" s="492" t="s">
        <v>556</v>
      </c>
      <c r="D29" s="476">
        <v>2024</v>
      </c>
      <c r="E29" s="478">
        <v>2025</v>
      </c>
      <c r="F29" s="478">
        <v>2026</v>
      </c>
      <c r="G29" s="478">
        <v>2027</v>
      </c>
      <c r="H29" s="478">
        <v>2028</v>
      </c>
      <c r="I29" s="478">
        <v>2029</v>
      </c>
    </row>
    <row r="30" spans="2:11">
      <c r="B30" s="488" t="s">
        <v>488</v>
      </c>
      <c r="E30" s="419"/>
      <c r="F30" s="419"/>
      <c r="G30" s="419"/>
      <c r="H30" s="419"/>
      <c r="I30" s="419"/>
    </row>
    <row r="31" spans="2:11">
      <c r="B31" s="490" t="s">
        <v>552</v>
      </c>
      <c r="C31" s="494">
        <v>0.01</v>
      </c>
      <c r="D31" s="493">
        <f>D20</f>
        <v>18232.854029488488</v>
      </c>
      <c r="E31" s="493">
        <f>D31*(1+$C31)*D10/C10</f>
        <v>16369.051173140777</v>
      </c>
      <c r="F31" s="493">
        <f t="shared" ref="F31:I33" si="12">E31*(1+$C31)*E10/D10</f>
        <v>14466.14897426316</v>
      </c>
      <c r="G31" s="493">
        <f t="shared" si="12"/>
        <v>14610.810464005792</v>
      </c>
      <c r="H31" s="493">
        <f t="shared" si="12"/>
        <v>14756.91856864585</v>
      </c>
      <c r="I31" s="493">
        <f t="shared" si="12"/>
        <v>14904.487754332305</v>
      </c>
    </row>
    <row r="32" spans="2:11">
      <c r="B32" s="490" t="s">
        <v>553</v>
      </c>
      <c r="C32" s="494">
        <f>C21+1%</f>
        <v>3.5000000000000003E-2</v>
      </c>
      <c r="D32" s="493">
        <f t="shared" ref="D32:D33" si="13">D21</f>
        <v>3942.4779639072708</v>
      </c>
      <c r="E32" s="493">
        <f t="shared" ref="E32:E33" si="14">D32*(1+$C32)*D11/C11</f>
        <v>4633.748040799147</v>
      </c>
      <c r="F32" s="493">
        <f t="shared" si="12"/>
        <v>5296.9964544000986</v>
      </c>
      <c r="G32" s="493">
        <f t="shared" si="12"/>
        <v>5482.3913303041018</v>
      </c>
      <c r="H32" s="493">
        <f t="shared" si="12"/>
        <v>5674.2750268647451</v>
      </c>
      <c r="I32" s="493">
        <f t="shared" si="12"/>
        <v>5872.8746528050106</v>
      </c>
    </row>
    <row r="33" spans="2:9">
      <c r="B33" s="490" t="s">
        <v>554</v>
      </c>
      <c r="C33" s="494">
        <f>C22+1%</f>
        <v>0.05</v>
      </c>
      <c r="D33" s="493">
        <f t="shared" si="13"/>
        <v>117.67689361594626</v>
      </c>
      <c r="E33" s="493">
        <f t="shared" si="14"/>
        <v>135.12197696778392</v>
      </c>
      <c r="F33" s="493">
        <f t="shared" si="12"/>
        <v>155.53478899633953</v>
      </c>
      <c r="G33" s="493">
        <f t="shared" si="12"/>
        <v>163.3115284461565</v>
      </c>
      <c r="H33" s="493">
        <f t="shared" si="12"/>
        <v>171.47710486846432</v>
      </c>
      <c r="I33" s="493">
        <f t="shared" si="12"/>
        <v>180.05096011188755</v>
      </c>
    </row>
    <row r="34" spans="2:9">
      <c r="B34" s="488" t="s">
        <v>504</v>
      </c>
      <c r="C34" s="494"/>
      <c r="D34" s="489">
        <v>22293</v>
      </c>
      <c r="E34" s="489">
        <f>SUM(E31:E33)</f>
        <v>21137.921190907709</v>
      </c>
      <c r="F34" s="489">
        <f t="shared" ref="F34:I34" si="15">SUM(F31:F33)</f>
        <v>19918.680217659596</v>
      </c>
      <c r="G34" s="489">
        <f t="shared" si="15"/>
        <v>20256.513322756051</v>
      </c>
      <c r="H34" s="489">
        <f t="shared" si="15"/>
        <v>20602.670700379058</v>
      </c>
      <c r="I34" s="489">
        <f t="shared" si="15"/>
        <v>20957.413367249203</v>
      </c>
    </row>
    <row r="35" spans="2:9">
      <c r="B35" s="488" t="s">
        <v>260</v>
      </c>
      <c r="C35" s="494"/>
      <c r="D35" s="489">
        <v>713</v>
      </c>
      <c r="E35" s="489">
        <f>D35*(1+E36)</f>
        <v>682.00216846121612</v>
      </c>
      <c r="F35" s="489">
        <f t="shared" ref="F35" si="16">E35*(1+F36)</f>
        <v>679.63206119258757</v>
      </c>
      <c r="G35" s="489">
        <f t="shared" ref="G35" si="17">F35*(1+G36)</f>
        <v>697.65915240285096</v>
      </c>
      <c r="H35" s="489">
        <f t="shared" ref="H35" si="18">G35*(1+H36)</f>
        <v>730.11759129768495</v>
      </c>
      <c r="I35" s="489">
        <f t="shared" ref="I35" si="19">H35*(1+I36)</f>
        <v>778.68850376182127</v>
      </c>
    </row>
    <row r="36" spans="2:9">
      <c r="B36" s="490" t="s">
        <v>555</v>
      </c>
      <c r="C36" s="494">
        <v>-8.3475219549486529E-2</v>
      </c>
      <c r="E36" s="419">
        <f>C36+4%</f>
        <v>-4.3475219549486528E-2</v>
      </c>
      <c r="F36" s="419">
        <f>E36+4%</f>
        <v>-3.4752195494865273E-3</v>
      </c>
      <c r="G36" s="419">
        <f>F36+3%</f>
        <v>2.6524780450513472E-2</v>
      </c>
      <c r="H36" s="419">
        <f t="shared" ref="H36:I36" si="20">G36+2%</f>
        <v>4.6524780450513475E-2</v>
      </c>
      <c r="I36" s="419">
        <f t="shared" si="20"/>
        <v>6.6524780450513479E-2</v>
      </c>
    </row>
    <row r="37" spans="2:9">
      <c r="B37" s="698" t="s">
        <v>480</v>
      </c>
      <c r="C37" s="698"/>
      <c r="D37" s="699">
        <f>D34+D35</f>
        <v>23006</v>
      </c>
      <c r="E37" s="699">
        <f t="shared" ref="E37:I37" si="21">E34+E35</f>
        <v>21819.923359368924</v>
      </c>
      <c r="F37" s="699">
        <f t="shared" si="21"/>
        <v>20598.312278852183</v>
      </c>
      <c r="G37" s="699">
        <f t="shared" si="21"/>
        <v>20954.172475158903</v>
      </c>
      <c r="H37" s="699">
        <f t="shared" si="21"/>
        <v>21332.788291676741</v>
      </c>
      <c r="I37" s="699">
        <f t="shared" si="21"/>
        <v>21736.101871011022</v>
      </c>
    </row>
    <row r="38" spans="2:9">
      <c r="B38" t="s">
        <v>484</v>
      </c>
      <c r="E38" s="419">
        <f>E37/D37-1</f>
        <v>-5.1555100436019963E-2</v>
      </c>
      <c r="F38" s="419">
        <f t="shared" ref="F38" si="22">F37/E37-1</f>
        <v>-5.5986039015678446E-2</v>
      </c>
      <c r="G38" s="419">
        <f t="shared" ref="G38" si="23">G37/F37-1</f>
        <v>1.7276182217708769E-2</v>
      </c>
      <c r="H38" s="419">
        <f t="shared" ref="H38" si="24">H37/G37-1</f>
        <v>1.806875537398045E-2</v>
      </c>
      <c r="I38" s="419">
        <f t="shared" ref="I38" si="25">I37/H37-1</f>
        <v>1.8905807052500334E-2</v>
      </c>
    </row>
    <row r="40" spans="2:9">
      <c r="C40" s="492" t="s">
        <v>557</v>
      </c>
      <c r="D40" s="476">
        <v>2024</v>
      </c>
      <c r="E40" s="478">
        <v>2025</v>
      </c>
      <c r="F40" s="478">
        <v>2026</v>
      </c>
      <c r="G40" s="478">
        <v>2027</v>
      </c>
      <c r="H40" s="478">
        <v>2028</v>
      </c>
      <c r="I40" s="478">
        <v>2029</v>
      </c>
    </row>
    <row r="41" spans="2:9">
      <c r="B41" s="488" t="s">
        <v>488</v>
      </c>
      <c r="E41" s="419"/>
      <c r="F41" s="419"/>
      <c r="G41" s="419"/>
      <c r="H41" s="419"/>
      <c r="I41" s="419"/>
    </row>
    <row r="42" spans="2:9">
      <c r="B42" s="490" t="s">
        <v>552</v>
      </c>
      <c r="C42" s="494">
        <f>C20-1%</f>
        <v>-2.3E-2</v>
      </c>
      <c r="D42" s="493">
        <f>D31</f>
        <v>18232.854029488488</v>
      </c>
      <c r="E42" s="493">
        <f>D42*(1+$C42)*D10/C10</f>
        <v>15834.220788275781</v>
      </c>
      <c r="F42" s="493">
        <f t="shared" ref="F42:I44" si="26">E42*(1+$C42)*E10/D10</f>
        <v>13536.279496377258</v>
      </c>
      <c r="G42" s="493">
        <f t="shared" si="26"/>
        <v>13224.94506796058</v>
      </c>
      <c r="H42" s="493">
        <f t="shared" si="26"/>
        <v>12920.771331397487</v>
      </c>
      <c r="I42" s="493">
        <f t="shared" si="26"/>
        <v>12623.593590775345</v>
      </c>
    </row>
    <row r="43" spans="2:9">
      <c r="B43" s="490" t="s">
        <v>553</v>
      </c>
      <c r="C43" s="494">
        <f>C21-0.5%</f>
        <v>0.02</v>
      </c>
      <c r="D43" s="493">
        <f t="shared" ref="D43:D44" si="27">D32</f>
        <v>3942.4779639072708</v>
      </c>
      <c r="E43" s="493">
        <f t="shared" ref="E43:E44" si="28">D43*(1+$C43)*D11/C11</f>
        <v>4566.5922720919134</v>
      </c>
      <c r="F43" s="493">
        <f t="shared" si="26"/>
        <v>5144.5729059328005</v>
      </c>
      <c r="G43" s="493">
        <f t="shared" si="26"/>
        <v>5247.4643640514569</v>
      </c>
      <c r="H43" s="493">
        <f t="shared" si="26"/>
        <v>5352.4136513324866</v>
      </c>
      <c r="I43" s="493">
        <f t="shared" si="26"/>
        <v>5459.461924359136</v>
      </c>
    </row>
    <row r="44" spans="2:9">
      <c r="B44" s="490" t="s">
        <v>554</v>
      </c>
      <c r="C44" s="494">
        <f>C22-0.5%</f>
        <v>3.5000000000000003E-2</v>
      </c>
      <c r="D44" s="493">
        <f t="shared" si="27"/>
        <v>117.67689361594626</v>
      </c>
      <c r="E44" s="493">
        <f t="shared" si="28"/>
        <v>133.19166301110127</v>
      </c>
      <c r="F44" s="493">
        <f t="shared" si="26"/>
        <v>151.12267967583105</v>
      </c>
      <c r="G44" s="493">
        <f t="shared" si="26"/>
        <v>156.41197346448513</v>
      </c>
      <c r="H44" s="493">
        <f t="shared" si="26"/>
        <v>161.88639253574209</v>
      </c>
      <c r="I44" s="493">
        <f t="shared" si="26"/>
        <v>167.55241627449303</v>
      </c>
    </row>
    <row r="45" spans="2:9">
      <c r="B45" s="488" t="s">
        <v>504</v>
      </c>
      <c r="C45" s="494"/>
      <c r="D45" s="489">
        <v>22293</v>
      </c>
      <c r="E45" s="493">
        <f>SUM(E42:E44)</f>
        <v>20534.004723378795</v>
      </c>
      <c r="F45" s="493">
        <f t="shared" ref="F45:I45" si="29">SUM(F42:F44)</f>
        <v>18831.975081985889</v>
      </c>
      <c r="G45" s="493">
        <f t="shared" si="29"/>
        <v>18628.821405476519</v>
      </c>
      <c r="H45" s="493">
        <f t="shared" si="29"/>
        <v>18435.071375265718</v>
      </c>
      <c r="I45" s="493">
        <f t="shared" si="29"/>
        <v>18250.607931408973</v>
      </c>
    </row>
    <row r="46" spans="2:9">
      <c r="B46" s="488" t="s">
        <v>260</v>
      </c>
      <c r="C46" s="494"/>
      <c r="D46" s="489">
        <v>713</v>
      </c>
      <c r="E46" s="493">
        <f>D46*(1+E47)</f>
        <v>653.48216846121613</v>
      </c>
      <c r="F46" s="493">
        <f t="shared" ref="F46" si="30">E46*(1+F47)</f>
        <v>598.93260097724158</v>
      </c>
      <c r="G46" s="493">
        <f t="shared" ref="G46" si="31">F46*(1+G47)</f>
        <v>554.92589662509374</v>
      </c>
      <c r="H46" s="493">
        <f t="shared" ref="H46" si="32">G46*(1+H47)</f>
        <v>519.70185350312022</v>
      </c>
      <c r="I46" s="493">
        <f t="shared" ref="I46" si="33">H46*(1+I47)</f>
        <v>491.91068278676579</v>
      </c>
    </row>
    <row r="47" spans="2:9">
      <c r="B47" s="490" t="s">
        <v>555</v>
      </c>
      <c r="C47" s="494">
        <v>-8.3475219549486529E-2</v>
      </c>
      <c r="E47" s="419">
        <f>C47</f>
        <v>-8.3475219549486529E-2</v>
      </c>
      <c r="F47" s="419">
        <f>E47</f>
        <v>-8.3475219549486529E-2</v>
      </c>
      <c r="G47" s="419">
        <f>F47+1%</f>
        <v>-7.3475219549486534E-2</v>
      </c>
      <c r="H47" s="419">
        <f>G47+1%</f>
        <v>-6.3475219549486539E-2</v>
      </c>
      <c r="I47" s="419">
        <f>H47+1%</f>
        <v>-5.3475219549486537E-2</v>
      </c>
    </row>
    <row r="48" spans="2:9">
      <c r="B48" s="698" t="s">
        <v>480</v>
      </c>
      <c r="C48" s="698"/>
      <c r="D48" s="699">
        <f>D45+D46</f>
        <v>23006</v>
      </c>
      <c r="E48" s="699">
        <f t="shared" ref="E48:I48" si="34">E45+E46</f>
        <v>21187.48689184001</v>
      </c>
      <c r="F48" s="699">
        <f t="shared" si="34"/>
        <v>19430.90768296313</v>
      </c>
      <c r="G48" s="699">
        <f t="shared" si="34"/>
        <v>19183.747302101612</v>
      </c>
      <c r="H48" s="699">
        <f t="shared" si="34"/>
        <v>18954.773228768838</v>
      </c>
      <c r="I48" s="699">
        <f t="shared" si="34"/>
        <v>18742.518614195738</v>
      </c>
    </row>
    <row r="49" spans="2:9">
      <c r="B49" t="s">
        <v>484</v>
      </c>
      <c r="E49" s="419">
        <f>E48/D48-1</f>
        <v>-7.9045166832999669E-2</v>
      </c>
      <c r="F49" s="419">
        <f t="shared" ref="F49" si="35">F48/E48-1</f>
        <v>-8.290644463140151E-2</v>
      </c>
      <c r="G49" s="419">
        <f t="shared" ref="G49" si="36">G48/F48-1</f>
        <v>-1.2719960636642158E-2</v>
      </c>
      <c r="H49" s="419">
        <f t="shared" ref="H49" si="37">H48/G48-1</f>
        <v>-1.1935836608298667E-2</v>
      </c>
      <c r="I49" s="419">
        <f t="shared" ref="I49" si="38">I48/H48-1</f>
        <v>-1.1197950617048091E-2</v>
      </c>
    </row>
  </sheetData>
  <mergeCells count="1">
    <mergeCell ref="C8:H8"/>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C37698C66F7F47A928C1C9338ABBF8" ma:contentTypeVersion="4" ma:contentTypeDescription="Create a new document." ma:contentTypeScope="" ma:versionID="771309b536872fb4a64ef76960d5fc6e">
  <xsd:schema xmlns:xsd="http://www.w3.org/2001/XMLSchema" xmlns:xs="http://www.w3.org/2001/XMLSchema" xmlns:p="http://schemas.microsoft.com/office/2006/metadata/properties" xmlns:ns2="8af93031-1478-4dd6-aac8-3c678aaa6a59" targetNamespace="http://schemas.microsoft.com/office/2006/metadata/properties" ma:root="true" ma:fieldsID="d4e04bd888216758ede4448988db50c0" ns2:_="">
    <xsd:import namespace="8af93031-1478-4dd6-aac8-3c678aaa6a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93031-1478-4dd6-aac8-3c678aaa6a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7EF867-59DF-4EAF-8362-D47BA37B5F15}">
  <ds:schemaRefs>
    <ds:schemaRef ds:uri="http://purl.org/dc/dcmityp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8af93031-1478-4dd6-aac8-3c678aaa6a59"/>
    <ds:schemaRef ds:uri="http://purl.org/dc/terms/"/>
  </ds:schemaRefs>
</ds:datastoreItem>
</file>

<file path=customXml/itemProps2.xml><?xml version="1.0" encoding="utf-8"?>
<ds:datastoreItem xmlns:ds="http://schemas.openxmlformats.org/officeDocument/2006/customXml" ds:itemID="{3E4A10E0-63CB-401E-A217-F76EEE4E8124}">
  <ds:schemaRefs>
    <ds:schemaRef ds:uri="http://schemas.microsoft.com/sharepoint/v3/contenttype/forms"/>
  </ds:schemaRefs>
</ds:datastoreItem>
</file>

<file path=customXml/itemProps3.xml><?xml version="1.0" encoding="utf-8"?>
<ds:datastoreItem xmlns:ds="http://schemas.openxmlformats.org/officeDocument/2006/customXml" ds:itemID="{4D280B59-58CE-41EC-BBEB-417002C7E2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93031-1478-4dd6-aac8-3c678aaa6a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vt:i4>
      </vt:variant>
    </vt:vector>
  </HeadingPairs>
  <TitlesOfParts>
    <vt:vector size="34" baseType="lpstr">
      <vt:lpstr>Trading Multiples</vt:lpstr>
      <vt:lpstr>Implied Valuation</vt:lpstr>
      <vt:lpstr>Cover</vt:lpstr>
      <vt:lpstr>Key Stats</vt:lpstr>
      <vt:lpstr>FA</vt:lpstr>
      <vt:lpstr>Financial Analysis</vt:lpstr>
      <vt:lpstr>FA Graphs</vt:lpstr>
      <vt:lpstr>3FS</vt:lpstr>
      <vt:lpstr>D&amp;A</vt:lpstr>
      <vt:lpstr>Stores</vt:lpstr>
      <vt:lpstr>Schedule's</vt:lpstr>
      <vt:lpstr>BS</vt:lpstr>
      <vt:lpstr>DCF (2)</vt:lpstr>
      <vt:lpstr>DCF</vt:lpstr>
      <vt:lpstr>IS</vt:lpstr>
      <vt:lpstr>CFS</vt:lpstr>
      <vt:lpstr>Relative Valuation</vt:lpstr>
      <vt:lpstr>Comparables' info</vt:lpstr>
      <vt:lpstr>Other stuff</vt:lpstr>
      <vt:lpstr>Segments</vt:lpstr>
      <vt:lpstr>Industry Specific (annual)</vt:lpstr>
      <vt:lpstr>Capital Structure Summary</vt:lpstr>
      <vt:lpstr>Schedule's (2)</vt:lpstr>
      <vt:lpstr>Revenue per store</vt:lpstr>
      <vt:lpstr>'3FS'!Print_Titles</vt:lpstr>
      <vt:lpstr>BS!Print_Titles</vt:lpstr>
      <vt:lpstr>'Capital Structure Summary'!Print_Titles</vt:lpstr>
      <vt:lpstr>CFS!Print_Titles</vt:lpstr>
      <vt:lpstr>'Comparables'' info'!Print_Titles</vt:lpstr>
      <vt:lpstr>'FA Graphs'!Print_Titles</vt:lpstr>
      <vt:lpstr>'Financial Analysis'!Print_Titles</vt:lpstr>
      <vt:lpstr>'Industry Specific (annual)'!Print_Titles</vt:lpstr>
      <vt:lpstr>IS!Print_Titles</vt:lpstr>
      <vt:lpstr>'Key Stats'!Print_Titles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HOW#</dc:creator>
  <cp:keywords/>
  <dc:description/>
  <cp:lastModifiedBy>#TRIPATHI AYMAN#</cp:lastModifiedBy>
  <cp:revision/>
  <dcterms:created xsi:type="dcterms:W3CDTF">2025-03-25T14:16:45Z</dcterms:created>
  <dcterms:modified xsi:type="dcterms:W3CDTF">2025-04-30T20:15:48Z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0x01010081C37698C66F7F47A928C1C9338ABBF8</vt:lpwstr>
  </property>
</Properties>
</file>