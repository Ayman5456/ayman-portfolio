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ayman002_e_ntu_edu_sg/Documents/"/>
    </mc:Choice>
  </mc:AlternateContent>
  <xr:revisionPtr revIDLastSave="0" documentId="8_{13FB4CAD-B2B7-4EFA-B9B4-C7C997060BF7}" xr6:coauthVersionLast="47" xr6:coauthVersionMax="47" xr10:uidLastSave="{00000000-0000-0000-0000-000000000000}"/>
  <bookViews>
    <workbookView xWindow="-98" yWindow="-98" windowWidth="22875" windowHeight="14370" firstSheet="4" activeTab="4" xr2:uid="{183E75E9-C5DC-4CED-B3A9-DA3FE062BB8C}"/>
  </bookViews>
  <sheets>
    <sheet name="Main" sheetId="1" r:id="rId1"/>
    <sheet name="Investment ratios" sheetId="258" r:id="rId2"/>
    <sheet name="EBITDA Adjustment" sheetId="95" r:id="rId3"/>
    <sheet name="_CIQHiddenCacheSheet" sheetId="454" state="veryHidden" r:id="rId4"/>
    <sheet name="Comps" sheetId="312" r:id="rId5"/>
  </sheets>
  <definedNames>
    <definedName name="CIQWBGuid" hidden="1">"73c3517e-3f7a-4c95-8861-15ba8cdae28d"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45941.6018055556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312" l="1"/>
  <c r="L18" i="312"/>
  <c r="U18" i="312" s="1"/>
  <c r="M18" i="312"/>
  <c r="V18" i="312"/>
  <c r="W18" i="312"/>
  <c r="I6" i="95"/>
  <c r="I12" i="95"/>
  <c r="I13" i="95"/>
  <c r="I14" i="95"/>
  <c r="I15" i="95"/>
  <c r="I16" i="95"/>
  <c r="I17" i="95"/>
  <c r="F28" i="95"/>
  <c r="F29" i="95"/>
  <c r="M5" i="258"/>
  <c r="F6" i="258"/>
  <c r="AI5" i="312" s="1"/>
  <c r="N8" i="258"/>
  <c r="O8" i="258"/>
  <c r="P8" i="258"/>
  <c r="Q7" i="258"/>
  <c r="Q8" i="258"/>
  <c r="F9" i="258"/>
  <c r="AK5" i="312" s="1"/>
  <c r="P10" i="258"/>
  <c r="Q9" i="258" s="1"/>
  <c r="Q10" i="258" s="1"/>
  <c r="F10" i="258"/>
  <c r="AL5" i="312" s="1"/>
  <c r="F11" i="258"/>
  <c r="AM5" i="312" s="1"/>
  <c r="P12" i="258"/>
  <c r="Q11" i="258"/>
  <c r="Q12" i="258" s="1"/>
  <c r="F12" i="258"/>
  <c r="N12" i="258"/>
  <c r="O12" i="258"/>
  <c r="F13" i="258"/>
  <c r="F14" i="258"/>
  <c r="AO5" i="312" s="1"/>
  <c r="F15" i="258"/>
  <c r="AP5" i="312" s="1"/>
  <c r="F16" i="258"/>
  <c r="AQ5" i="312" s="1"/>
  <c r="F17" i="1"/>
  <c r="D42" i="1"/>
  <c r="D43" i="1"/>
  <c r="D44" i="1"/>
  <c r="D45" i="1"/>
  <c r="D46" i="1"/>
  <c r="D47" i="1"/>
  <c r="E47" i="1" s="1"/>
  <c r="E48" i="1" s="1"/>
  <c r="F34" i="1" s="1"/>
  <c r="D48" i="1"/>
  <c r="F33" i="1" s="1"/>
  <c r="E42" i="1"/>
  <c r="E43" i="1"/>
  <c r="E44" i="1"/>
  <c r="E45" i="1"/>
  <c r="E46" i="1"/>
  <c r="E63" i="1"/>
  <c r="F36" i="1"/>
  <c r="B55" i="1"/>
  <c r="C55" i="1" s="1"/>
  <c r="F37" i="1" s="1"/>
  <c r="F26" i="1"/>
  <c r="B48" i="1"/>
  <c r="C52" i="1"/>
  <c r="C53" i="1"/>
  <c r="C54" i="1"/>
  <c r="B63" i="1"/>
  <c r="D63" i="1"/>
  <c r="C124" i="1"/>
  <c r="D124" i="1"/>
  <c r="B137" i="1"/>
  <c r="G139" i="1"/>
  <c r="G140" i="1"/>
  <c r="G141" i="1" s="1"/>
  <c r="V5" i="312" s="1"/>
  <c r="C141" i="1"/>
  <c r="D141" i="1"/>
  <c r="E141" i="1"/>
  <c r="F141" i="1"/>
  <c r="B142" i="1"/>
  <c r="C142" i="1"/>
  <c r="D142" i="1"/>
  <c r="E142" i="1"/>
  <c r="F142" i="1"/>
  <c r="G149" i="1"/>
  <c r="G142" i="1"/>
  <c r="G148" i="1"/>
  <c r="G150" i="1"/>
  <c r="G151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D170" i="1"/>
  <c r="D206" i="1" s="1"/>
  <c r="G172" i="1"/>
  <c r="G174" i="1"/>
  <c r="G175" i="1"/>
  <c r="G176" i="1"/>
  <c r="B177" i="1"/>
  <c r="C177" i="1"/>
  <c r="D177" i="1"/>
  <c r="E177" i="1"/>
  <c r="F177" i="1"/>
  <c r="G177" i="1"/>
  <c r="G178" i="1"/>
  <c r="G197" i="1" s="1"/>
  <c r="G179" i="1"/>
  <c r="G181" i="1"/>
  <c r="G183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B197" i="1"/>
  <c r="C197" i="1"/>
  <c r="D197" i="1"/>
  <c r="E197" i="1"/>
  <c r="F197" i="1"/>
  <c r="G199" i="1"/>
  <c r="G200" i="1"/>
  <c r="G201" i="1"/>
  <c r="G202" i="1"/>
  <c r="G203" i="1"/>
  <c r="B204" i="1"/>
  <c r="B205" i="1" s="1"/>
  <c r="C204" i="1"/>
  <c r="D204" i="1"/>
  <c r="E204" i="1"/>
  <c r="F204" i="1"/>
  <c r="G204" i="1"/>
  <c r="C205" i="1"/>
  <c r="D205" i="1"/>
  <c r="B210" i="1"/>
  <c r="C210" i="1"/>
  <c r="C211" i="1" s="1"/>
  <c r="D210" i="1"/>
  <c r="D211" i="1" s="1"/>
  <c r="E210" i="1"/>
  <c r="F210" i="1"/>
  <c r="B211" i="1"/>
  <c r="AA55" i="312"/>
  <c r="M54" i="312"/>
  <c r="AD52" i="312"/>
  <c r="L52" i="312"/>
  <c r="M50" i="312"/>
  <c r="K50" i="312"/>
  <c r="X29" i="312"/>
  <c r="Z27" i="312"/>
  <c r="X27" i="312"/>
  <c r="AA25" i="312"/>
  <c r="Y25" i="312"/>
  <c r="Z23" i="312"/>
  <c r="AA21" i="312"/>
  <c r="Y21" i="312"/>
  <c r="J18" i="312"/>
  <c r="AD16" i="312"/>
  <c r="J16" i="312"/>
  <c r="L14" i="312"/>
  <c r="J14" i="312"/>
  <c r="L12" i="312"/>
  <c r="J12" i="312"/>
  <c r="I10" i="312"/>
  <c r="I9" i="95"/>
  <c r="G8" i="95"/>
  <c r="E7" i="95"/>
  <c r="C152" i="1"/>
  <c r="B152" i="1"/>
  <c r="B132" i="1"/>
  <c r="B129" i="1"/>
  <c r="F125" i="1"/>
  <c r="J26" i="312"/>
  <c r="J22" i="312"/>
  <c r="K20" i="312"/>
  <c r="U15" i="312"/>
  <c r="U13" i="312"/>
  <c r="F11" i="95"/>
  <c r="P5" i="258"/>
  <c r="G132" i="1"/>
  <c r="E123" i="1"/>
  <c r="N5" i="258"/>
  <c r="D125" i="1"/>
  <c r="L50" i="312"/>
  <c r="Z25" i="312"/>
  <c r="U55" i="312"/>
  <c r="AD54" i="312"/>
  <c r="T53" i="312"/>
  <c r="M52" i="312"/>
  <c r="AD50" i="312"/>
  <c r="AA29" i="312"/>
  <c r="Y29" i="312"/>
  <c r="AA27" i="312"/>
  <c r="Y27" i="312"/>
  <c r="AD24" i="312"/>
  <c r="I24" i="312"/>
  <c r="AA23" i="312"/>
  <c r="AD20" i="312"/>
  <c r="Z21" i="312"/>
  <c r="T19" i="312"/>
  <c r="M16" i="312"/>
  <c r="K16" i="312"/>
  <c r="M14" i="312"/>
  <c r="K14" i="312"/>
  <c r="M12" i="312"/>
  <c r="L10" i="312"/>
  <c r="J10" i="312"/>
  <c r="D11" i="95"/>
  <c r="H8" i="95"/>
  <c r="F7" i="95"/>
  <c r="E152" i="1"/>
  <c r="E132" i="1"/>
  <c r="C132" i="1"/>
  <c r="C129" i="1"/>
  <c r="G125" i="1"/>
  <c r="K24" i="312"/>
  <c r="I20" i="312"/>
  <c r="W13" i="312"/>
  <c r="H7" i="95"/>
  <c r="E129" i="1"/>
  <c r="G9" i="95"/>
  <c r="L54" i="312"/>
  <c r="W29" i="312"/>
  <c r="V55" i="312"/>
  <c r="T55" i="312"/>
  <c r="U53" i="312"/>
  <c r="V51" i="312"/>
  <c r="T51" i="312"/>
  <c r="I36" i="312"/>
  <c r="Z29" i="312"/>
  <c r="I28" i="312"/>
  <c r="K26" i="312"/>
  <c r="I26" i="312"/>
  <c r="J24" i="312"/>
  <c r="AD22" i="312"/>
  <c r="I22" i="312"/>
  <c r="J20" i="312"/>
  <c r="AD18" i="312"/>
  <c r="T17" i="312"/>
  <c r="L16" i="312"/>
  <c r="T15" i="312"/>
  <c r="V13" i="312"/>
  <c r="T13" i="312"/>
  <c r="M10" i="312"/>
  <c r="K10" i="312"/>
  <c r="E11" i="95"/>
  <c r="I8" i="95"/>
  <c r="G7" i="95"/>
  <c r="F152" i="1"/>
  <c r="F132" i="1"/>
  <c r="D132" i="1"/>
  <c r="D129" i="1"/>
  <c r="F12" i="1"/>
  <c r="Y53" i="312"/>
  <c r="V53" i="312"/>
  <c r="W51" i="312"/>
  <c r="U51" i="312"/>
  <c r="J36" i="312"/>
  <c r="L28" i="312"/>
  <c r="J28" i="312"/>
  <c r="L26" i="312"/>
  <c r="L22" i="312"/>
  <c r="U17" i="312"/>
  <c r="W15" i="312"/>
  <c r="T11" i="312"/>
  <c r="D9" i="95"/>
  <c r="G152" i="1"/>
  <c r="G129" i="1"/>
  <c r="E8" i="95"/>
  <c r="F130" i="1"/>
  <c r="J50" i="312"/>
  <c r="AD26" i="312"/>
  <c r="V23" i="312"/>
  <c r="W55" i="312"/>
  <c r="Y55" i="312"/>
  <c r="Z53" i="312"/>
  <c r="W53" i="312"/>
  <c r="Y51" i="312"/>
  <c r="M36" i="312"/>
  <c r="K36" i="312"/>
  <c r="M28" i="312"/>
  <c r="K28" i="312"/>
  <c r="M26" i="312"/>
  <c r="T25" i="312"/>
  <c r="L24" i="312"/>
  <c r="M22" i="312"/>
  <c r="K22" i="312"/>
  <c r="L20" i="312"/>
  <c r="X17" i="312"/>
  <c r="V17" i="312"/>
  <c r="X15" i="312"/>
  <c r="V15" i="312"/>
  <c r="X13" i="312"/>
  <c r="W11" i="312"/>
  <c r="U11" i="312"/>
  <c r="G11" i="95"/>
  <c r="E9" i="95"/>
  <c r="I7" i="95"/>
  <c r="F3" i="258"/>
  <c r="D134" i="1"/>
  <c r="B134" i="1"/>
  <c r="B130" i="1"/>
  <c r="F129" i="1"/>
  <c r="F123" i="1"/>
  <c r="AA51" i="312"/>
  <c r="T29" i="312"/>
  <c r="V25" i="312"/>
  <c r="Z17" i="312"/>
  <c r="Z13" i="312"/>
  <c r="K5" i="312"/>
  <c r="D130" i="1"/>
  <c r="J54" i="312"/>
  <c r="Y23" i="312"/>
  <c r="Z55" i="312"/>
  <c r="AA53" i="312"/>
  <c r="I52" i="312"/>
  <c r="Z51" i="312"/>
  <c r="AD36" i="312"/>
  <c r="L36" i="312"/>
  <c r="AD28" i="312"/>
  <c r="V27" i="312"/>
  <c r="T27" i="312"/>
  <c r="U25" i="312"/>
  <c r="M24" i="312"/>
  <c r="T23" i="312"/>
  <c r="U21" i="312"/>
  <c r="M20" i="312"/>
  <c r="Y17" i="312"/>
  <c r="W17" i="312"/>
  <c r="Y15" i="312"/>
  <c r="AA13" i="312"/>
  <c r="Y13" i="312"/>
  <c r="AD10" i="312"/>
  <c r="V11" i="312"/>
  <c r="H11" i="95"/>
  <c r="F9" i="95"/>
  <c r="D8" i="95"/>
  <c r="F4" i="258"/>
  <c r="E134" i="1"/>
  <c r="C134" i="1"/>
  <c r="C130" i="1"/>
  <c r="C125" i="1"/>
  <c r="G123" i="1"/>
  <c r="K54" i="312"/>
  <c r="I54" i="312"/>
  <c r="J52" i="312"/>
  <c r="I50" i="312"/>
  <c r="V29" i="312"/>
  <c r="W27" i="312"/>
  <c r="U27" i="312"/>
  <c r="W23" i="312"/>
  <c r="U23" i="312"/>
  <c r="V21" i="312"/>
  <c r="T21" i="312"/>
  <c r="AD14" i="312"/>
  <c r="Z15" i="312"/>
  <c r="AD12" i="312"/>
  <c r="X11" i="312"/>
  <c r="I11" i="95"/>
  <c r="F134" i="1"/>
  <c r="B125" i="1"/>
  <c r="K52" i="312"/>
  <c r="U29" i="312"/>
  <c r="W25" i="312"/>
  <c r="W21" i="312"/>
  <c r="AD5" i="312"/>
  <c r="E125" i="1"/>
  <c r="AA15" i="312"/>
  <c r="I18" i="312"/>
  <c r="H9" i="95"/>
  <c r="I14" i="312"/>
  <c r="I12" i="312"/>
  <c r="AA17" i="312"/>
  <c r="F8" i="95"/>
  <c r="E130" i="1"/>
  <c r="I16" i="312"/>
  <c r="D7" i="95"/>
  <c r="O5" i="258"/>
  <c r="G134" i="1"/>
  <c r="K12" i="312"/>
  <c r="G130" i="1"/>
  <c r="V12" i="312" l="1"/>
  <c r="P12" i="312"/>
  <c r="O6" i="258"/>
  <c r="D10" i="95"/>
  <c r="D21" i="95" s="1"/>
  <c r="T16" i="312"/>
  <c r="AA16" i="312"/>
  <c r="T12" i="312"/>
  <c r="T14" i="312"/>
  <c r="T18" i="312"/>
  <c r="Q18" i="312"/>
  <c r="P18" i="312"/>
  <c r="R18" i="312"/>
  <c r="AA14" i="312"/>
  <c r="E126" i="1"/>
  <c r="W20" i="312"/>
  <c r="W24" i="312"/>
  <c r="P52" i="312"/>
  <c r="B131" i="1"/>
  <c r="B133" i="1" s="1"/>
  <c r="B135" i="1" s="1"/>
  <c r="B138" i="1" s="1"/>
  <c r="B127" i="1"/>
  <c r="B128" i="1" s="1"/>
  <c r="B126" i="1"/>
  <c r="Z14" i="312"/>
  <c r="U22" i="312"/>
  <c r="W22" i="312"/>
  <c r="U26" i="312"/>
  <c r="W26" i="312"/>
  <c r="O52" i="312"/>
  <c r="P54" i="312"/>
  <c r="I5" i="312"/>
  <c r="P5" i="312" s="1"/>
  <c r="G131" i="1"/>
  <c r="G127" i="1"/>
  <c r="G124" i="1"/>
  <c r="T5" i="312" s="1"/>
  <c r="C126" i="1"/>
  <c r="C127" i="1"/>
  <c r="C128" i="1" s="1"/>
  <c r="C131" i="1"/>
  <c r="C133" i="1" s="1"/>
  <c r="C135" i="1" s="1"/>
  <c r="C138" i="1" s="1"/>
  <c r="AG5" i="312"/>
  <c r="AA12" i="312"/>
  <c r="W16" i="312"/>
  <c r="R20" i="312"/>
  <c r="U20" i="312"/>
  <c r="R24" i="312"/>
  <c r="U24" i="312"/>
  <c r="Q36" i="312"/>
  <c r="Y22" i="312"/>
  <c r="O54" i="312"/>
  <c r="W5" i="312"/>
  <c r="Z12" i="312"/>
  <c r="F127" i="1"/>
  <c r="F128" i="1" s="1"/>
  <c r="F124" i="1"/>
  <c r="F131" i="1"/>
  <c r="F133" i="1" s="1"/>
  <c r="F135" i="1" s="1"/>
  <c r="F138" i="1" s="1"/>
  <c r="F211" i="1"/>
  <c r="AF5" i="312"/>
  <c r="I10" i="95"/>
  <c r="U10" i="312"/>
  <c r="W10" i="312"/>
  <c r="Y12" i="312"/>
  <c r="Y14" i="312"/>
  <c r="Y16" i="312"/>
  <c r="Z16" i="312"/>
  <c r="Q20" i="312"/>
  <c r="P22" i="312"/>
  <c r="V22" i="312"/>
  <c r="R22" i="312"/>
  <c r="Q24" i="312"/>
  <c r="R26" i="312"/>
  <c r="P28" i="312"/>
  <c r="R28" i="312"/>
  <c r="P36" i="312"/>
  <c r="R36" i="312"/>
  <c r="O50" i="312"/>
  <c r="W14" i="312"/>
  <c r="U16" i="312"/>
  <c r="Q22" i="312"/>
  <c r="Q26" i="312"/>
  <c r="O28" i="312"/>
  <c r="Q28" i="312"/>
  <c r="O36" i="312"/>
  <c r="F170" i="1"/>
  <c r="F206" i="1" s="1"/>
  <c r="G10" i="95"/>
  <c r="G21" i="95" s="1"/>
  <c r="I21" i="95" s="1"/>
  <c r="P10" i="312"/>
  <c r="V10" i="312"/>
  <c r="R10" i="312"/>
  <c r="Q16" i="312"/>
  <c r="O20" i="312"/>
  <c r="T22" i="312"/>
  <c r="O24" i="312"/>
  <c r="T26" i="312"/>
  <c r="V26" i="312"/>
  <c r="P26" i="312"/>
  <c r="Q54" i="312"/>
  <c r="H10" i="95"/>
  <c r="H21" i="95" s="1"/>
  <c r="W12" i="312"/>
  <c r="T20" i="312"/>
  <c r="V24" i="312"/>
  <c r="P24" i="312"/>
  <c r="G126" i="1"/>
  <c r="E170" i="1"/>
  <c r="E206" i="1" s="1"/>
  <c r="F10" i="95"/>
  <c r="O10" i="312"/>
  <c r="Q10" i="312"/>
  <c r="R12" i="312"/>
  <c r="V14" i="312"/>
  <c r="P14" i="312"/>
  <c r="R14" i="312"/>
  <c r="V16" i="312"/>
  <c r="P16" i="312"/>
  <c r="R16" i="312"/>
  <c r="Z20" i="312"/>
  <c r="AA22" i="312"/>
  <c r="T24" i="312"/>
  <c r="R52" i="312"/>
  <c r="Z24" i="312"/>
  <c r="Q50" i="312"/>
  <c r="D131" i="1"/>
  <c r="D133" i="1" s="1"/>
  <c r="D135" i="1" s="1"/>
  <c r="D138" i="1" s="1"/>
  <c r="D126" i="1"/>
  <c r="D127" i="1"/>
  <c r="D128" i="1" s="1"/>
  <c r="N6" i="258"/>
  <c r="E127" i="1"/>
  <c r="E128" i="1" s="1"/>
  <c r="E205" i="1"/>
  <c r="E211" i="1"/>
  <c r="E124" i="1"/>
  <c r="E131" i="1"/>
  <c r="E133" i="1" s="1"/>
  <c r="E135" i="1" s="1"/>
  <c r="E138" i="1" s="1"/>
  <c r="P6" i="258"/>
  <c r="Q6" i="258" s="1"/>
  <c r="U12" i="312"/>
  <c r="U14" i="312"/>
  <c r="V20" i="312"/>
  <c r="P20" i="312"/>
  <c r="O22" i="312"/>
  <c r="O26" i="312"/>
  <c r="F126" i="1"/>
  <c r="B170" i="1"/>
  <c r="B206" i="1" s="1"/>
  <c r="C170" i="1"/>
  <c r="C206" i="1" s="1"/>
  <c r="E10" i="95"/>
  <c r="T10" i="312"/>
  <c r="O12" i="312"/>
  <c r="Q12" i="312"/>
  <c r="O14" i="312"/>
  <c r="Q14" i="312"/>
  <c r="O16" i="312"/>
  <c r="O18" i="312"/>
  <c r="Y20" i="312"/>
  <c r="AA20" i="312"/>
  <c r="Z22" i="312"/>
  <c r="Y24" i="312"/>
  <c r="AA24" i="312"/>
  <c r="P50" i="312"/>
  <c r="R50" i="312"/>
  <c r="Q52" i="312"/>
  <c r="R54" i="312"/>
  <c r="G205" i="1"/>
  <c r="G170" i="1"/>
  <c r="G206" i="1" s="1"/>
  <c r="F35" i="1"/>
  <c r="F38" i="1" s="1"/>
  <c r="F22" i="1" s="1"/>
  <c r="F23" i="1" s="1"/>
  <c r="F205" i="1"/>
  <c r="D208" i="1"/>
  <c r="D207" i="1"/>
  <c r="G210" i="1"/>
  <c r="G211" i="1" s="1"/>
  <c r="G128" i="1" l="1"/>
  <c r="O5" i="312" s="1"/>
  <c r="J5" i="312"/>
  <c r="L5" i="312"/>
  <c r="Q5" i="312" s="1"/>
  <c r="G133" i="1"/>
  <c r="G135" i="1" s="1"/>
  <c r="F29" i="1"/>
  <c r="G5" i="312" s="1"/>
  <c r="F5" i="312"/>
  <c r="F208" i="1"/>
  <c r="F207" i="1"/>
  <c r="G208" i="1"/>
  <c r="G207" i="1"/>
  <c r="C208" i="1"/>
  <c r="C207" i="1"/>
  <c r="B207" i="1"/>
  <c r="B208" i="1"/>
  <c r="E208" i="1"/>
  <c r="E207" i="1"/>
  <c r="G138" i="1" l="1"/>
  <c r="M5" i="312"/>
  <c r="R5" i="312" s="1"/>
  <c r="F5" i="258"/>
  <c r="AH5" i="312" s="1"/>
  <c r="Y5" i="312" l="1"/>
  <c r="Z5" i="3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tc={4DA5547E-201B-4F43-AE4D-99C6EC513170}</author>
  </authors>
  <commentList>
    <comment ref="B12" authorId="0" shapeId="0" xr:uid="{4DA5547E-201B-4F43-AE4D-99C6EC5131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BTBT financials are normalized to exclude unrealized and realized gains on digital assets, which are market-driven and non-operational. Adjusted EBITDA and EBIT therefore reflect underlying infrastructure economics rather than crypto price movements.
</t>
      </text>
    </comment>
  </commentList>
</comments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<sst xmlns="http://schemas.openxmlformats.org/spreadsheetml/2006/main" count="641" uniqueCount="390">
  <si>
    <t>Applied Digital Corporation  | Public company</t>
  </si>
  <si>
    <t>NASDAQ: apld (MI KEY: 4992232; SPCIQ KEY: 3563673)</t>
  </si>
  <si>
    <t>General Information</t>
  </si>
  <si>
    <t>USD MN</t>
  </si>
  <si>
    <t>Company name</t>
  </si>
  <si>
    <t>Applied Digital Corp.</t>
  </si>
  <si>
    <t>Ticker</t>
  </si>
  <si>
    <t>APLD</t>
  </si>
  <si>
    <t>Stock exchange</t>
  </si>
  <si>
    <t>NASDAQ</t>
  </si>
  <si>
    <t>Fiscal year ending</t>
  </si>
  <si>
    <t>Moody's corporate rating</t>
  </si>
  <si>
    <t>NR</t>
  </si>
  <si>
    <t>S&amp;P corporate rating</t>
  </si>
  <si>
    <t>B+</t>
  </si>
  <si>
    <t>Fitch corporate rating</t>
  </si>
  <si>
    <t>BB-</t>
  </si>
  <si>
    <t>Predicted beta</t>
  </si>
  <si>
    <t>Marginal tax rate</t>
  </si>
  <si>
    <t>Selected Market Data</t>
  </si>
  <si>
    <t xml:space="preserve">Current Price  </t>
  </si>
  <si>
    <t xml:space="preserve">% of 52-week High  </t>
  </si>
  <si>
    <t xml:space="preserve">52-week High Price  </t>
  </si>
  <si>
    <t xml:space="preserve">52-week Low Price  </t>
  </si>
  <si>
    <t xml:space="preserve">Dividend per Share (MRQ)  </t>
  </si>
  <si>
    <t xml:space="preserve">Fully Diluted Shares Outstanding  </t>
  </si>
  <si>
    <t xml:space="preserve">Equity Value  </t>
  </si>
  <si>
    <t xml:space="preserve">Plus: Total Debt  </t>
  </si>
  <si>
    <t xml:space="preserve">Plus: Preferred Stock  </t>
  </si>
  <si>
    <t xml:space="preserve">Plus: Noncontrolling Interest  </t>
  </si>
  <si>
    <t>-</t>
  </si>
  <si>
    <t xml:space="preserve">Less: Cash and Cash Equivalents  </t>
  </si>
  <si>
    <t xml:space="preserve">Enterprise Value  </t>
  </si>
  <si>
    <t>Calculation of Fully Diluted Shares outstanding</t>
  </si>
  <si>
    <t xml:space="preserve">Basic Shares Outstanding </t>
  </si>
  <si>
    <t>Plus: Shares from In-the-Money Options</t>
  </si>
  <si>
    <t>Less: Shares repurchased</t>
  </si>
  <si>
    <t xml:space="preserve"> Net New Shares from Options </t>
  </si>
  <si>
    <t>Plus Shares from Convertible Securities</t>
  </si>
  <si>
    <t>Plus : Shares from RSU's, PSU's and Restricted stock</t>
  </si>
  <si>
    <t>Total</t>
  </si>
  <si>
    <t>Options /Warrants</t>
  </si>
  <si>
    <t>Tranche</t>
  </si>
  <si>
    <t>Number of shares</t>
  </si>
  <si>
    <t xml:space="preserve">Exercise Price </t>
  </si>
  <si>
    <t>In-the-Money Shares</t>
  </si>
  <si>
    <t>Proceeds</t>
  </si>
  <si>
    <t>AI Warrant 1</t>
  </si>
  <si>
    <t>AI Warrant 2</t>
  </si>
  <si>
    <t xml:space="preserve">Macquaire Warrant </t>
  </si>
  <si>
    <t xml:space="preserve">STB Warrant </t>
  </si>
  <si>
    <t>CoreWeave Warrant</t>
  </si>
  <si>
    <t xml:space="preserve">Building 4 Warrant </t>
  </si>
  <si>
    <t xml:space="preserve">Total </t>
  </si>
  <si>
    <t>RSU's PSU's and Restricted Stock</t>
  </si>
  <si>
    <t>Units</t>
  </si>
  <si>
    <t>Dilutive Shares</t>
  </si>
  <si>
    <t>Comments</t>
  </si>
  <si>
    <t>RSUs</t>
  </si>
  <si>
    <t>1:1 Conversion</t>
  </si>
  <si>
    <t>PSUs</t>
  </si>
  <si>
    <t>Assumed probable vesting</t>
  </si>
  <si>
    <t>Restricted</t>
  </si>
  <si>
    <t>Always dilutive</t>
  </si>
  <si>
    <t>Convertible Notes</t>
  </si>
  <si>
    <t>Convertible Securities</t>
  </si>
  <si>
    <t>Conversion Price</t>
  </si>
  <si>
    <t>Shares If Converted</t>
  </si>
  <si>
    <t xml:space="preserve">Comments </t>
  </si>
  <si>
    <t>Senior Unsecured Notes</t>
  </si>
  <si>
    <t xml:space="preserve"> Fully dilutive; 10-Q shows 46.1M if converted</t>
  </si>
  <si>
    <t>Series G Preferred Stock</t>
  </si>
  <si>
    <t>Variable</t>
  </si>
  <si>
    <t>Fully Converted; ignored</t>
  </si>
  <si>
    <t xml:space="preserve">Series E Preferred </t>
  </si>
  <si>
    <t>Not Convertible</t>
  </si>
  <si>
    <t xml:space="preserve">Series E-1 Preferred </t>
  </si>
  <si>
    <t>Balance sheet Data</t>
  </si>
  <si>
    <t>August 31, 2025</t>
  </si>
  <si>
    <t>May 31, 2025</t>
  </si>
  <si>
    <t>ASSETS</t>
  </si>
  <si>
    <t>Current assets:</t>
  </si>
  <si>
    <t>Cash and cash equivalents</t>
  </si>
  <si>
    <t>Restricted cash:</t>
  </si>
  <si>
    <t>Funds for construction</t>
  </si>
  <si>
    <t>Letters of credit</t>
  </si>
  <si>
    <t>Accounts receivable</t>
  </si>
  <si>
    <t>Prepaid expenses and other current assets</t>
  </si>
  <si>
    <t>Current assets held for sale</t>
  </si>
  <si>
    <t>Total current assets</t>
  </si>
  <si>
    <t>Property and equipment, net</t>
  </si>
  <si>
    <t>Operating lease right of use assets, net</t>
  </si>
  <si>
    <t>Finance lease right of use assets, net</t>
  </si>
  <si>
    <t>Other assets</t>
  </si>
  <si>
    <t>TOTAL ASSETS</t>
  </si>
  <si>
    <t>LIABILITIES, TEMPORARY EQUITY AND STOCKHOLDERS' EQUITY</t>
  </si>
  <si>
    <t>Current liabilities:</t>
  </si>
  <si>
    <t>Accounts payable</t>
  </si>
  <si>
    <t>Accrued liabilities</t>
  </si>
  <si>
    <t>Current portion of operating lease liability</t>
  </si>
  <si>
    <t>Current portion of finance lease liability</t>
  </si>
  <si>
    <t>Current portion of debt</t>
  </si>
  <si>
    <t>Customer deposits</t>
  </si>
  <si>
    <t>Deferred revenue</t>
  </si>
  <si>
    <t>Due to customer</t>
  </si>
  <si>
    <t>Current liabilities held-for-sale</t>
  </si>
  <si>
    <t>Other current liabilities</t>
  </si>
  <si>
    <t>Total current liabilities</t>
  </si>
  <si>
    <t>Long-term portion of operating lease liability</t>
  </si>
  <si>
    <t>Long-term portion of finance lease liability</t>
  </si>
  <si>
    <t>Long-term debt</t>
  </si>
  <si>
    <t>Total liabilities</t>
  </si>
  <si>
    <t>Commitments and contingencies (Note 14)</t>
  </si>
  <si>
    <t>Temporary equity</t>
  </si>
  <si>
    <t>Series E preferred stock, $0.001 par value, 2,000,000 shares authorized, 301,673 shares issued and outstanding at August 31, 2025, and 301,673 shares issued and outstanding at May 31, 2025</t>
  </si>
  <si>
    <t>Series E-1 preferred stock, $0.001 par value, 62,500 shares authorized, 62,500 shares issued and 62,260 shares outstanding at August 31, 2025, and 62,500 shares issued and 62,485 shares outstanding at May 31, 2025</t>
  </si>
  <si>
    <t>Series G preferred stock, $0.001 par value, 156,000 shares authorized, no shares issued and outstanding at August 31, 2025, and 78,000 shares issued and outstanding at May 31, 2025</t>
  </si>
  <si>
    <t>Stockholders' equity:</t>
  </si>
  <si>
    <t>Common stock, $0.001 par value, 400,000,000 shares authorized, 278,584,101 shares issued and 269,292,902 shares outstanding at August 31, 2025, and 234,200,868 shares issued and 224,909,669 shares outstanding at May 31, 2025</t>
  </si>
  <si>
    <t>Treasury stock, 9,291,199 shares at August 31, 2025 and 9,291,199 shares at May 31, 2025, at cost</t>
  </si>
  <si>
    <t>Additional paid in capital</t>
  </si>
  <si>
    <t>Accumulated deficit</t>
  </si>
  <si>
    <t>Total stockholders’ equity attributable to Applied Digital Corporation</t>
  </si>
  <si>
    <t>TOTAL LIABILITIES, TEMPORARY EQUITY AND STOCKHOLDERS' EQUITY</t>
  </si>
  <si>
    <r>
      <t xml:space="preserve">Adjusted Income Statement </t>
    </r>
    <r>
      <rPr>
        <b/>
        <i/>
        <sz val="11"/>
        <color theme="0"/>
        <rFont val="Aptos Narrow"/>
        <family val="2"/>
        <scheme val="minor"/>
      </rPr>
      <t>in thousands</t>
    </r>
  </si>
  <si>
    <t>Fiscal Year Ending 31 May</t>
  </si>
  <si>
    <t>Q1</t>
  </si>
  <si>
    <t>LTM</t>
  </si>
  <si>
    <t>2023A</t>
  </si>
  <si>
    <t>2024A</t>
  </si>
  <si>
    <t>2025A</t>
  </si>
  <si>
    <t>31/08/2024</t>
  </si>
  <si>
    <t>31/08/2025</t>
  </si>
  <si>
    <t>Total revenue</t>
  </si>
  <si>
    <t>YoY growth</t>
  </si>
  <si>
    <t>COGS</t>
  </si>
  <si>
    <t>% of sales</t>
  </si>
  <si>
    <t>Gross Profit</t>
  </si>
  <si>
    <t>SG&amp;A</t>
  </si>
  <si>
    <t>D&amp;A</t>
  </si>
  <si>
    <t>EBIT</t>
  </si>
  <si>
    <t>Interest expense, net (3)</t>
  </si>
  <si>
    <t>EBT</t>
  </si>
  <si>
    <t>Income tax expense (benefit)</t>
  </si>
  <si>
    <t>Net loss from continuing operations</t>
  </si>
  <si>
    <t>Basic and diluted weighted average number of shares outstanding</t>
  </si>
  <si>
    <t>Diluted EPS</t>
  </si>
  <si>
    <t>Reported EBITDA</t>
  </si>
  <si>
    <t>Adjusted EBITDA</t>
  </si>
  <si>
    <t>Adjusted EBIT</t>
  </si>
  <si>
    <r>
      <t>Cash Flow Statement</t>
    </r>
    <r>
      <rPr>
        <b/>
        <i/>
        <sz val="11"/>
        <color theme="0"/>
        <rFont val="Aptos Narrow"/>
        <family val="2"/>
        <scheme val="minor"/>
      </rPr>
      <t xml:space="preserve"> in thousands </t>
    </r>
  </si>
  <si>
    <t>Net loss (company filings)</t>
  </si>
  <si>
    <t>Depreciation and amortization</t>
  </si>
  <si>
    <t>Stock-based compensation</t>
  </si>
  <si>
    <t>Lease expense</t>
  </si>
  <si>
    <t>Deferred income taxes</t>
  </si>
  <si>
    <t>Loss on extinguishment of debt</t>
  </si>
  <si>
    <t>Amortization of debt issuance costs</t>
  </si>
  <si>
    <t>Loss on conversion of debt</t>
  </si>
  <si>
    <t>Loss on change in fair value of related party debt</t>
  </si>
  <si>
    <t>Loss on change in fair value of warrants issued</t>
  </si>
  <si>
    <t>Loss on abandonment of assets</t>
  </si>
  <si>
    <t>Related party customer deposits</t>
  </si>
  <si>
    <t>Related party deferred revenue</t>
  </si>
  <si>
    <t>Lease assets and liabilities</t>
  </si>
  <si>
    <t>CASH FLOW (USED IN) PROVIDED BY OPERATING ACTIVITIES</t>
  </si>
  <si>
    <t>CASH FLOW FROM INVESTING ACTIVITIES</t>
  </si>
  <si>
    <t>Purchases of property and equipment and other assets</t>
  </si>
  <si>
    <t>Proceeds from sale of assets</t>
  </si>
  <si>
    <t>Finance lease prepayments</t>
  </si>
  <si>
    <t>Purchases of investments</t>
  </si>
  <si>
    <t>CASH FLOW USED IN INVESTING ACTIVITIES</t>
  </si>
  <si>
    <t>Repayment of finance leases</t>
  </si>
  <si>
    <t>Borrowings of long-term debt</t>
  </si>
  <si>
    <t>Borrowings of related party debt</t>
  </si>
  <si>
    <t>Repayment of long-term debt</t>
  </si>
  <si>
    <t>Repayment of related party debt</t>
  </si>
  <si>
    <t>Payment of deferred financing costs</t>
  </si>
  <si>
    <t>Payment of related party deferred financing costs</t>
  </si>
  <si>
    <t>Tax payments for restricted stock upon vesting</t>
  </si>
  <si>
    <t>Proceeds from issuance of common stock</t>
  </si>
  <si>
    <t>Common stock issuance costs</t>
  </si>
  <si>
    <t>Proceeds from issuance of preferred stock</t>
  </si>
  <si>
    <t>Preferred stock issuance costs</t>
  </si>
  <si>
    <t>Dividends issued on preferred stock</t>
  </si>
  <si>
    <t>Proceeds from issuance of SAFE agreement included in long-term debt</t>
  </si>
  <si>
    <t>Repurchase of shares</t>
  </si>
  <si>
    <t>Proceeds from convertible notes</t>
  </si>
  <si>
    <t>Purchase of capped call options</t>
  </si>
  <si>
    <t>Purchase of prepaid forward contract</t>
  </si>
  <si>
    <t>Noncontrolling interest contributions</t>
  </si>
  <si>
    <t>CASH FLOW PROVIDED BY FINANCING ACTIVITIES</t>
  </si>
  <si>
    <t>NET INCREASE (DECREASE) IN CASH, CASH EQUIVALENTS, AND RESTRICTED CASH</t>
  </si>
  <si>
    <t>CASH, CASH EQUIVALENTS, AND RESTRICTED CASH, BEGINNING OF PERIOD, INCLUDING CASH FROM DISCONTINUED OPERATIONS</t>
  </si>
  <si>
    <t>CASH, CASH EQUIVALENTS, AND RESTRICTED CASH, END OF PERIOD, INCLUDING CASH FROM DISCONTINUED OPERATIONS</t>
  </si>
  <si>
    <t>Less: CASH, CASH EQUIVALENTS, AND RESTRICTED CASH FROM DISCONTINUED OPERATIONS</t>
  </si>
  <si>
    <t>—</t>
  </si>
  <si>
    <t>CASH, CASH EQUIVALENTS, AND RESTRICTED CASH FROM CONTINUING OPERATIONS</t>
  </si>
  <si>
    <t xml:space="preserve">Capital Expenditures </t>
  </si>
  <si>
    <t>% sales</t>
  </si>
  <si>
    <t>Free Cash Flow</t>
  </si>
  <si>
    <t>% margin</t>
  </si>
  <si>
    <t>FCF/Share</t>
  </si>
  <si>
    <t>Depreciation &amp; Amortization</t>
  </si>
  <si>
    <t>LTM Return on Investment Ratios</t>
  </si>
  <si>
    <t xml:space="preserve">Trading Multiples </t>
  </si>
  <si>
    <t>Return on Invested Capital</t>
  </si>
  <si>
    <t>NFY</t>
  </si>
  <si>
    <t>NFY+1</t>
  </si>
  <si>
    <t>NFY+2</t>
  </si>
  <si>
    <t>NFY+3</t>
  </si>
  <si>
    <t>Return on Equity</t>
  </si>
  <si>
    <t>2026E</t>
  </si>
  <si>
    <t>2027E</t>
  </si>
  <si>
    <t>2028E</t>
  </si>
  <si>
    <t>2029E</t>
  </si>
  <si>
    <t>Return on Assets</t>
  </si>
  <si>
    <t>EV/Sales</t>
  </si>
  <si>
    <t>Implied Annual Dividend  Per Share</t>
  </si>
  <si>
    <t>%change</t>
  </si>
  <si>
    <t>EV/EBITDA</t>
  </si>
  <si>
    <t>LTM Credit Statistics</t>
  </si>
  <si>
    <t>Debt/Total Capitalisation</t>
  </si>
  <si>
    <t>EV/EBIT</t>
  </si>
  <si>
    <t>NM</t>
  </si>
  <si>
    <t>Total Debt/EBITDA</t>
  </si>
  <si>
    <t xml:space="preserve">% change </t>
  </si>
  <si>
    <t>Net Debt/EBITDA</t>
  </si>
  <si>
    <t>Market Cap/ Revenue</t>
  </si>
  <si>
    <t>Total Debt/Adjusted EBITDA</t>
  </si>
  <si>
    <t>Net Debt/Adjusted EBITDA</t>
  </si>
  <si>
    <t>PE</t>
  </si>
  <si>
    <t>EBITDA/Interest Expense</t>
  </si>
  <si>
    <t>(EBITDA-capex)/Interest Expense</t>
  </si>
  <si>
    <t>EBIT/Interest Expense</t>
  </si>
  <si>
    <t xml:space="preserve">EBITDA ADJUSTMENTS </t>
  </si>
  <si>
    <t>31/08/2026</t>
  </si>
  <si>
    <t>Net Income  (Loss)</t>
  </si>
  <si>
    <t>Add Interest exp.</t>
  </si>
  <si>
    <t xml:space="preserve">Add Income Tax Expense </t>
  </si>
  <si>
    <t>Add D&amp;A</t>
  </si>
  <si>
    <t>EBITDA (GAAP)</t>
  </si>
  <si>
    <t>Add Stock Based Comp</t>
  </si>
  <si>
    <t>Add Non recurring repairs</t>
  </si>
  <si>
    <t>Add Acquisition /disposition/integration exp</t>
  </si>
  <si>
    <t>Litigation exp</t>
  </si>
  <si>
    <t xml:space="preserve">Loss on abandonment of assets </t>
  </si>
  <si>
    <t>(Gain) loss on classification held for sale</t>
  </si>
  <si>
    <t>Loss on change in Fair value of debt</t>
  </si>
  <si>
    <t>Preferred dividends</t>
  </si>
  <si>
    <t>Other non-recurring expenses</t>
  </si>
  <si>
    <t>Share adjustements</t>
  </si>
  <si>
    <t>Stock Class</t>
  </si>
  <si>
    <t>LTM Dividend Paid</t>
  </si>
  <si>
    <t>Shares Outstanding</t>
  </si>
  <si>
    <t>LTM Dividend Per Share</t>
  </si>
  <si>
    <t>Common Stock</t>
  </si>
  <si>
    <t>Series E Pref</t>
  </si>
  <si>
    <t>Series E-1 Pref</t>
  </si>
  <si>
    <t>BAABTAVMT0NBTAFI/////wFQ3gAAACRDSVEuQVBMRC5JUV9URVZfVE9UQUxfUkVWX0ZXRC5GWTIwMjgBAAAAmWA2AAIAAAAQMTAuMjQ3NzQ3NDYyOTQ0MgENAAAABQAAAAE5AQAAAAcyNjQyNTE1AgAAAAoxMDA1NDI1NjY5AwAAAAYxMDAzMDcEAAAAATIGAAAAATAHAAAAAzE2MAgAAAABMAkAAAABMQoAAAABMAsAAAALMTQ2Mjg4MTU4NDMMAAAAATENAAAACDIvMy8yMDI2N9/5V2ti3gjJv0dYa2LeCCRDSVEuQVBMRC5JUV9URVZfVE9UQUxfUkVWX0ZXRC5GWTIwMjYBAAAAmWA2AAIAAAAQMzEuMTI0Mjk5NTY5NzMyNAENAAAABQAAAAE5AQAAAAcyNjQyNTE1AgAAAAoxMDA1NDA1MzIzAwAAAAYxMDAzMDcEAAAAATIGAAAAATAHAAAAAzE2MAgAAAABMAkAAAABMQoAAAABMAsAAAALMTQ2Mzg4NjM5OTQMAAAAATENAAAACDIvMy8yMDI2N9/5V2ti3gjJv0dYa2LeCCRDSVEuQVBMRC5JUV9URVZfVE9UQUxfUkVWX0ZXRC5GWTIwMjcBAAAAmWA2AAIAAAAPMjAuMTQ0MjQ0OTc1MzkyAQ0AAAAFAAAAATkBAAAABzI2NDI1MTUCAAAACjEwMDU0MjU2NjgDAAAABjEwMDMwNwQAAAABMgYAAAABMAcAAAADMTYwCAAAAAEwCQAAAAExCgAAAAEwCwAAAAsxNDYzMzI2MjYwNwwAAAABMQ0AAAAIMi8zLzIwMjY33/lXa2LeCI6SUVhrYt4IE0NJUS5WTk8uSVFfQkVUQV8yWVIBAAAASMUEAAIAAAAQMS4yNjM3NDkwNzE4NzYx</t>
  </si>
  <si>
    <t>NAA33/lXa2LeCMm/R1hrYt4IE0NJUS5ETFIuSVFfQkVUQV8yWVIBAAAARHyoAAIAAAARMC43NjIwMDI3Mzg2NTMzNzMAN9/5V2ti3gjJv0dYa2LeCBRDSVEuV1VMRi5JUV9CRVRBXzJZUgEAAAASRKhjAgAAABAzLjIwODE5ODcwMDc0NzE3ADff+VdrYt4IuvZJWGti3ggUQ0lRLk1BUkEuSVFfQkVUQV8yWVIBAAAA2MxwCQIAAAAQMi4zOTQxMDgzMjk5NTgxMQA33/lXa2LeCLr2SVhrYt4IFENJUS5SSU9ULklRX0JFVEFfMllSAQAAAEZkFwACAAAAEDIuNjA3ODM0MTUzNjcxNDYAN9/5V2ti3gjxgUtYa2LeCBNDSVEuSFVULklRX0JFVEFfMllSAQAAAILoOmQCAAAADjIuNjQ0Njk1NjQ1ODA0ADff+VdrYt4IX3pMWGti3ggUQ0lRLkhJVkUuSVFfQkVUQV8yWVIBAAAA2XQwAAIAAAAQMi45MjI0MzY4MTk0Njk0OAA33/lXa2LeCMm/R1hrYt4IN0NJUS5BUExELklRX0NVU1RPTV9CRVRBLjExLzMwLzIwMjQuMTEvMzAvMjAyNS5ELl5TUFguLkgBAAAAmWA2AAIAAAAQMi4yNDc5NzY4ODQyNDk5NgA33/lXa2LeCF96TFhrYt4IFENJUS5DUldWLklRX0JFVEFfMllSAQAAAMypHiQDAAAAAAA33/lXa2LeCE4OT1hrYt4IFENJUS5DTFNLLklRX0JFVEFfMllSAQAAAA7iCQMCAAAAEDIuNDA1MzYwMDA2ODE4ODQAN9/5V2ti3ghODk9Ya2LeCBRDSVEuQ09SWi5JUV9CRVRBXzJZUgEAAAA7lFIiAgAAABAyLjk0MTQ4NTQx</t>
  </si>
  <si>
    <t>MDE2NDM4ADff+VdrYt4ITg5PWGti3ggUQ0lRLkJJVEYuSVFfQkVUQV8yWVIBAAAAFd2VIAIAAAAQMi44NzM3Njc0NTI1MTc0NQA33/lXa2LeCN6XUFhrYt4IFENJUS5CVEJULklRX0JFVEFfMllSAQAAAFfCQiACAAAAEDIuMzQ5MDkzNzM3MTg3NDcAN9/5V2ti3giOklFYa2LeCBRDSVEuRVFJWC5JUV9CRVRBXzJZUgEAAAAqbgAAAgAAABAwLjY1NjM3NTI0ODYwODU3ADff+VdrYt4ITnFHWGti3ggUQ0lRLklSRU4uSVFfQkVUQV8yWVIBAAAAF5gYKgIAAAAQMi44Mzg0ODYzOTQyNjM3NgA33/lXa2LeCMYMTlhrYt4IFENJUS5BUExELklRX0JFVEFfMllSAQAAAJlgNgACAAAAEDMuMTI0ODA0NTAwMjMwMjgAN9/5V2ti3giOklFYa2LeCBxDSVEuRVFJWC5JUV9UT1RBTF9SRVYuRlkyMDI0AQAAACpuAAACAAAABDg3MzcBCAAAAAUAAAABMQEAAAALLTE5NjAxMzk0MDYDAAAAAzE2MAIAAAACMjgEAAAAATAHAAAACDIvMi8yMDI2CAAAAAoxMi8zMS8yMDI0CQAAAAEwN9/5V2ti3gjJv0dYa2LeCBdDSVEuRVFJWC5JUV9OSS5MVE0zMjAyNQEAAAAqbgAAAgAAAAQxMDcxAQgAAAAFAAAAATEBAAAACy0xOTE5ODE0OTY1AwAAAAMxNjACAAAAAjE1BAAAAAEwBwAAAAgyLzIvMjAyNggAAAAJOS8zMC8yMDI1CQAAAAEwN9/5V2ti3gjJv0dYa2LeCCFDSVEuQ0xTSy5JUV9CQVNJQ19FUFNfSU5DTC5GWTIwMjQBAAAADuIJ</t>
  </si>
  <si>
    <t>AwIAAAAJLTAuNjg3OTk0AQgAAAAFAAAAATEBAAAACy0xOTE0MzUxMjc1AwAAAAMxNjACAAAAATkEAAAAATAHAAAACDIvMi8yMDI2CAAAAAk5LzMwLzIwMjQJAAAAATA33/lXa2LeCMm/R1hrYt4IIUNJUS5JUkVOLklRX0JBU0lDX0VQU19JTkNMLkZZMjAyNAEAAAAXmBgqAgAAAAktMC4yOTAyNDIBCAAAAAUAAAABMQEAAAALLTE5MjcyMTQ0NjEDAAAAAzE2MAIAAAABOQQAAAABMAcAAAAIMi8yLzIwMjYIAAAACTYvMzAvMjAyNAkAAAABMDff+VdrYt4Iyb9HWGti3ggeQ0lRLldVTEYuSVFfVE9UQUxfUkVWLkxUTTMyMDI1AQAAABJEqGMCAAAABzE2Ny42MDQBCAAAAAUAAAABMQEAAAALLTE5MTc1MzIzODIDAAAAAzE2MAIAAAACMjgEAAAAATAHAAAACDIvMi8yMDI2CAAAAAk5LzMwLzIwMjUJAAAAATA33/lXa2LeCLr2SVhrYt4IFUNJUS5IVVQuSVFfUkVWLkZZMjAyMwEAAACC6DpkAgAAAAY2OS45NTgBCAAAAAUAAAABMQEAAAALLTE5NTczNTIxMzMDAAAAAzE2MAIAAAADMTEyBAAAAAEwBwAAAAgyLzIvMjAyNggAAAAKMTIvMzEvMjAyMwkAAAABMDff+VdrYt4IuvZJWGti3ggVQ0lRLkhJVkUuSVFfTkkuRlkyMDI0AQAAANl0MAACAAAABDI2LjUBCAAAAAUAAAABMQEAAAALLTE5MzcyMjQ4NTgDAAAAAzE2MAIAAAACMTUEAAAAATAHAAAACDIvMi8yMDI2CAAAAAkzLzMxLzIwMjQJAAAAATA33/lXa2LeCLr2</t>
  </si>
  <si>
    <t>SVhrYt4IGUNJUS5ISVZFLklRX0VCSVREQS5GWTIwMjQBAAAA2XQwAAIAAAAGOTYuNzIzAQgAAAAFAAAAATEBAAAACy0xOTM3MjI0ODU4AwAAAAMxNjACAAAABDQwNTEEAAAAATAHAAAACDIvMi8yMDI2CAAAAAkzLzMxLzIwMjQJAAAAATA33/lXa2LeCLr2SVhrYt4IFUNJUS5CSVRGLklRX05JLkZZMjAyNAEAAAAV3ZUgAgAAAActNTQuMDYzAQgAAAAFAAAAATEBAAAACy0xOTU0MTc2OTU1AwAAAAMxNjACAAAAAjE1BAAAAAEwBwAAAAgyLzIvMjAyNggAAAAKMTIvMzEvMjAyNAkAAAABMDff+VdrYt4IuvZJWGti3ggZQ0lRLkJJVEYuSVFfRUJJVERBLkZZMjAyNAEAAAAV3ZUgAgAAAAYzNC4yMzIBCAAAAAUAAAABMQEAAAALLTE5NTQxNzY5NTUDAAAAAzE2MAIAAAAENDA1MQQAAAABMAcAAAAIMi8yLzIwMjYIAAAACjEyLzMxLzIwMjQJAAAAATA33/lXa2LeCLr2SVhrYt4IF0NJUS5CVEJULklRX05JLkxUTTMyMDI1AQAAAFfCQiACAAAACjEzNy4wMTg4MDkBCAAAAAUAAAABMQEAAAALLTE5MTY2Njk2MjkDAAAAAzE2MAIAAAACMTUEAAAAATAHAAAACDIvMi8yMDI2CAAAAAk5LzMwLzIwMjUJAAAAATA33/lXa2LeCLr2SVhrYt4IGUNJUS5DT1JaLklRX0VCSVQuTFRNMzIwMjUBAAAAO5RSIgIAAAAILTE1Ni4wODQBCAAAAAUAAAABMQEAAAALLTE5MjA2OTk3NjIDAAAAAzE2MAIAAAADNDAwBAAAAAEwBwAAAAgy</t>
  </si>
  <si>
    <t>LzIvMjAyNggAAAAJOS8zMC8yMDI1CQAAAAEwN9/5V2ti3gi69klYa2LeCBdDSVEuQ09SWi5JUV9HUC5MVE0zMjAyNQEAAAA7lFIiAgAAAAYzNC4xMzUBCAAAAAUAAAABMQEAAAALLTE5MjA2OTk3NjIDAAAAAzE2MAIAAAACMTAEAAAAATAHAAAACDIvMi8yMDI2CAAAAAk5LzMwLzIwMjUJAAAAATA33/lXa2LeCLr2SVhrYt4IJENJUS5BUExELklRX1NUT0NLX0JBU0VEX1RPVEFMLkZZMjAyMwEAAACZYDYAAgAAAAYzMi4wNzIBCAAAAAUAAAABMQEAAAALLTE5MzQyNDM2NzMDAAAAAzE2MAIAAAAFMjQwMzQEAAAAATAHAAAACDIvMi8yMDI2CAAAAAk1LzMxLzIwMjMJAAAAATA33/lXa2LeCLr2SVhrYt4IG0NJUS5BUExELklRX0lOQ19UQVguRlExMjAyNgEAAACZYDYAAgAAAAUwLjAwOAEIAAAABQAAAAExAQAAAAstMTkyMjAwMjM4MgMAAAADMTYwAgAAAAI3NQQAAAABMAcAAAAIMi8yLzIwMjYIAAAACTgvMzEvMjAyNQkAAAABMDff+VdrYt4IjpJRWGti3ggfQ0lRLkFQTEQuSVFfSU5URVJFU1RfRVhQLkZZMjAyNQEAAACZYDYAAgAAAActMTQuNzM5AQgAAAAFAAAAATEBAAAACy0xOTM0MjQzNjY3AwAAAAMxNjACAAAAAjgyBAAAAAEwBwAAAAgyLzIvMjAyNggAAAAJNS8zMS8yMDI1CQAAAAEwN9/5V2ti3gi69klYa2LeCChDSVEuQVBMRC5JUV9DSEFOR0VfREVGX1RBWF9UT1RBTC5GUTEyMDI1AQAAAJlgNgAD</t>
  </si>
  <si>
    <t>AAAAAAA33/lXa2LeCLr2SVhrYt4IJENJUS5BUExELklRX05FVF9JTlRFUkVTVF9FWFAuRlExMjAyNQEAAACZYDYAAgAAAAYtMy4wMDMBCAAAAAUAAAABMQEAAAALLTE5MjIwMDIzOTEDAAAAAzE2MAIAAAADMzY4BAAAAAEwBwAAAAgyLzIvMjAyNggAAAAJOC8zMS8yMDI0CQAAAAEwN9/5V2ti3gi69klYa2LeCCNDSVEuQVBMRC5JUV9ORVRfSU5URVJFU1RfRVhQLkZZMjAyNAEAAACZYDYAAgAAAActMTcuNzA4AQgAAAAFAAAAATEBAAAACy0xOTM0MjQzNjM0AwAAAAMxNjACAAAAAzM2OAQAAAABMAcAAAAIMi8yLzIwMjYIAAAACTUvMzEvMjAyNAkAAAABMDff+VdrYt4IuvZJWGti3ggcQ0lRLkFQTEQuSVFfU0dBX1NVUFBMLkZZMjAyNAEAAACZYDYAAgAAAAU0NS4wMgEIAAAABQAAAAExAQAAAAstMTkzNDI0MzYzNAMAAAADMTYwAgAAAAMxMDIEAAAAATAHAAAACDIvMi8yMDI2CAAAAAk1LzMxLzIwMjQJAAAAATA33/lXa2LeCLr2SVhrYt4IGUNJUS5BUExELklRX0NPR1MuTFRNMTIwMjYBAAAAmWA2AAIAAAAHMTM0LjMxNAEIAAAABQAAAAExAQAAAAstMTkyMjAwMTYzNgMAAAADMTYwAgAAAAIzNAQAAAABMAcAAAAIMi8yLzIwMjYIAAAACTgvMzEvMjAyNQkAAAABMDff+VdrYt4IuvZJWGti3ggbQ0lRLlZOTy5JUV9UT1RBTF9SRVYuRlkyMDI0AQAAAEjFBAACAAAABzE5MDAuMTUBCAAAAAUAAAABMQEAAAAL</t>
  </si>
  <si>
    <t>LTE5NjA0NTU1MDUDAAAAAzE2MAIAAAACMjgEAAAAATAHAAAACDIvMi8yMDI2CAAAAAoxMi8zMS8yMDI0CQAAAAEwN9/5V2ti3gjel1BYa2LeCBhDSVEuRExSLklRX0VCSVREQS5GWTIwMjQBAAAARHyoAAIAAAAIMjQxMy44MDkBCAAAAAUAAAABMQEAAAALLTE5NTgzNTE3MDkDAAAAAzE2MAIAAAAENDA1MQQAAAABMAcAAAAIMi8yLzIwMjYIAAAACjEyLzMxLzIwMjQJAAAAATA33/lXa2LeCPGBS1hrYt4IG0NJUS5ETFIuSVFfVE9UQUxfUkVWLkZZMjAyNAEAAABEfKgAAgAAAAc1NDM0LjgzAQgAAAAFAAAAATEBAAAACy0xOTU4MzUxNzA5AwAAAAMxNjACAAAAAjI4BAAAAAEwBwAAAAgyLzIvMjAyNggAAAAKMTIvMzEvMjAyNAkAAAABMDff+VdrYt4I8YFLWGti3ggeQ0lRLkNSV1YuSVFfVE9UQUxfUkVWLkxUTTMyMDI1AQAAAMypHiQCAAAACDQzMDYuNTI2AQgAAAAFAAAAATEBAAAACy0xOTE2NzQ1NTYyAwAAAAMxNjACAAAAAjI4BAAAAAEwBwAAAAgyLzIvMjAyNggAAAAJOS8zMC8yMDI1CQAAAAEwN9/5V2ti3gjxgUtYa2LeCB5DSVEuQ0xTSy5JUV9UT1RBTF9SRVYuTFRNMzIwMjUBAAAADuIJAwIAAAAHNjMxLjkzNwEIAAAABQAAAAExAQAAAAstMTkzMjY5MjczMQMAAAADMTYwAgAAAAIyOAQAAAABMAcAAAAIMi8yLzIwMjYIAAAACTYvMzAvMjAyNQkAAAABMDff+VdrYt4I8YFLWGti3ggbQ0lRLklSRU4u</t>
  </si>
  <si>
    <t>SVFfRUJJVERBLkxUTTMyMDI1AQAAABeYGCoCAAAABzEzNy4xNTEBCAAAAAUAAAABMQEAAAALLTE5MTc2NTg0MzcDAAAAAzE2MAIAAAAENDA1MQQAAAABMAcAAAAIMi8yLzIwMjYIAAAACTMvMzEvMjAyNQkAAAABMDff+VdrYt4I8YFLWGti3ggeQ0lRLklSRU4uSVFfVE9UQUxfUkVWLkxUTTMyMDI1AQAAABeYGCoCAAAABzM3NC42MjkBCAAAAAUAAAABMQEAAAALLTE5MTc2NTg0MzcDAAAAAzE2MAIAAAACMjgEAAAAATAHAAAACDIvMi8yMDI2CAAAAAkzLzMxLzIwMjUJAAAAATA33/lXa2LeCPGBS1hrYt4IF0NJUS5XVUxGLklRX0dQLkxUTTMyMDI1AQAAABJEqGMCAAAABjg0LjIxMgEIAAAABQAAAAExAQAAAAstMTkxNzUzMjM4MgMAAAADMTYwAgAAAAIxMAQAAAABMAcAAAAIMi8yLzIwMjYIAAAACTkvMzAvMjAyNQkAAAABMDff+VdrYt4I8YFLWGti3ggeQ0lRLlJJT1QuSVFfVE9UQUxfUkVWLkxUTTMyMDI1AQAAAEZkFwACAAAABzYzNy4xNjIBCAAAAAUAAAABMQEAAAALLTE5MTk0MzQxNTYDAAAAAzE2MAIAAAACMjgEAAAAATAHAAAACDIvMi8yMDI2CAAAAAk5LzMwLzIwMjUJAAAAATA33/lXa2LeCPGBS1hrYt4IF0NJUS5NQVJBLklRX0dQLkxUTTMyMDI1AQAAANjMcAkCAAAABjQxMi40MwEIAAAABQAAAAExAQAAAAstMTkxODQ2NzI5NwMAAAADMTYwAgAAAAIxMAQAAAABMAcAAAAIMi8yLzIwMjYIAAAA</t>
  </si>
  <si>
    <t>CTkvMzAvMjAyNQkAAAABMDff+VdrYt4I8YFLWGti3ggcQ0lRLkhJVkUuSVFfVE9UQUxfUkVWLkZZMjAyMwEAAADZdDAAAgAAAAcxMDYuMzE4AQgAAAAFAAAAATEBAAAACy0xOTg4OTYxOTg3AwAAAAMxNjACAAAAAjI4BAAAAAEwBwAAAAgyLzIvMjAyNggAAAAJMy8zMS8yMDIzCQAAAAEwN9/5V2ti3ghfekxYa2LeCBdDSVEuSElWRS5JUV9FQklULkZZMjAyNAEAAADZdDAAAgAAAAYzNS4zMDUBCAAAAAUAAAABMQEAAAALLTE5MzcyMjQ4NTgDAAAAAzE2MAIAAAADNDAwBAAAAAEwBwAAAAgyLzIvMjAyNggAAAAJMy8zMS8yMDI0CQAAAAEwN9/5V2ti3ghfekxYa2LeCBxDSVEuQklURi5JUV9UT1RBTF9SRVYuRlkyMDIzAQAAABXdlSACAAAABzE0Ni4zNjYBCAAAAAUAAAABMQEAAAALLTE5NTQxNzY5NTcDAAAAAzE2MAIAAAACMjgEAAAAATAHAAAACDIvMi8yMDI2CAAAAAoxMi8zMS8yMDIzCQAAAAEwN9/5V2ti3ghfekxYa2LeCBtDSVEuQlRCVC5JUV9FQklUREEuTFRNMzIwMjQBAAAAV8JCIAIAAAAJMjMuODgwMzMzAQgAAAAFAAAAATEBAAAACy0xOTE2NjY5NjcxAwAAAAMxNjACAAAABDQwNTEEAAAAATAHAAAACDIvMi8yMDI2CAAAAAk5LzMwLzIwMjQJAAAAATA33/lXa2LeCF96TFhrYt4IHkNJUS5CVEJULklRX1RPVEFMX1JFVi5MVE0zMjAyNAEAAABXwkIgAgAAAAk5OC4wMDAyMDgBCAAAAAUAAAABMQEA</t>
  </si>
  <si>
    <t>AAALLTE5MTY2Njk2NzEDAAAAAzE2MAIAAAACMjgEAAAAATAHAAAACDIvMi8yMDI2CAAAAAk5LzMwLzIwMjQJAAAAATA33/lXa2LeCF96TFhrYt4IF0NJUS5DT1JaLklRX05JLkxUTTMyMDI1AQAAADuUUiICAAAACC03NjguMzA3AQgAAAAFAAAAATEBAAAACy0xOTIwNjk5NzYyAwAAAAMxNjACAAAAAjE1BAAAAAEwBwAAAAgyLzIvMjAyNggAAAAJOS8zMC8yMDI1CQAAAAEwN9/5V2ti3ghfekxYa2LeCCJDSVEuQ09SWi5JUV9FQklUREFfRVFfSU5DLkxUTTMyMDI1AQAAADuUUiICAAAABy01NC4wNTUBCAAAAAUAAAABMQEAAAALLTE5MjA2OTk3NjIDAAAAAzE2MAIAAAAFMjE2NzcEAAAAATAHAAAACDIvMi8yMDI2CAAAAAk5LzMwLzIwMjUJAAAAATA33/lXa2LeCF96TFhrYt4IJENJUS5BUExELklRX1NUT0NLX0JBU0VEX1RPVEFMLkZZMjAyNAEAAACZYDYAAgAAAAYxNy4zNjIBCAAAAAUAAAABMQEAAAALLTE5MzQyNDM2MzQDAAAAAzE2MAIAAAAFMjQwMzQEAAAAATAHAAAACDIvMi8yMDI2CAAAAAk1LzMxLzIwMjQJAAAAATA33/lXa2LeCF96TFhrYt4IHENJUS5BUExELklRX0lOQ19UQVguTFRNMTIwMjYBAAAAmWA2AAIAAAAEMC4xMQEIAAAABQAAAAExAQAAAAstMTkyMjAwMTYzNgMAAAADMTYwAgAAAAI3NQQAAAABMAcAAAAIMi8yLzIwMjYIAAAACTgvMzEvMjAyNQkAAAABMDff+VdrYt4IjpJRWGti3ggg</t>
  </si>
  <si>
    <t>Q0lRLkFQTEQuSVFfSU5URVJFU1RfRVhQLkZRMTIwMjUBAAAAmWA2AAIAAAAGLTMuMDAzAQgAAAAFAAAAATEBAAAACy0xOTIyMDAyMzkxAwAAAAMxNjACAAAAAjgyBAAAAAEwBwAAAAgyLzIvMjAyNggAAAAJOC8zMS8yMDI0CQAAAAEwN9/5V2ti3ghfekxYa2LeCChDSVEuQVBMRC5JUV9DSEFOR0VfREVGX1RBWF9UT1RBTC5GUTEyMDI2AQAAAJlgNgADAAAAAAA33/lXa2LeCF96TFhrYt4IJENJUS5BUExELklRX05FVF9JTlRFUkVTVF9FWFAuRlExMjAyNgEAAACZYDYAAgAAAAYtNS41MjIBCAAAAAUAAAABMQEAAAALLTE5MjIwMDIzODIDAAAAAzE2MAIAAAADMzY4BAAAAAEwBwAAAAgyLzIvMjAyNggAAAAJOC8zMS8yMDI1CQAAAAEwN9/5V2ti3ghfekxYa2LeCCNDSVEuQVBMRC5JUV9ORVRfSU5URVJFU1RfRVhQLkZZMjAyNQEAAACZYDYAAgAAAActMTQuNzM5AQgAAAAFAAAAATEBAAAACy0xOTM0MjQzNjY3AwAAAAMxNjACAAAAAzM2OAQAAAABMAcAAAAIMi8yLzIwMjYIAAAACTUvMzEvMjAyNQkAAAABMDff+VdrYt4IX3pMWGti3ggcQ0lRLkFQTEQuSVFfU0dBX1NVUFBMLkZZMjAyNQEAAACZYDYAAgAAAAY4My4wNjUBCAAAAAUAAAABMQEAAAALLTE5MzQyNDM2NjcDAAAAAzE2MAIAAAADMTAyBAAAAAEwBwAAAAgyLzIvMjAyNggAAAAJNS8zMS8yMDI1CQAAAAEwN9/5V2ti3ghfekxYa2LeCB5DSVEuQVBM</t>
  </si>
  <si>
    <t>RC5JUV9TR0FfU1VQUEwuTFRNMTIwMjYBAAAAmWA2AAIAAAAHMTAxLjIyNAEIAAAABQAAAAExAQAAAAstMTkyMjAwMTYzNgMAAAADMTYwAgAAAAMxMDIEAAAAATAHAAAACDIvMi8yMDI2CAAAAAk4LzMxLzIwMjUJAAAAATA33/lXa2LeCMYMTlhrYt4IGENJUS5WTk8uSVFfRUJJVERBLkZZMjAyNAEAAABIxQQAAgAAAAc4MjAuNzk5AQgAAAAFAAAAATEBAAAACy0xOTYwNDU1NTA1AwAAAAMxNjACAAAABDQwNTEEAAAAATAHAAAACDIvMi8yMDI2CAAAAAoxMi8zMS8yMDI0CQAAAAEwN9/5V2ti3gjel1BYa2LeCCFDSVEuRVFJWC5JUV9CQVNJQ19FUFNfSU5DTC5GWTIwMjQBAAAAKm4AAAIAAAAIOC41Mzc4NzUBCAAAAAUAAAABMQEAAAALLTE5NjAxMzk0MDYDAAAAAzE2MAIAAAABOQQAAAABMAcAAAAIMi8yLzIwMjYIAAAACjEyLzMxLzIwMjQJAAAAATA33/lXa2LeCF96TFhrYt4IGUNJUS5FUUlYLklRX0VCSVREQS5GWTIwMjQBAAAAKm4AAAIAAAAEMzYyNQEIAAAABQAAAAExAQAAAAstMTk2MDEzOTQwNgMAAAADMTYwAgAAAAQ0MDUxBAAAAAEwBwAAAAgyLzIvMjAyNggAAAAKMTIvMzEvMjAyNAkAAAABMDff+VdrYt4IX3pMWGti3ggXQ0lRLkNSV1YuSVFfR1AuTFRNMzIwMjUBAAAAzKkeJAIAAAAIMzE4MC40ODMBCAAAAAUAAAABMQEAAAALLTE5MTY3NDU1NjIDAAAAAzE2MAIAAAACMTAEAAAAATAHAAAACDIv</t>
  </si>
  <si>
    <t>Mi8yMDI2CAAAAAk5LzMwLzIwMjUJAAAAATA33/lXa2LeCF96TFhrYt4IGUNJUS5DTFNLLklRX0VCSVQuTFRNMzIwMjUBAAAADuIJAwIAAAAHMjYxLjQ2NgEIAAAABQAAAAExAQAAAAstMTkzMjY5MjczMQMAAAADMTYwAgAAAAM0MDAEAAAAATAHAAAACDIvMi8yMDI2CAAAAAk2LzMwLzIwMjUJAAAAATA33/lXa2LeCF96TFhrYt4IF0NJUS5DTFNLLklRX0dQLkxUTTMyMDI1AQAAAA7iCQMCAAAABzMyOC45NTMBCAAAAAUAAAABMQEAAAALLTE5MzI2OTI3MzEDAAAAAzE2MAIAAAACMTAEAAAAATAHAAAACDIvMi8yMDI2CAAAAAk2LzMwLzIwMjUJAAAAATA33/lXa2LeCF96TFhrYt4IGUNJUS5JUkVOLklRX0VCSVQuTFRNMzIwMjUBAAAAF5gYKgIAAAAGLTYuOTcxAQgAAAAFAAAAATEBAAAACy0xOTE3NjU4NDM3AwAAAAMxNjACAAAAAzQwMAQAAAABMAcAAAAIMi8yLzIwMjYIAAAACTMvMzEvMjAyNQkAAAABMDff+VdrYt4IX3pMWGti3ggXQ0lRLklSRU4uSVFfR1AuTFRNMzIwMjUBAAAAF5gYKgIAAAAHMjU0LjA5OAEIAAAABQAAAAExAQAAAAstMTkxNzY1ODQzNwMAAAADMTYwAgAAAAIxMAQAAAABMAcAAAAIMi8yLzIwMjYIAAAACTMvMzEvMjAyNQkAAAABMDff+VdrYt4Iyb9HWGti3ggbQ0lRLldVTEYuSVFfRUJJVERBLkxUTTMyMDI1AQAAABJEqGMCAAAABy0zNS4yNDkBCAAAAAUAAAABMQEAAAALLTE5MTc1</t>
  </si>
  <si>
    <t>MzIzODIDAAAAAzE2MAIAAAAENDA1MQQAAAABMAcAAAAIMi8yLzIwMjYIAAAACTkvMzAvMjAyNQkAAAABMDff+VdrYt4IuvZJWGti3ggZQ0lRLlJJT1QuSVFfRUJJVC5MVE0zMjAyNQEAAABGZBcAAgAAAAcxODIuMTcxAQgAAAAFAAAAATEBAAAACy0xOTE5NDM0MTU2AwAAAAMxNjACAAAAAzQwMAQAAAABMAcAAAAIMi8yLzIwMjYIAAAACTkvMzAvMjAyNQkAAAABMDff+VdrYt4IX3pMWGti3ggXQ0lRLlJJT1QuSVFfR1AuTFRNMzIwMjUBAAAARmQXAAIAAAAHMjUxLjk4NwEIAAAABQAAAAExAQAAAAstMTkxOTQzNDE1NgMAAAADMTYwAgAAAAIxMAQAAAABMAcAAAAIMi8yLzIwMjYIAAAACTkvMzAvMjAyNQkAAAABMDff+VdrYt4Iyb9HWGti3ggqQ0lRLk1BUkEuSVFfRUJJVERBX0xFQVNFX0FESlVTVEVELkxUTTMyMDI1AQAAANjMcAkCAAAACDEyMzcuODE4AQgAAAAFAAAAATEBAAAACy0xOTE4NDY3Mjk3AwAAAAMxNjACAAAABTQ4OTkzBAAAAAEwBwAAAAgyLzIvMjAyNggAAAAJOS8zMC8yMDI1CQAAAAEwN9/5V2ti3gjJv0dYa2LeCB5DSVEuTUFSQS5JUV9UT1RBTF9SRVYuTFRNMzIwMjUBAAAA2MxwCQIAAAAHOTE5LjE3MwEIAAAABQAAAAExAQAAAAstMTkxODQ2NzI5NwMAAAADMTYwAgAAAAIyOAQAAAABMAcAAAAIMi8yLzIwMjYIAAAACTkvMzAvMjAyNQkAAAABMDff+VdrYt4I8YFLWGti3ggeQ0lRLkNP</t>
  </si>
  <si>
    <t>UlouSVFfVE9UQUxfUkVWLkxUTTMyMDI0AQAAADuUUiICAAAABzU1Ny42NzYBCAAAAAUAAAABMQEAAAALLTE5MjA2OTk3NjQDAAAAAzE2MAIAAAACMjgEAAAAATAHAAAACDIvMi8yMDI2CAAAAAk5LzMwLzIwMjQJAAAAATA33/lXa2LeCF96TFhrYt4IJENJUS5BUExELklRX1NUT0NLX0JBU0VEX1RPVEFMLkZZMjAyNQEAAACZYDYAAgAAAAYyMi43MDQBCAAAAAUAAAABMQEAAAALLTE5MzQyNDM2NjcDAAAAAzE2MAIAAAAFMjQwMzQEAAAAATAHAAAACDIvMi8yMDI2CAAAAAk1LzMxLzIwMjUJAAAAATA33/lXa2LeCMm/R1hrYt4IGENJUS5BUExELklRX0RBX0NGLkZZMjAyMwEAAACZYDYAAgAAAAU3LjYxNAEIAAAABQAAAAExAQAAAAstMTkzNDI0MzY3MwMAAAADMTYwAgAAAAQyMTYwBAAAAAEwBwAAAAgyLzIvMjAyNggAAAAJNS8zMS8yMDIzCQAAAAEwN9/5V2ti3ghODk9Ya2LeCCBDSVEuQVBMRC5JUV9JTlRFUkVTVF9FWFAuRlExMjAyNgEAAACZYDYAAgAAAAYtNS41MjIBCAAAAAUAAAABMQEAAAALLTE5MjIwMDIzODIDAAAAAzE2MAIAAAACODIEAAAAATAHAAAACDIvMi8yMDI2CAAAAAk4LzMxLzIwMjUJAAAAATA33/lXa2LeCPGBS1hrYt4IHUNJUS5BUExELklRX1NHQV9TVVBQTC5GUTEyMDI1AQAAAJlgNgACAAAABjEwLjk5MwEIAAAABQAAAAExAQAAAAstMTkyMjAwMjM5MQMAAAADMTYwAgAAAAMxMDIE</t>
  </si>
  <si>
    <t>AAAAATAHAAAACDIvMi8yMDI2CAAAAAk4LzMxLzIwMjQJAAAAATA33/lXa2LeCPGBS1hrYt4IIENJUS5WTk8uSVFfQkFTSUNfRVBTX0lOQ0wuRlkyMDI0AQAAAEjFBAACAAAACDAuMDQzNDI5AQgAAAAFAAAAATEBAAAACy0xOTYwNDU1NTA1AwAAAAMxNjACAAAAATkEAAAAATAHAAAACDIvMi8yMDI2CAAAAAoxMi8zMS8yMDI0CQAAAAEwN9/5V2ti3gjGDE5Ya2LeCCBDSVEuRExSLklRX0JBU0lDX0VQU19JTkNMLkZZMjAyNAEAAABEfKgAAgAAAAgxLjczNzQwNgEIAAAABQAAAAExAQAAAAstMTk1ODM1MTcwOQMAAAADMTYwAgAAAAE5BAAAAAEwBwAAAAgyLzIvMjAyNggAAAAKMTIvMzEvMjAyNAkAAAABMDff+VdrYt4IxgxOWGti3ggXQ0lRLkNSV1YuSVFfTkkuTFRNMzIwMjUBAAAAzKkeJAIAAAAILTc2Ni42NDYBCAAAAAUAAAABMQEAAAALLTE5MTY3NDU1NjIDAAAAAzE2MAIAAAACMTUEAAAAATAHAAAACDIvMi8yMDI2CAAAAAk5LzMwLzIwMjUJAAAAATA33/lXa2LeCMYMTlhrYt4IG0NJUS5DUldWLklRX0VCSVREQS5MVE0zMjAyNQEAAADMqR4kAgAAAAgyMTg0LjEzOQEIAAAABQAAAAExAQAAAAstMTkxNjc0NTU2MgMAAAADMTYwAgAAAAQ0MDUxBAAAAAEwBwAAAAgyLzIvMjAyNggAAAAJOS8zMC8yMDI1CQAAAAEwN9/5V2ti3gjGDE5Ya2LeCBdDSVEuQ0xTSy5JUV9OSS5MVE0zMjAyNQEAAAAO4gkDAgAA</t>
  </si>
  <si>
    <t>AAYzMDMuMjEBCAAAAAUAAAABMQEAAAALLTE5MzI2OTI3MzEDAAAAAzE2MAIAAAACMTUEAAAAATAHAAAACDIvMi8yMDI2CAAAAAk2LzMwLzIwMjUJAAAAATA33/lXa2LeCMYMTlhrYt4IG0NJUS5DTFNLLklRX0VCSVREQS5MVE0zMjAyNQEAAAAO4gkDAgAAAAc1NTMuMzI0AQgAAAAFAAAAATEBAAAACy0xOTMyNjkyNzMxAwAAAAMxNjACAAAABDQwNTEEAAAAATAHAAAACDIvMi8yMDI2CAAAAAk2LzMwLzIwMjUJAAAAATA33/lXa2LeCMYMTlhrYt4IF0NJUS5JUkVOLklRX05JLkxUTTMyMDI1AQAAABeYGCoCAAAABy0zNS42MzIBCAAAAAUAAAABMQEAAAALLTE5MTc2NTg0MzcDAAAAAzE2MAIAAAACMTUEAAAAATAHAAAACDIvMi8yMDI2CAAAAAkzLzMxLzIwMjUJAAAAATA33/lXa2LeCMYMTlhrYt4IHENJUS5XVUxGLklRX1RPVEFMX1JFVi5GWTIwMjQBAAAAEkSoYwIAAAAHMTQwLjA1MQEIAAAABQAAAAExAQAAAAstMTk1NzE0MjkyNwMAAAADMTYwAgAAAAIyOAQAAAABMAcAAAAIMi8yLzIwMjYIAAAACjEyLzMxLzIwMjQJAAAAATA33/lXa2LeCMYMTlhrYt4IGUNJUS5XVUxGLklRX0VCSVQuTFRNMzIwMjUBAAAAEkSoYwIAAAAILTEwOC4zNTUBCAAAAAUAAAABMQEAAAALLTE5MTc1MzIzODIDAAAAAzE2MAIAAAADNDAwBAAAAAEwBwAAAAgyLzIvMjAyNggAAAAJOS8zMC8yMDI1CQAAAAEwN9/5V2ti3gjGDE5Y</t>
  </si>
  <si>
    <t>a2LeCBdDSVEuUklPVC5JUV9OSS5MVE0zMjAyNQEAAABGZBcAAgAAAAcxNjQuMDAyAQgAAAAFAAAAATEBAAAACy0xOTE5NDM0MTU2AwAAAAMxNjACAAAAAjE1BAAAAAEwBwAAAAgyLzIvMjAyNggAAAAJOS8zMC8yMDI1CQAAAAEwN9/5V2ti3gjGDE5Ya2LeCCpDSVEuUklPVC5JUV9FQklUREFfTEVBU0VfQURKVVNURUQuTFRNMzIwMjUBAAAARmQXAAIAAAAHNTE1LjAzNQEIAAAABQAAAAExAQAAAAstMTkxOTQzNDE1NgMAAAADMTYwAgAAAAU0ODk5MwQAAAABMAcAAAAIMi8yLzIwMjYIAAAACTkvMzAvMjAyNQkAAAABMDff+VdrYt4IxgxOWGti3ggZQ0lRLk1BUkEuSVFfRUJJVC5MVE0zMjAyNQEAAADYzHAJAgAAAAc1MDUuMDU2AQgAAAAFAAAAATEBAAAACy0xOTE4NDY3Mjk3AwAAAAMxNjACAAAAAzQwMAQAAAABMAcAAAAIMi8yLzIwMjYIAAAACTkvMzAvMjAyNQkAAAABMDff+VdrYt4IxgxOWGti3gghQ0lRLkhJVkUuSVFfQkFTSUNfRVBTX0lOQ0wuRlkyMDI0AQAAANl0MAACAAAACDAuMjk0NDI3AQgAAAAFAAAAATEBAAAACy0xOTM3MjI0ODU4AwAAAAMxNjACAAAAATkEAAAAATAHAAAACDIvMi8yMDI2CAAAAAkzLzMxLzIwMjQJAAAAATA33/lXa2LeCMYMTlhrYt4IGUNJUS5ISVZFLklRX0VCSVREQS5GWTIwMjMBAAAA2XQwAAIAAAAHLTQ1Ljk5MgEIAAAABQAAAAExAQAAAAstMTk4ODk2MTk4NwMAAAAD</t>
  </si>
  <si>
    <t>MTYwAgAAAAQ0MDUxBAAAAAEwBwAAAAgyLzIvMjAyNggAAAAJMy8zMS8yMDIzCQAAAAEwN9/5V2ti3gjGDE5Ya2LeCCFDSVEuQklURi5JUV9CQVNJQ19FUFNfSU5DTC5GWTIwMjQBAAAAFd2VIAIAAAAJLTAuMTMwMzc1AQgAAAAFAAAAATEBAAAACy0xOTU0MTc2OTU1AwAAAAMxNjACAAAAATkEAAAAATAHAAAACDIvMi8yMDI2CAAAAAoxMi8zMS8yMDI0CQAAAAEwN9/5V2ti3gjGDE5Ya2LeCBlDSVEuQklURi5JUV9FQklUREEuRlkyMDIzAQAAABXdlSACAAAABjIwLjc3MwEIAAAABQAAAAExAQAAAAstMTk1NDE3Njk1NwMAAAADMTYwAgAAAAQ0MDUxBAAAAAEwBwAAAAgyLzIvMjAyNggAAAAKMTIvMzEvMjAyMwkAAAABMDff+VdrYt4ITg5PWGti3gglQ0lRLkFQTEQuSVFfU1RPQ0tfQkFTRURfVE9UQUwuRlExMjAyNQEAAACZYDYAAgAAAAYtMi45MTkBCAAAAAUAAAABMQEAAAALLTE5MjIwMDIzOTEDAAAAAzE2MAIAAAAFMjQwMzQEAAAAATAHAAAACDIvMi8yMDI2CAAAAAk4LzMxLzIwMjQJAAAAATA33/lXa2LeCE4OT1hrYt4IGENJUS5BUExELklRX0RBX0NGLkZZMjAyNAEAAACZYDYAAgAAAAU3OS4zNgEIAAAABQAAAAExAQAAAAstMTkzNDI0MzYzNAMAAAADMTYwAgAAAAQyMTYwBAAAAAEwBwAAAAgyLzIvMjAyNggAAAAJNS8zMS8yMDI0CQAAAAEwN9/5V2ti3gjel1BYa2LeCCFDSVEuQVBMRC5JUV9JTlRF</t>
  </si>
  <si>
    <t>UkVTVF9FWFAuTFRNMTIwMjYBAAAAmWA2AAIAAAAHLTE3LjI1OAEIAAAABQAAAAExAQAAAAstMTkyMjAwMTYzNgMAAAADMTYwAgAAAAI4MgQAAAABMAcAAAAIMi8yLzIwMjYIAAAACTgvMzEvMjAyNQkAAAABMDff+VdrYt4ITg5PWGti3ggsQ0lRLkFQTEQuSVFfUkVUVVJOX0lOVkVTVEVEX0NBUElUQUwuTFRNMTIwMjYBAAAAmWA2AAIAAAAILTE5LjcwODcAN9/5V2ti3ghODk9Ya2LeCBpDSVEuQVBMRC5JUV9JTkNfVEFYLkZZMjAyNQEAAACZYDYAAgAAAAUwLjEwMgEIAAAABQAAAAExAQAAAAstMTkzNDI0MzY2NwMAAAADMTYwAgAAAAI3NQQAAAABMAcAAAAIMi8yLzIwMjYIAAAACTUvMzEvMjAyNQkAAAABMDff+VdrYt4IjpJRWGti3ggaQ0lRLkFQTEQuSVFfSU5DX1RBWC5GWTIwMjMBAAAAmWA2AAIAAAAGLTAuNTIzAQgAAAAFAAAAATEBAAAACy0xOTM0MjQzNjczAwAAAAMxNjACAAAAAjc1BAAAAAEwBwAAAAgyLzIvMjAyNggAAAAJNS8zMS8yMDIzCQAAAAEwN9/5V2ti3gjel1BYa2LeCB1DSVEuQVBMRC5JUV9TR0FfU1VQUEwuRlExMjAyNgEAAACZYDYAAgAAAAYyOS4xNTIBCAAAAAUAAAABMQEAAAALLTE5MjIwMDIzODIDAAAAAzE2MAIAAAADMTAyBAAAAAEwBwAAAAgyLzIvMjAyNggAAAAJOC8zMS8yMDI1CQAAAAEwN9/5V2ti3ghODk9Ya2LeCB1DSVEuQVBMRC5JUV9UT1RBTF9SRVYuRlExMjAyNgEA</t>
  </si>
  <si>
    <t>AACZYDYAAgAAAAY2NC4yMTYBCAAAAAUAAAABMQEAAAALLTE5MjIwMDIzODIDAAAAAzE2MAIAAAACMjgEAAAAATAHAAAACDIvMi8yMDI2CAAAAAk4LzMxLzIwMjUJAAAAATA33/lXa2LeCE4OT1hrYt4IFUNJUS5CSVRGLklRX0dQLkZZMjAyNAEAAAAV3ZUgAgAAAActMzIuMzU5AQgAAAAFAAAAATEBAAAACy0xOTU0MTc2OTU1AwAAAAMxNjACAAAAAjEwBAAAAAEwBwAAAAgyLzIvMjAyNggAAAAKMTIvMzEvMjAyNAkAAAABMDff+VdrYt4Iyb9HWGti3ggZQ0lRLkJUQlQuSVFfRUJJVC5MVE0zMjAyNQEAAABXwkIgAgAAAAoxMjguMzYyMTA0AQgAAAAFAAAAATEBAAAACy0xOTE2NjY5NjI5AwAAAAMxNjACAAAAAzQwMAQAAAABMAcAAAAIMi8yLzIwMjYIAAAACTkvMzAvMjAyNQkAAAABMDff+VdrYt4Iyb9HWGti3ggbQ0lRLkFQTEQuSVFfSU5DX1RBWC5GUTEyMDI1AQAAAJlgNgADAAAAAAA33/lXa2LeCN6XUFhrYt4IJ0NJUS5BUExELklRX0NIQU5HRV9ERUZfVEFYX1RPVEFMLkZZMjAyNAEAAACZYDYAAwAAAAAAN9/5V2ti3gjJv0dYa2LeCBxDSVEuQVBMRC5JUV9TR0FfU1VQUEwuRlkyMDIzAQAAAJlgNgACAAAABjUzLjkxNQEIAAAABQAAAAExAQAAAAstMTkzNDI0MzY3MwMAAAADMTYwAgAAAAMxMDIEAAAAATAHAAAACDIvMi8yMDI2CAAAAAk1LzMxLzIwMjMJAAAAATA33/lXa2LeCMm/R1hrYt4IJUNJUS5B</t>
  </si>
  <si>
    <t>UExELklRX05FVF9JTlRFUkVTVF9FWFAuTFRNMTIwMjYBAAAAmWA2AAIAAAAHLTE3LjI1OAEIAAAABQAAAAExAQAAAAstMTkyMjAwMTYzNgMAAAADMTYwAgAAAAMzNjgEAAAAATAHAAAACDIvMi8yMDI2CAAAAAk4LzMxLzIwMjUJAAAAATA33/lXa2LeCMm/R1hrYt4IHkNJUS5FUUlYLklRX1RPVEFMX1JFVi5MVE0zMjAyNQEAAAAqbgAAAgAAAAQ5MDc2AQgAAAAFAAAAATEBAAAACy0xOTE5ODE0OTY1AwAAAAMxNjACAAAAAjI4BAAAAAEwBwAAAAgyLzIvMjAyNggAAAAJOS8zMC8yMDI1CQAAAAEwN9/5V2ti3ghODk9Ya2LeCBlDSVEuQ1JXVi5JUV9FQklULkxUTTMyMDI1AQAAAMypHiQCAAAABzE4NS4yNjMBCAAAAAUAAAABMQEAAAALLTE5MTY3NDU1NjIDAAAAAzE2MAIAAAADNDAwBAAAAAEwBwAAAAgyLzIvMjAyNggAAAAJOS8zMC8yMDI1CQAAAAEwN9/5V2ti3ghODk9Ya2LeCBlDSVEuSVJFTi5JUV9FQklUREEuRlkyMDI0AQAAABeYGCoCAAAABjMxLjIxMgEIAAAABQAAAAExAQAAAAstMTkyNzIxNDQ2MQMAAAADMTYwAgAAAAQ0MDUxBAAAAAEwBwAAAAgyLzIvMjAyNggAAAAJNi8zMC8yMDI0CQAAAAEwN9/5V2ti3ghODk9Ya2LeCBxDSVEuSVJFTi5JUV9UT1RBTF9SRVYuRlkyMDI0AQAAABeYGCoCAAAABzE4Ny4xOTIBCAAAAAUAAAABMQEAAAALLTE5MjcyMTQ0NjEDAAAAAzE2MAIAAAACMjgEAAAAATAH</t>
  </si>
  <si>
    <t>AAAACDIvMi8yMDI2CAAAAAk2LzMwLzIwMjQJAAAAATA33/lXa2LeCE4OT1hrYt4IF0NJUS5XVUxGLklRX05JLkxUTTMyMDI1AQAAABJEqGMCAAAACC01NjQuMDM0AQgAAAAFAAAAATEBAAAACy0xOTE3NTMyMzgyAwAAAAMxNjACAAAAAjE1BAAAAAEwBwAAAAgyLzIvMjAyNggAAAAJOS8zMC8yMDI1CQAAAAEwN9/5V2ti3ghODk9Ya2LeCBxDSVEuUklPVC5JUV9UT1RBTF9SRVYuRlkyMDI0AQAAAEZkFwACAAAABzM3Ni42NTgBCAAAAAUAAAABMQEAAAALLTE5NTczNzU0NzUDAAAAAzE2MAIAAAACMjgEAAAAATAHAAAACDIvMi8yMDI2CAAAAAoxMi8zMS8yMDI0CQAAAAEwN9/5V2ti3ghODk9Ya2LeCBdDSVEuTUFSQS5JUV9OSS5MVE0zMjAyNQEAAADYzHAJAgAAAAc5MjYuNjkyAQgAAAAFAAAAATEBAAAACy0xOTE4NDY3Mjk3AwAAAAMxNjACAAAAAjE1BAAAAAEwBwAAAAgyLzIvMjAyNggAAAAJOS8zMC8yMDI1CQAAAAEwN9/5V2ti3ghODk9Ya2LeCCFDSVEuSElWRS5JUV9CQVNJQ19FUFNfSU5DTC5GWTIwMjMBAAAA2XQwAAIAAAAJLTIuODUyODk0AQgAAAAFAAAAATEBAAAACy0xOTg4OTYxOTg3AwAAAAMxNjACAAAAATkEAAAAATAHAAAACDIvMi8yMDI2CAAAAAkzLzMxLzIwMjMJAAAAATA33/lXa2LeCE4OT1hrYt4IIUNJUS5CSVRGLklRX0JBU0lDX0VQU19JTkNMLkZZMjAyMwEAAAAV3ZUgAgAAAAktMC40</t>
  </si>
  <si>
    <t>MTUzNTYBCAAAAAUAAAABMQEAAAALLTE5NTQxNzY5NTcDAAAAAzE2MAIAAAABOQQAAAABMAcAAAAIMi8yLzIwMjYIAAAACjEyLzMxLzIwMjMJAAAAATA33/lXa2LeCE4OT1hrYt4II0NJUS5CVEJULklRX0JBU0lDX0VQU19JTkNMLkxUTTMyMDI0AQAAAFfCQiACAAAACS0wLjAyMjA0MwEIAAAABQAAAAExAQAAAAstMTkxNjY2OTY3MQMAAAADMTYwAgAAAAE5BAAAAAEwBwAAAAgyLzIvMjAyNggAAAAJOS8zMC8yMDI0CQAAAAEwN9/5V2ti3ghODk9Ya2LeCBtDSVEuQ09SWi5JUV9FQklUREEuTFRNMzIwMjQBAAAAO5RSIgIAAAAHMTUxLjE0OAEIAAAABQAAAAExAQAAAAstMTkyMDY5OTc2NAMAAAADMTYwAgAAAAQ0MDUxBAAAAAEwBwAAAAgyLzIvMjAyNggAAAAJOS8zMC8yMDI0CQAAAAEwN9/5V2ti3gjel1BYa2LeCCVDSVEuQVBMRC5JUV9TVE9DS19CQVNFRF9UT1RBTC5GUTEyMDI2AQAAAJlgNgACAAAABjE1LjQ2NQEIAAAABQAAAAExAQAAAAstMTkyMjAwMjM4MgMAAAADMTYwAgAAAAUyNDAzNAQAAAABMAcAAAAIMi8yLzIwMjYIAAAACTgvMzEvMjAyNQkAAAABMDff+VdrYt4I3pdQWGti3ggYQ0lRLkFQTEQuSVFfREFfQ0YuRlkyMDI1AQAAAJlgNgACAAAABjk3Ljk0NQEIAAAABQAAAAExAQAAAAstMTkzNDI0MzY2NwMAAAADMTYwAgAAAAQyMTYwBAAAAAEwBwAAAAgyLzIvMjAyNggAAAAJNS8zMS8yMDI1</t>
  </si>
  <si>
    <t>CQAAAAEwN9/5V2ti3gjel1BYa2LeCCVDSVEuQVBMRC5JUV9SRVRVUk5fRVFVSVRZX0ZTLkxUTTEyMDI2AQAAAJlgNgACAAAACC0yOC43NTU3AQgAAAAFAAAAATEBAAAACy0xOTIyMDAxNjM2AwAAAAMxNjACAAAABDQxMjgEAAAAATAHAAAACDIvMi8yMDI2CAAAAAk4LzMxLzIwMjUJAAAAATA33/lXa2LeCN6XUFhrYt4IGkNJUS5BUExELklRX0lOQ19UQVguRlkyMDI0AQAAAJlgNgACAAAABTAuMDk2AQgAAAAFAAAAATEBAAAACy0xOTM0MjQzNjM0AwAAAAMxNjACAAAAAjc1BAAAAAEwBwAAAAgyLzIvMjAyNggAAAAJNS8zMS8yMDI0CQAAAAEwN9/5V2ti3gjel1BYa2LeCBdDSVEuQVBMRC5JUV9DT0dTLkZZMjAyNAEAAACZYDYAAgAAAAcxMDYuNjUzAQgAAAAFAAAAATEBAAAACy0xOTM0MjQzNjM0AwAAAAMxNjACAAAAAjM0BAAAAAEwBwAAAAgyLzIvMjAyNggAAAAJNS8zMS8yMDI0CQAAAAEwN9/5V2ti3gjel1BYa2LeCB5DSVEuQVBMRC5JUV9UT1RBTF9SRVYuTFRNMTIwMjYBAAAAmWA2AAIAAAAGMTczLjU2AQgAAAAFAAAAATEBAAAACy0xOTIyMDAxNjM2AwAAAAMxNjACAAAAAjI4BAAAAAEwBwAAAAgyLzIvMjAyNggAAAAJOC8zMS8yMDI1CQAAAAEwN9/5V2ti3gjel1BYa2LeCBRDSVEuVk5PLklRX05JLkZZMjAyNAEAAABIxQQAAgAAAAY3MC4zODcBCAAAAAUAAAABMQEAAAALLTE5NjA0NTU1MDUDAAAA</t>
  </si>
  <si>
    <t>AzE2MAIAAAACMTUEAAAAATAHAAAACDIvMi8yMDI2CAAAAAoxMi8zMS8yMDI0CQAAAAEwN9/5V2ti3ghOcUdYa2LeCCFDSVEuQ0xTSy5JUV9CQVNJQ19FUFNfSU5DTC5GWTIwMjUBAAAADuIJAwIAAAAHMS4yNTIxMQEIAAAABQAAAAExAQAAAAstMTkxNDM1MTI3MwMAAAADMTYwAgAAAAE5BAAAAAEwBwAAAAgyLzIvMjAyNggAAAAJOS8zMC8yMDI1CQAAAAEwN9/5V2ti3gjJv0dYa2LeCBdDSVEuRVFJWC5JUV9HUC5MVE0zMjAyNQEAAAAqbgAAAgAAAAQ0NTcwAQgAAAAFAAAAATEBAAAACy0xOTE5ODE0OTY1AwAAAAMxNjACAAAAAjEwBAAAAAEwBwAAAAgyLzIvMjAyNggAAAAJOS8zMC8yMDI1CQAAAAEwN9/5V2ti3gjel1BYa2LeCB1DSVEuRExSLklRX1RPVEFMX1JFVi5MVE0zMjAyNQEAAABEfKgAAgAAAAg1ODQxLjAzNgEIAAAABQAAAAExAQAAAAstMTkxOTEzNjkxNgMAAAADMTYwAgAAAAIyOAQAAAABMAcAAAAIMi8yLzIwMjYIAAAACTkvMzAvMjAyNQkAAAABMDff+VdrYt4I3pdQWGti3ggZQ0lRLkNMU0suSVFfRUJJVERBLkZZMjAyNAEAAAAO4gkDAgAAAAY5NS4zNjYBCAAAAAUAAAABMQEAAAALLTE5MTQzNTEyNzUDAAAAAzE2MAIAAAAENDA1MQQAAAABMAcAAAAIMi8yLzIwMjYIAAAACTkvMzAvMjAyNAkAAAABMDff+VdrYt4I3pdQWGti3ggcQ0lRLkNMU0suSVFfVE9UQUxfUkVWLkZZMjAyNAEAAAAO</t>
  </si>
  <si>
    <t>4gkDAgAAAAczNzguOTY4AQgAAAAFAAAAATEBAAAACy0xOTE0MzUxMjc1AwAAAAMxNjACAAAAAjI4BAAAAAEwBwAAAAgyLzIvMjAyNggAAAAJOS8zMC8yMDI0CQAAAAEwN9/5V2ti3ghODk9Ya2LeCBlDSVEuV1VMRi5JUV9FQklUREEuRlkyMDI0AQAAABJEqGMCAAAABTYuNTE2AQgAAAAFAAAAATEBAAAACy0xOTU3MTQyOTI3AwAAAAMxNjACAAAABDQwNTEEAAAAATAHAAAACDIvMi8yMDI2CAAAAAoxMi8zMS8yMDI0CQAAAAEwN9/5V2ti3ghODk9Ya2LeCBlDSVEuTUFSQS5JUV9FQklUREEuRlkyMDI0AQAAANjMcAkCAAAABjc3Mi44NAEIAAAABQAAAAExAQAAAAstMTk1NzE3NzIxMAMAAAADMTYwAgAAAAQ0MDUxBAAAAAEwBwAAAAgyLzIvMjAyNggAAAAKMTIvMzEvMjAyNAkAAAABMDff+VdrYt4I3pdQWGti3ggcQ0lRLk1BUkEuSVFfVE9UQUxfUkVWLkZZMjAyNAEAAADYzHAJAgAAAAc2NTYuMzc4AQgAAAAFAAAAATEBAAAACy0xOTU3MTc3MjEwAwAAAAMxNjACAAAAAjI4BAAAAAEwBwAAAAgyLzIvMjAyNggAAAAKMTIvMzEvMjAyNAkAAAABMDff+VdrYt4I3pdQWGti3ggbQ0lRLkFQTEQuSVFfRUJJVERBLkxUTTEyMDI2AQAAAJlgNgACAAAABTUuODQ4AQgAAAAFAAAAATEBAAAACy0xOTIyMDAxNjM2AwAAAAMxNjACAAAABDQwNTEEAAAAATAHAAAACDIvMi8yMDI2CAAAAAk4LzMxLzIwMjUJAAAAATA33/lX</t>
  </si>
  <si>
    <t>a2LeCE4OT1hrYt4IJkNJUS5BUExELklRX1NUT0NLX0JBU0VEX1RPVEFMLkxUTTEyMDI2AQAAAJlgNgACAAAABjQxLjA4OAEIAAAABQAAAAExAQAAAAstMTkyMjAwMTYzNgMAAAADMTYwAgAAAAUyNDAzNAQAAAABMAcAAAAIMi8yLzIwMjYIAAAACTgvMzEvMjAyNQkAAAABMDff+VdrYt4IjpJRWGti3ggZQ0lRLkFQTEQuSVFfREFfQ0YuRlExMjAyNQEAAACZYDYAAgAAAAYzNC4yNzEBCAAAAAUAAAABMQEAAAALLTE5MjIwMDIzOTEDAAAAAzE2MAIAAAAEMjE2MAQAAAABMAcAAAAIMi8yLzIwMjYIAAAACTgvMzEvMjAyNAkAAAABMDff+VdrYt4IjpJRWGti3ggZQ0lRLkFQTEQuSVFfREFfQ0YuRlExMjAyNgEAAACZYDYAAgAAAAU0LjE1MgEIAAAABQAAAAExAQAAAAstMTkyMjAwMjM4MgMAAAADMTYwAgAAAAQyMTYwBAAAAAEwBwAAAAgyLzIvMjAyNggAAAAJOC8zMS8yMDI1CQAAAAEwN9/5V2ti3giOklFYa2LeCBdDSVEuQVBMRC5JUV9DT0dTLkZZMjAyNQEAAACZYDYAAgAAAAcxMDEuNDUxAQgAAAAFAAAAATEBAAAACy0xOTM0MjQzNjY3AwAAAAMxNjACAAAAAjM0BAAAAAEwBwAAAAgyLzIvMjAyNggAAAAJNS8zMS8yMDI1CQAAAAEwN9/5V2ti3gjJv0dYa2LeCBdDSVEuQVBMRC5JUV9DT0dTLkZZMjAyMwEAAACZYDYAAgAAAAY0NC4zODgBCAAAAAUAAAABMQEAAAALLTE5MzQyNDM2NzMDAAAAAzE2MAIAAAAC</t>
  </si>
  <si>
    <t>MzQEAAAAATAHAAAACDIvMi8yMDI2CAAAAAk1LzMxLzIwMjMJAAAAATA33/lXa2LeCI6SUVhrYt4IGkNJUS5ETFIuSVFfRUJJVERBLkxUTTMyMDI1AQAAAER8qAACAAAACDI2NjIuOTYxAQgAAAAFAAAAATEBAAAACy0xOTE5MTM2OTE2AwAAAAMxNjACAAAABDQwNTEEAAAAATAHAAAACDIvMi8yMDI2CAAAAAk5LzMwLzIwMjUJAAAAATA33/lXa2LeCMm/R1hrYt4IIUNJUS5XVUxGLklRX0JBU0lDX0VQU19JTkNMLkZZMjAyNAEAAAASRKhjAgAAAAktMC4yMDYxMzMBCAAAAAUAAAABMQEAAAALLTE5NTcxNDI5MjcDAAAAAzE2MAIAAAABOQQAAAABMAcAAAAIMi8yLzIwMjYIAAAACjEyLzMxLzIwMjQJAAAAATA33/lXa2LeCMm/R1hrYt4IIUNJUS5NQVJBLklRX0JBU0lDX0VQU19JTkNMLkZZMjAyNAEAAADYzHAJAgAAAAgxLjg2NjYzNAEIAAAABQAAAAExAQAAAAstMTk1NzE3NzIxMAMAAAADMTYwAgAAAAE5BAAAAAEwBwAAAAgyLzIvMjAyNggAAAAKMTIvMzEvMjAyNAkAAAABMDff+VdrYt4Iyb9HWGti3ggXQ0lRLkJJVEYuSVFfRUJJVC5GWTIwMjQBAAAAFd2VIAIAAAAILTEwMy41OTkBCAAAAAUAAAABMQEAAAALLTE5NTQxNzY5NTUDAAAAAzE2MAIAAAADNDAwBAAAAAEwBwAAAAgyLzIvMjAyNggAAAAKMTIvMzEvMjAyNAkAAAABMDff+VdrYt4Iyb9HWGti3ggXQ0lRLkJUQlQuSVFfR1AuTFRNMzIwMjUBAAAA</t>
  </si>
  <si>
    <t>V8JCIAIAAAAJNTIuMDM0ODk1AQgAAAAFAAAAATEBAAAACy0xOTE2NjY5NjI5AwAAAAMxNjACAAAAAjEwBAAAAAEwBwAAAAgyLzIvMjAyNggAAAAJOS8zMC8yMDI1CQAAAAEwN9/5V2ti3gjJv0dYa2LeCB5DSVEuQ09SWi5JUV9UT1RBTF9SRVYuTFRNMzIwMjUBAAAAO5RSIgIAAAAHMzM0LjE4MQEIAAAABQAAAAExAQAAAAstMTkyMDY5OTc2MgMAAAADMTYwAgAAAAIyOAQAAAABMAcAAAAIMi8yLzIwMjYIAAAACTkvMzAvMjAyNQkAAAABMDff+VdrYt4Iyb9HWGti3ggfQ0lRLkFQTEQuSVFfSU5URVJFU1RfRVhQLkZZMjAyNAEAAACZYDYAAgAAAActMTcuNzA4AQgAAAAFAAAAATEBAAAACy0xOTM0MjQzNjM0AwAAAAMxNjACAAAAAjgyBAAAAAEwBwAAAAgyLzIvMjAyNggAAAAJNS8zMS8yMDI0CQAAAAEwN9/5V2ti3gjJv0dYa2LeCCNDSVEuQVBMRC5JUV9ORVRfSU5URVJFU1RfRVhQLkZZMjAyMwEAAACZYDYAAgAAAAYtMi4wMDYBCAAAAAUAAAABMQEAAAALLTE5MzQyNDM2NzMDAAAAAzE2MAIAAAADMzY4BAAAAAEwBwAAAAgyLzIvMjAyNggAAAAJNS8zMS8yMDIzCQAAAAEwN9/5V2ti3gjJv0dYa2LeCClDSVEuQVBMRC5JUV9DSEFOR0VfREVGX1RBWF9UT1RBTC5MVE0xMjAyNgEAAACZYDYAAwAAAAAAN9/5V2ti3gjGDE5Ya2LeCBZDSVEuVk5PLklRX0VCSVQuRlkyMDI0AQAAAEjFBAACAAAABzM3Ni4zMzQB</t>
  </si>
  <si>
    <t>CAAAAAUAAAABMQEAAAALLTE5NjA0NTU1MDUDAAAAAzE2MAIAAAADNDAwBAAAAAEwBwAAAAgyLzIvMjAyNggAAAAKMTIvMzEvMjAyNAkAAAABMDff+VdrYt4I8YFLWGti3ggUQ0lRLlZOTy5JUV9HUC5GWTIwMjQBAAAASMUEAAIAAAAHOTcyLjM1NAEIAAAABQAAAAExAQAAAAstMTk2MDQ1NTUwNQMAAAADMTYwAgAAAAIxMAQAAAABMAcAAAAIMi8yLzIwMjYIAAAACjEyLzMxLzIwMjQJAAAAATA33/lXa2LeCE4OT1hrYt4IG0NJUS5FUUlYLklRX0VCSVREQS5MVE0zMjAyNQEAAAAqbgAAAgAAAAQzOTAwAQgAAAAFAAAAATEBAAAACy0xOTE5ODE0OTY1AwAAAAMxNjACAAAABDQwNTEEAAAAATAHAAAACDIvMi8yMDI2CAAAAAk5LzMwLzIwMjUJAAAAATA33/lXa2LeCI6SUVhrYt4IGENJUS5ETFIuSVFfRUJJVC5MVE0zMjAyNQEAAABEfKgAAgAAAAc4MDEuMDI4AQgAAAAFAAAAATEBAAAACy0xOTE5MTM2OTE2AwAAAAMxNjACAAAAAzQwMAQAAAABMAcAAAAIMi8yLzIwMjYIAAAACTkvMzAvMjAyNQkAAAABMDff+VdrYt4Iyb9HWGti3ggWQ0lRLkRMUi5JUV9HUC5MVE0zMjAyNQEAAABEfKgAAgAAAAgzMjAxLjI0NQEIAAAABQAAAAExAQAAAAstMTkxOTEzNjkxNgMAAAADMTYwAgAAAAIxMAQAAAABMAcAAAAIMi8yLzIwMjYIAAAACTkvMzAvMjAyNQkAAAABMDff+VdrYt4IxgxOWGti3gghQ0lRLlJJT1QuSVFfQkFT</t>
  </si>
  <si>
    <t>SUNfRVBTX0lOQ0wuRlkyMDI0AQAAAEZkFwACAAAACDAuMzk2NDA5AQgAAAAFAAAAATEBAAAACy0xOTU3Mzc1NDc1AwAAAAMxNjACAAAAATkEAAAAATAHAAAACDIvMi8yMDI2CAAAAAoxMi8zMS8yMDI0CQAAAAEwN9/5V2ti3ghODk9Ya2LeCBlDSVEuUklPVC5JUV9FQklUREEuRlkyMDI0AQAAAEZkFwACAAAABzMwNC4zOTcBCAAAAAUAAAABMQEAAAALLTE5NTczNzU0NzUDAAAAAzE2MAIAAAAENDA1MQQAAAABMAcAAAAIMi8yLzIwMjYIAAAACjEyLzMxLzIwMjQJAAAAATA33/lXa2LeCMYMTlhrYt4IHUNJUS5IVVQuSVFfVE9UQUxfUkVWLkxUTTMyMDI1AQAAAILoOmQCAAAABzE3OC4zMTgBCAAAAAUAAAABMQEAAAALLTE5MTg1NzYyOTADAAAAAzE2MAIAAAACMjgEAAAAATAHAAAACDIvMi8yMDI2CAAAAAk5LzMwLzIwMjUJAAAAATA33/lXa2LeCI6SUVhrYt4IHENJUS5ISVZFLklRX1RPVEFMX1JFVi5GWTIwMjQBAAAA2XQwAAIAAAAHMTE0LjQ2NQEIAAAABQAAAAExAQAAAAstMTkzNzIyNDg1OAMAAAADMTYwAgAAAAIyOAQAAAABMAcAAAAIMi8yLzIwMjYIAAAACTMvMzEvMjAyNAkAAAABMDff+VdrYt4IjpJRWGti3ggcQ0lRLkJJVEYuSVFfVE9UQUxfUkVWLkZZMjAyNAEAAAAV3ZUgAgAAAAcxOTIuODgxAQgAAAAFAAAAATEBAAAACy0xOTU0MTc2OTU1AwAAAAMxNjACAAAAAjI4BAAAAAEwBwAAAAgyLzIv</t>
  </si>
  <si>
    <t>MjAyNggAAAAKMTIvMzEvMjAyNAkAAAABMDff+VdrYt4IjpJRWGti3ggbQ0lRLkJUQlQuSVFfRUJJVERBLkxUTTMyMDI1AQAAAFfCQiACAAAACjE2Mi4xOTkwODkBCAAAAAUAAAABMQEAAAALLTE5MTY2Njk2MjkDAAAAAzE2MAIAAAAENDA1MQQAAAABMAcAAAAIMi8yLzIwMjYIAAAACTkvMzAvMjAyNQkAAAABMDff+VdrYt4IjpJRWGti3ggeQ0lRLkJUQlQuSVFfVE9UQUxfUkVWLkxUTTMyMDI1AQAAAFfCQiACAAAACjEwNS43MDMxNDMBCAAAAAUAAAABMQEAAAALLTE5MTY2Njk2MjkDAAAAAzE2MAIAAAACMjgEAAAAATAHAAAACDIvMi8yMDI2CAAAAAk5LzMwLzIwMjUJAAAAATA33/lXa2LeCI6SUVhrYt4IH0NJUS5BUExELklRX0lOVEVSRVNUX0VYUC5GWTIwMjMBAAAAmWA2AAIAAAAGLTIuMDA2AQgAAAAFAAAAATEBAAAACy0xOTM0MjQzNjczAwAAAAMxNjACAAAAAjgyBAAAAAEwBwAAAAgyLzIvMjAyNggAAAAJNS8zMS8yMDIzCQAAAAEwN9/5V2ti3giOklFYa2LeCBpDSVEuQVBMRC5JUV9EQV9DRi5MVE0xMjAyNgEAAACZYDYAAgAAAAY2Ny44MjYBCAAAAAUAAAABMQEAAAALLTE5MjIwMDE2MzYDAAAAAzE2MAIAAAAEMjE2MAQAAAABMAcAAAAIMi8yLzIwMjYIAAAACTgvMzEvMjAyNQkAAAABMDff+VdrYt4IjpJRWGti3ggYQ0lRLkFQTEQuSVFfQ09HUy5GUTEyMDI1AQAAAJlgNgACAAAABjIyLjc0MwEI</t>
  </si>
  <si>
    <t>AAAABQAAAAExAQAAAAstMTkyMjAwMjM5MQMAAAADMTYwAgAAAAIzNAQAAAABMAcAAAAIMi8yLzIwMjYIAAAACTgvMzEvMjAyNAkAAAABMDff+VdrYt4IjpJRWGti3ggZQ0lRLkVRSVguSVFfRUJJVC5MVE0zMjAyNQEAAAAqbgAAAgAAAAQxODc5AQgAAAAFAAAAATEBAAAACy0xOTE5ODE0OTY1AwAAAAMxNjACAAAAAzQwMAQAAAABMAcAAAAIMi8yLzIwMjYIAAAACTkvMzAvMjAyNQkAAAABMDff+VdrYt4ITnFHWGti3ggWQ0lRLkRMUi5JUV9OSS5MVE0zMjAyNQEAAABEfKgAAgAAAAgxMzk5LjUxMQEIAAAABQAAAAExAQAAAAstMTkxOTEzNjkxNgMAAAADMTYwAgAAAAIxNQQAAAABMAcAAAAIMi8yLzIwMjYIAAAACTkvMzAvMjAyNQkAAAABMDff+VdrYt4Iyb9HWGti3gghQ0lRLklSRU4uSVFfQkFTSUNfRVBTX0lOQ0wuRlkyMDI1AQAAABeYGCoCAAAACDAuNDA1MTU1AQgAAAAFAAAAATEBAAAACy0xOTI3MjE0NDI0AwAAAAMxNjACAAAAATkEAAAAATAHAAAACDIvMi8yMDI2CAAAAAk2LzMwLzIwMjUJAAAAATA33/lXa2LeCMm/R1hrYt4IFkNJUS5IVVQuSVFfR1AuTFRNMzIwMjUBAAAAgug6ZAIAAAAFODUuMjQBCAAAAAUAAAABMQEAAAALLTE5MTg1NzYyOTADAAAAAzE2MAIAAAACMTAEAAAAATAHAAAACDIvMi8yMDI2CAAAAAk5LzMwLzIwMjUJAAAAATA33/lXa2LeCMm/R1hrYt4IFUNJUS5ISVZFLklRX0dQ</t>
  </si>
  <si>
    <t>LkZZMjAyNAEAAADZdDAAAgAAAAYzNy41MjIBCAAAAAUAAAABMQEAAAALLTE5MzcyMjQ4NTgDAAAAAzE2MAIAAAACMTAEAAAAATAHAAAACDIvMi8yMDI2CAAAAAkzLzMxLzIwMjQJAAAAATA33/lXa2LeCMm/R1hrYt4IJ0NJUS5BUExELklRX0NIQU5HRV9ERUZfVEFYX1RPVEFMLkZZMjAyMwEAAACZYDYAAgAAAAUtMC41NAEIAAAABQAAAAExAQAAAAstMTkzNDI0MzY3MwMAAAADMTYwAgAAAAUzMDkyNAQAAAABMAcAAAAIMi8yLzIwMjYIAAAACTUvMzEvMjAyMwkAAAABMDff+VdrYt4Iyb9HWGti3ggYQ0lRLkFQTEQuSVFfQ09HUy5GUTEyMDI2AQAAAJlgNgACAAAABjU1LjYwNgEIAAAABQAAAAExAQAAAAstMTkyMjAwMjM4MgMAAAADMTYwAgAAAAIzNAQAAAABMAcAAAAIMi8yLzIwMjYIAAAACTgvMzEvMjAyNQkAAAABMDff+VdrYt4Iyb9HWGti3ggdQ0lRLkFQTEQuSVFfVE9UQUxfUkVWLkZRMTIwMjUBAAAAmWA2AAIAAAAGMzQuODQ5AQgAAAAFAAAAATEBAAAACy0xOTIyMDAyMzkxAwAAAAMxNjACAAAAAjI4BAAAAAEwBwAAAAgyLzIvMjAyNggAAAAJOC8zMS8yMDI0CQAAAAEwN9/5V2ti3gjJv0dYa2LeCBlDSVEuVk5PLklRX0VQU19FU1QuRlkyMDI3AQAAAEjFBAACAAAABS0wLjA1AQ4AAAAFAAAAATMBAAAABzI2NjMwMDICAAAACjEwMDI1Mjg4NzYDAAAABjEwMDI3OAQAAAABMgYAAAABMAcAAAADMTYw</t>
  </si>
  <si>
    <t>CAAAAAEwCQAAAAExCgAAAAEwCwAAAAsxNDYzOTA2NDA2NwwAAAABMQ0AAAAIMi8zLzIwMjYQAAAACDIvMi8yMDI2N9/5V2ti3ggNG0dYa2LeCB1DSVEuVk5PLklRX1JFVkVOVUVfRVNULkZZMjAyNgEAAABIxQQAAgAAAAoxODEzLjY0MTc1AQ4AAAAFAAAAATMBAAAAATACAAAACjEwMDI1Mjg4NzUDAAAABjEwMDE4MAQAAAABMgYAAAABMAcAAAADMTYwCAAAAAEwCQAAAAExCgAAAAEwCwAAAAsxNDYzNzI3NjU1NwwAAAABMQ0AAAAIMi8zLzIwMjYQAAAACDIvMi8yMDI2N9/5V2ti3gjJv0dYa2LeCBpDSVEuQ0xTSy5JUV9FUFNfRVNULkZZMjAyNwEAAAAO4gkDAgAAAAUwLjkzNQEOAAAABQAAAAEzAQAAAAg2MTUzMTM4OQIAAAAKMTAwNDQ4NjA3OAMAAAAGMTAwMjc4BAAAAAEyBgAAAAEwBwAAAAMxNjAIAAAAATAJAAAAATEKAAAAATALAAAACzE0NjM2NzU5MTA1DAAAAAExDQAAAAgyLzMvMjAyNhAAAAAIMi8yLzIwMjY33/lXa2LeCMm/R1hrYt4IGkNJUS5JUkVOLklRX0VQU19FU1QuRlkyMDI3AQAAABeYGCoCAAAABzEuMDU5NjkBDgAAAAUAAAABMwEAAAAKMTY4NjI2NDA5NgIAAAAKMTAwNTU3NTI4NAMAAAAGMTAwMjc4BAAAAAEyBgAAAAEwBwAAAAMxNjAIAAAAATAJAAAAATEKAAAAATALAAAACzE0NjMzNjgxODM1DAAAAAExDQAAAAgyLzMvMjAyNhAAAAAIMi8yLzIwMjY33/lXa2LeCMm/R1hrYt4IGkNJ</t>
  </si>
  <si>
    <t>US5SSU9ULklRX0VQU19FU1QuRlkyMDI3AQAAAEZkFwACAAAACC0wLjU4MjE3AQ4AAAAFAAAAATMBAAAABzQyNzY3NzcCAAAACjEwMDA0NjY2MDgDAAAABjEwMDI3OAQAAAABMgYAAAABMAcAAAADMTYwCAAAAAEwCQAAAAExCgAAAAEwCwAAAAsxNDYzMzcyNjU3NwwAAAABMQ0AAAAIMi8zLzIwMjYQAAAACDIvMi8yMDI2N9/5V2ti3gi69klYa2LeCBhDSVEuTUFSQS5JUV9FUFNfRVNULjYwMDABAAAA2MxwCQIAAAAHLTAuNTgxNgEOAAAABQAAAAIxMQEAAAAJMTYyNzUxMjQ2AgAAAAc0OTk4Njk0AwAAAAYxMDAyNzgEAAAAATIGAAAAATAHAAAAAzE2MAgAAAABMAkAAAABMQoAAAABMAsAAAALMTQ2MTczOTg1MTMMAAAAAjEyDQAAAAgyLzMvMjAyNhAAAAAIMi8yLzIwMjY33/lXa2LeCLr2SVhrYt4IHkNJUS5FUUlYLklRX1JFVkVOVUVfRVNULkZZMjAyNgEAAAAqbgAAAgAAAAsxMDA3NC4yOTk0MQEOAAAABQAAAAEzAQAAAAEwAgAAAAoxMDAyMjkzNTg1AwAAAAYxMDAxODAEAAAAATIGAAAAATAHAAAAAzE2MAgAAAABMAkAAAABMQoAAAABMAsAAAALMTQ2MzY3NTEzNzkMAAAAATENAAAACDIvMy8yMDI2EAAAAAgyLzIvMjAyNjff+VdrYt4IxgxOWGti3ggaQ0lRLkNMU0suSVFfRVBTX0VTVC5GWTIwMjYBAAAADuIJAwIAAAAHMC43MjY2NwEOAAAABQAAAAEzAQAAAAg2MTUzMTM4OQIAAAAKMTAwNDQ4NjA3MwMA</t>
  </si>
  <si>
    <t>AAAGMTAwMjc4BAAAAAEyBgAAAAEwBwAAAAMxNjAIAAAAATAJAAAAATEKAAAAATALAAAACzE0NjM2NzU5NDI5DAAAAAExDQAAAAgyLzMvMjAyNhAAAAAIMi8yLzIwMjY33/lXa2LeCPGBS1hrYt4IHENJUS5WTk8uSVFfRUJJVERBX0VTVC5GWTIwMjYBAAAASMUEAAIAAAAJNjk4Ljc2Mzc4AQ4AAAAFAAAAATMBAAAAATACAAAACjEwMDI1Mjg4NzUDAAAABjEwMDE4NwQAAAABMgYAAAABMAcAAAADMTYwCAAAAAEwCQAAAAExCgAAAAEwCwAAAAsxNDYzNzI3NjQ5NwwAAAABMQ0AAAAIMi8zLzIwMjYQAAAACDIvMi8yMDI2N9/5V2ti3gjGDE5Ya2LeCB1DSVEuRExSLklRX1JFVkVOVUVfRVNULkZZMjAyNgEAAABEfKgAAgAAAAo2NzMyLjM1MTM1AQ4AAAAFAAAAATMBAAAAATACAAAACjEwMDIzMTcwNjADAAAABjEwMDE4MAQAAAABMgYAAAABMAcAAAADMTYwCAAAAAEwCQAAAAExCgAAAAEwCwAAAAsxNDYzOTM4ODg2NgwAAAABMQ0AAAAIMi8zLzIwMjYQAAAACDIvMi8yMDI2N9/5V2ti3ghfekxYa2LeCB5DSVEuSElWRS5JUV9SRVZFTlVFX0VTVC5GWTIwMjUBAAAA2XQwAAIAAAAJMTE1Ljk3ODYyAQ4AAAAFAAAAATMBAAAAATACAAAACjEwMDM5NzY3NDcDAAAABjEwMDE4MAQAAAABMwYAAAABMAcAAAADMTYwCAAAAAEwCQAAAAExCgAAAAEwCwAAAAsxNDM1MjQ1NjgxMQwAAAABMQ0AAAAIMi8zLzIwMjYQAAAACTMv</t>
  </si>
  <si>
    <t>MzEvMjAyNTff+VdrYt4IX3pMWGti3ggdQ0lRLkJJVEYuSVFfRUJJVERBX0VTVC5GWTIwMjUBAAAAFd2VIAIAAAAINjQuNDcxNzUBDgAAAAUAAAABMwEAAAABMAIAAAAKMTAwNDk3MzYzMwMAAAAGMTAwMTg3BAAAAAEzBgAAAAEwBwAAAAMxNjAIAAAAATAJAAAAATEKAAAAATALAAAACzE0NjM2OTAyNTYxDAAAAAExDQAAAAgyLzMvMjAyNhAAAAAKMTIvMzEvMjAyNTff+VdrYt4IX3pMWGti3ggeQ0lRLkJJVEYuSVFfUkVWRU5VRV9FU1QuRlkyMDI1AQAAABXdlSACAAAABzI3Ni41NTUBDgAAAAUAAAABMwEAAAABMAIAAAAKMTAwNDk3MzYzMwMAAAAGMTAwMTgwBAAAAAEzBgAAAAEwBwAAAAMxNjAIAAAAATAJAAAAATEKAAAAATALAAAACzE0NjM2OTAyNTg1DAAAAAExDQAAAAgyLzMvMjAyNhAAAAAKMTIvMzEvMjAyNTff+VdrYt4Iyb9HWGti3ggdQ0lRLkJUQlQuSVFfRUJJVERBX0VTVC5GWTIwMjYBAAAAV8JCIAIAAAAIODYuMDE2ODcBDgAAAAUAAAABMwEAAAABMAIAAAAKMTAwNTI4Mjg2MgMAAAAGMTAwMTg3BAAAAAEyBgAAAAEwBwAAAAMxNjAIAAAAATAJAAAAATEKAAAAATALAAAACzE0NjEyMjk1MDgwDAAAAAExDQAAAAgyLzMvMjAyNhAAAAAIMi8yLzIwMjY33/lXa2LeCPGBS1hrYt4IHkNJUS5CVEJULklRX1JFVkVOVUVfRVNULkZZMjAyNgEAAABXwkIgAgAAAAkyMTMuMDc2NzUBDgAAAAUAAAABMwEA</t>
  </si>
  <si>
    <t>AAABMAIAAAAKMTAwNTI4Mjg2MgMAAAAGMTAwMTgwBAAAAAEyBgAAAAEwBwAAAAMxNjAIAAAAATAJAAAAATEKAAAAATALAAAACzE0NjEyMjk0ODgwDAAAAAExDQAAAAgyLzMvMjAyNhAAAAAIMi8yLzIwMjY33/lXa2LeCMm/R1hrYt4IGkNJUS5FUUlYLklRX0VQU19FU1QuRlkyMDI2AQAAACpuAAACAAAACDE1LjEyMjI2AQ4AAAAFAAAAATMBAAAACTI4MzQ1NDMwNAIAAAAKMTAwMjI5MzU4NQMAAAAGMTAwMjc4BAAAAAEyBgAAAAEwBwAAAAMxNjAIAAAAATAJAAAAATEKAAAAATALAAAACzE0NjM2NzUxNjU1DAAAAAExDQAAAAgyLzMvMjAyNhAAAAAIMi8yLzIwMjY33/lXa2LeCMYMTlhrYt4IGkNJUS5CVEJULklRX0VQU19FU1QuRlkyMDI0AQAAAFfCQiACAAAABy0wLjA2NzUBDgAAAAUAAAABMwEAAAAJNTU1NzQ0MjQyAgAAAAoxMDA1MjgyODYwAwAAAAYxMDAyNzgEAAAAATIGAAAAATAHAAAAAzE2MAgAAAABMAkAAAABMQoAAAABMAsAAAALMTQwOTUxNTA2MTgMAAAAATENAAAACDIvMy8yMDI2EAAAAAoxMi8zMS8yMDI0N9/5V2ti3ghODk9Ya2LeCB1DSVEuQ09SWi5JUV9FQklUREFfRVNULkZZMjAyNgEAAAA7lFIiAgAAAAkzMjkuMDIwNzEBDgAAAAUAAAABMwEAAAABMAIAAAAKMTAwNTUyMTM3NwMAAAAGMTAwMTg3BAAAAAEyBgAAAAEwBwAAAAMxNjAIAAAAATAJAAAAATEKAAAAATALAAAACzE0NjM0MDgy</t>
  </si>
  <si>
    <t>Nzk2DAAAAAExDQAAAAgyLzMvMjAyNhAAAAAIMi8yLzIwMjY33/lXa2LeCE4OT1hrYt4IHkNJUS5DT1JaLklRX1JFVkVOVUVfRVNULkZZMjAyNgEAAAA7lFIiAgAAAAk3NzAuNjI4NTMBDgAAAAUAAAABMwEAAAABMAIAAAAKMTAwNTUyMTM3NwMAAAAGMTAwMTgwBAAAAAEyBgAAAAEwBwAAAAMxNjAIAAAAATAJAAAAATEKAAAAATALAAAACzE0NjM0MDgzMDE4DAAAAAExDQAAAAgyLzMvMjAyNhAAAAAIMi8yLzIwMjY33/lXa2LeCE4OT1hrYt4IGkNJUS5JUkVOLklRX0VQU19FU1QuRlkyMDI2AQAAABeYGCoCAAAABzEuMDU2MzUBDgAAAAUAAAABMwEAAAAKMTY4NjI2NDA5NgIAAAAKMTAwNTU3NTI4MwMAAAAGMTAwMjc4BAAAAAEyBgAAAAEwBwAAAAMxNjAIAAAAATAJAAAAATEKAAAAATALAAAACzE0NjMzNjgxODY2DAAAAAExDQAAAAgyLzMvMjAyNhAAAAAIMi8yLzIwMjY33/lXa2LeCMm/R1hrYt4IGkNJUS5SSU9ULklRX0VQU19FU1QuRlkyMDI2AQAAAEZkFwACAAAACC0wLjQ3NTUzAQ4AAAAFAAAAATMBAAAABzQyNzY3NzcCAAAACjEwMDA0NjY2MDcDAAAABjEwMDI3OAQAAAABMgYAAAABMAcAAAADMTYwCAAAAAEwCQAAAAExCgAAAAEwCwAAAAsxNDYzMzcyNjIwMwwAAAABMQ0AAAAIMi8zLzIwMjYQAAAACDIvMi8yMDI2N9/5V2ti3gjJv0dYa2LeCBlDSVEuVk5PLklRX0VQU19FU1QuRlkyMDI2AQAAAEjF</t>
  </si>
  <si>
    <t>BAACAAAABi0wLjE4NQEOAAAABQAAAAEzAQAAAAcyNjYzMDAyAgAAAAoxMDAyNTI4ODc1AwAAAAYxMDAyNzgEAAAAATIGAAAAATAHAAAAAzE2MAgAAAABMAkAAAABMQoAAAABMAsAAAALMTQ2MzcyNzY3MjUMAAAAATENAAAACDIvMy8yMDI2EAAAAAgyLzIvMjAyNjff+VdrYt4ITg5PWGti3ggaQ0lRLkVRSVguSVFfRVBTX0VTVC5GWTIwMjcBAAAAKm4AAAIAAAAIMTYuNDY1MjQBDgAAAAUAAAABMwEAAAAJMjgzNDU0MzA0AgAAAAoxMDAyMjkzNTg2AwAAAAYxMDAyNzgEAAAAATIGAAAAATAHAAAAAzE2MAgAAAABMAkAAAABMQoAAAABMAsAAAALMTQ2MzY3NTE1ODMMAAAAATENAAAACDIvMy8yMDI2EAAAAAgyLzIvMjAyNjff+VdrYt4ITg5PWGti3ggZQ0lRLkRMUi5JUV9FUFNfRVNULkZZMjAyNgEAAABEfKgAAgAAAAcxLjU5ODMzAQ4AAAAFAAAAATMBAAAACDEyNDE2OTY0AgAAAAoxMDAyMzE3MDYwAwAAAAYxMDAyNzgEAAAAATIGAAAAATAHAAAAAzE2MAgAAAABMAkAAAABMQoAAAABMAsAAAALMTQ2Mzk4NTE2MDIMAAAAATENAAAACDIvMy8yMDI2EAAAAAgyLzIvMjAyNjff+VdrYt4ITg5PWGti3ggeQ0lRLldVTEYuSVFfUkVWRU5VRV9FU1QuRlkyMDI2AQAAABJEqGMCAAAACTQwMC41OTUxOAEOAAAABQAAAAEzAQAAAAEwAgAAAAoxMDA2MDMwNzMyAwAAAAYxMDAxODAEAAAAATIGAAAAATAHAAAAAzE2MAgA</t>
  </si>
  <si>
    <t>AAABMAkAAAABMQoAAAABMAsAAAALMTQ2MzMzODU5NzgMAAAAATENAAAACDIvMy8yMDI2EAAAAAgyLzIvMjAyNjff+VdrYt4IjpJRWGti3ggcQ0lRLk1BUkEuSVFfUkVWRU5VRV9FU1QuNjAwMAEAAADYzHAJAgAAAAkxMDU1LjA3NDUBDgAAAAUAAAACMTEBAAAAATACAAAABzQ5OTg2OTQDAAAABjEwMDE4MAQAAAABMgYAAAABMAcAAAADMTYwCAAAAAEwCQAAAAExCgAAAAEwCwAAAAsxNDYxNzM5ODQ4OQwAAAACMTINAAAACDIvMy8yMDI2EAAAAAgyLzIvMjAyNjff+VdrYt4ITg5PWGti3ggdQ0lRLkhJVkUuSVFfRUJJVERBX0VTVC5GWTIwMjUBAAAA2XQwAAIAAAAINDEuMTM4MjkBDgAAAAUAAAABMwEAAAABMAIAAAAKMTAwMzk3Njc0NwMAAAAGMTAwMTg3BAAAAAEzBgAAAAEwBwAAAAMxNjAIAAAAATAJAAAAATEKAAAAATALAAAACzE0MzUyNDc5MzI3DAAAAAExDQAAAAgyLzMvMjAyNhAAAAAJMy8zMS8yMDI1N9/5V2ti3ghODk9Ya2LeCBpDSVEuQlRCVC5JUV9FUFNfRVNULkZZMjAyNgEAAABXwkIgAgAAAAYwLjAxMjUBDgAAAAUAAAABMwEAAAAJNTU1NzQ0MjQyAgAAAAoxMDA1MjgyODYyAwAAAAYxMDAyNzgEAAAAATIGAAAAATAHAAAAAzE2MAgAAAABMAkAAAABMQoAAAABMAsAAAALMTQ2MTIyOTQ5MjgMAAAAATENAAAACDIvMy8yMDI2EAAAAAgyLzIvMjAyNjff+VdrYt4ITg5PWGti3ggZQ0lRLkRMUi5J</t>
  </si>
  <si>
    <t>UV9FUFNfRVNULkZZMjAyNwEAAABEfKgAAgAAAAcyLjEzMDUyAQ4AAAAFAAAAATMBAAAACDEyNDE2OTY0AgAAAAoxMDAyMzE3MDYxAwAAAAYxMDAyNzgEAAAAATIGAAAAATAHAAAAAzE2MAgAAAABMAkAAAABMQoAAAABMAsAAAALMTQ2MzY2OTIxOTkMAAAAATENAAAACDIvMy8yMDI2EAAAAAgyLzIvMjAyNjff+VdrYt4ITg5PWGti3ggdQ0lRLklSRU4uSVFfRUJJVERBX0VTVC5GWTIwMjYBAAAAF5gYKgIAAAAJNjgwLjg1NDE1AQ4AAAAFAAAAATMBAAAAATACAAAACjEwMDU1NzUyODMDAAAABjEwMDE4NwQAAAABMgYAAAABMAcAAAADMTYwCAAAAAEwCQAAAAExCgAAAAEwCwAAAAsxNDYzMzY3MzY0OQwAAAABMQ0AAAAIMi8zLzIwMjYQAAAACDIvMi8yMDI2N9/5V2ti3gjel1BYa2LeCB5DSVEuSVJFTi5JUV9SRVZFTlVFX0VTVC5GWTIwMjYBAAAAF5gYKgIAAAAKMTE0OC4wNzUyMwEOAAAABQAAAAEzAQAAAAEwAgAAAAoxMDA1NTc1MjgzAwAAAAYxMDAxODAEAAAAATIGAAAAATAHAAAAAzE2MAgAAAABMAkAAAABMQoAAAABMAsAAAALMTQ2MzM2NzM4NTkMAAAAATENAAAACDIvMy8yMDI2EAAAAAgyLzIvMjAyNjff+VdrYt4I3pdQWGti3ggdQ0lRLlJJT1QuSVFfRUJJVERBX0VTVC5GWTIwMjYBAAAARmQXAAIAAAAJMzA1LjUxNDEyAQ4AAAAFAAAAATMBAAAAATACAAAACjEwMDA0NjY2MDcDAAAABjEwMDE4NwQA</t>
  </si>
  <si>
    <t>AAABMgYAAAABMAcAAAADMTYwCAAAAAEwCQAAAAExCgAAAAEwCwAAAAsxNDYzMzM5NTAwMQwAAAABMQ0AAAAIMi8zLzIwMjYQAAAACDIvMi8yMDI2N9/5V2ti3gjel1BYa2LeCB5DSVEuUklPVC5JUV9SRVZFTlVFX0VTVC5GWTIwMjYBAAAARmQXAAIAAAAJNzQ4LjQzMjgxAQ4AAAAFAAAAATMBAAAAATACAAAACjEwMDA0NjY2MDcDAAAABjEwMDE4MAQAAAABMgYAAAABMAcAAAADMTYwCAAAAAEwCQAAAAExCgAAAAEwCwAAAAsxNDYzMzM5NTAyMQwAAAABMQ0AAAAIMi8zLzIwMjYQAAAACDIvMi8yMDI2N9/5V2ti3gjel1BYa2LeCBpDSVEuSElWRS5JUV9FUFNfRVNULkZZMjAyNQEAAADZdDAAAgAAAAYtMC4yMjEBDgAAAAUAAAABMwEAAAAHMjYzOTE2OQIAAAAKMTAwMzk3Njc0NwMAAAAGMTAwMjc4BAAAAAEzBgAAAAEwBwAAAAIyNwgAAAABMAkAAAABMQoAAAABMAsAAAALMTQzNTI0NzkzOTMMAAAAATENAAAACDIvMy8yMDI2EAAAAAkzLzMxLzIwMjU33/lXa2LeCE4OT1hrYt4IGkNJUS5CSVRGLklRX0VQU19FU1QuRlkyMDI1AQAAABXdlSACAAAABi0wLjI1NQEOAAAABQAAAAEzAQAAAAk2MjgyNzQ3MzMCAAAACjEwMDQ5NzM2MzMDAAAABjEwMDI3OAQAAAABMwYAAAABMAcAAAADMTYwCAAAAAEwCQAAAAExCgAAAAEwCwAAAAsxNDYzNjkwMzEzMQwAAAABMQ0AAAAIMi8zLzIwMjYQAAAACjEyLzMxLzIwMjU3</t>
  </si>
  <si>
    <t>3/lXa2LeCI6SUVhrYt4IGkNJUS5CVEJULklRX0VQU19FU1QuRlkyMDI1AQAAAFfCQiACAAAABjAuMzQyNQEOAAAABQAAAAEzAQAAAAk1NTU3NDQyNDICAAAACjEwMDUyODI4NjEDAAAABjEwMDI3OAQAAAABMgYAAAABMAcAAAADMTYwCAAAAAEwCQAAAAExCgAAAAEwCwAAAAsxNDYxMjI5NDkxNgwAAAABMQ0AAAAIMi8zLzIwMjYQAAAACjEyLzMxLzIwMjU33/lXa2LeCE4OT1hrYt4IGkNJUS5DT1JaLklRX0VQU19FU1QuRlkyMDI0AQAAADuUUiICAAAACC0zLjk5OTI0AQ4AAAAFAAAAATMBAAAACjE4NjM0ODc0MzMCAAAACjEwMDUzMDM1NDkDAAAABjEwMDI3OAQAAAABMgYAAAABMAcAAAADMTYwCAAAAAEwCQAAAAExCgAAAAEwCwAAAAsxNDE1NzgxOTg5MQwAAAABMQ0AAAAIMi8zLzIwMjYQAAAACjEyLzMxLzIwMjQ33/lXa2LeCI6SUVhrYt4IHUNJUS5DTFNLLklRX0VCSVREQV9FU1QuRlkyMDI2AQAAAA7iCQMCAAAABjMyNy40NQEOAAAABQAAAAEzAQAAAAEwAgAAAAoxMDA0NDg2MDczAwAAAAYxMDAxODcEAAAAATIGAAAAATAHAAAAAzE2MAgAAAABMAkAAAABMQoAAAABMAsAAAALMTQ2MzMzMTQ4MzMMAAAAATENAAAACDIvMy8yMDI2EAAAAAgyLzIvMjAyNjff+VdrYt4I8YFLWGti3ggeQ0lRLkNMU0suSVFfUkVWRU5VRV9FU1QuRlkyMDI2AQAAAA7iCQMCAAAACTgwNS43OTE0MgEOAAAABQAAAAEzAQAA</t>
  </si>
  <si>
    <t>AAEwAgAAAAoxMDA0NDg2MDczAwAAAAYxMDAxODAEAAAAATIGAAAAATAHAAAAAzE2MAgAAAABMAkAAAABMQoAAAABMAsAAAALMTQ2MzMzMTQ4NTcMAAAAATENAAAACDIvMy8yMDI2EAAAAAgyLzIvMjAyNjff+VdrYt4IjpJRWGti3ggaQ0lRLldVTEYuSVFfRVBTX0VTVC5GWTIwMjYBAAAAEkSoYwIAAAAHLTAuNTI3NQEOAAAABQAAAAEzAQAAAAoxNzU4ODk4MjI3AgAAAAoxMDA2MDMwNzMyAwAAAAYxMDAyNzgEAAAAATIGAAAAATAHAAAAAzE2MAgAAAABMAkAAAABMQoAAAABMAsAAAALMTQ2MDI5Nzc5NDIMAAAAATENAAAACDIvMy8yMDI2EAAAAAgyLzIvMjAyNjff+VdrYt4Iyb9HWGti3ggbQ0lRLk1BUkEuSVFfRUJJVERBX0VTVC42MDAwAQAAANjMcAkCAAAACDQzNi44OTcyAQ4AAAAFAAAAAjExAQAAAAEwAgAAAAc0OTk4Njk0AwAAAAYxMDAxODcEAAAAATIGAAAAATAHAAAAAzE2MAgAAAABMAkAAAABMQoAAAABMAsAAAALMTQ2MTczOTg0OTMMAAAAAjEyDQAAAAgyLzMvMjAyNhAAAAAIMi8yLzIwMjY33/lXa2LeCI6SUVhrYt4IGkNJUS5ISVZFLklRX0VQU19FU1QuRlkyMDI2AQAAANl0MAACAAAACC0wLjA4NzQzAQ4AAAAFAAAAATMBAAAABzI2MzkxNjkCAAAACjEwMDM5NzY3NTQDAAAABjEwMDI3OAQAAAABMwYAAAABMAcAAAACMjcIAAAAATAJAAAAATEKAAAAATALAAAACzE0NjM2NDc1NzEzDAAAAAEx</t>
  </si>
  <si>
    <t>DQAAAAgyLzMvMjAyNhAAAAAIMi8yLzIwMjY33/lXa2LeCI6SUVhrYt4IGkNJUS5CSVRGLklRX0VQU19FU1QuRlkyMDI2AQAAABXdlSACAAAABi0wLjE1NgEOAAAABQAAAAEzAQAAAAk2MjgyNzQ3MzMCAAAACjEwMDQ5NzM2MzQDAAAABjEwMDI3OAQAAAABMwYAAAABMAcAAAADMTYwCAAAAAEwCQAAAAExCgAAAAEwCwAAAAsxNDYzNjkwMzA4MwwAAAABMQ0AAAAIMi8zLzIwMjYQAAAACDIvMi8yMDI2N9/5V2ti3giOklFYa2LeCBpDSVEuV1VMRi5JUV9FUFNfRVNULkZZMjAyNwEAAAASRKhjAgAAAAMwLjIBDgAAAAUAAAABMwEAAAAKMTc1ODg5ODIyNwIAAAAKMTAwNjE0OTIzMQMAAAAGMTAwMjc4BAAAAAEyBgAAAAEwBwAAAAMxNjAIAAAAATAJAAAAATEKAAAAATALAAAACzE0NTk4NDIyMjI1DAAAAAExDQAAAAgyLzMvMjAyNhAAAAAIMi8yLzIwMjY33/lXa2LeCMm/R1hrYt4IGkNJUS5NQVJBLklRX0VQU19FU1QuRlkyMDI3AQAAANjMcAkCAAAABzAuNzcwODUBDgAAAAUAAAABMwEAAAAJMTYyNzUxMjQ2AgAAAAoxMDA1MTM2ODE1AwAAAAYxMDAyNzgEAAAAATIGAAAAATAHAAAAAzE2MAgAAAABMAkAAAABMQoAAAABMAsAAAALMTQ2MTczOTgyNzQMAAAAATENAAAACDIvMy8yMDI2EAAAAAgyLzIvMjAyNjff+VdrYt4Iyb9HWGti3gg=</t>
  </si>
  <si>
    <t>Market Valuation</t>
  </si>
  <si>
    <t>LTM Financial Statistics</t>
  </si>
  <si>
    <t>LTM Profitability Margins</t>
  </si>
  <si>
    <t>Growth Rates</t>
  </si>
  <si>
    <t>General</t>
  </si>
  <si>
    <t xml:space="preserve">Return On Investment </t>
  </si>
  <si>
    <t>LTM Leverage Ratios</t>
  </si>
  <si>
    <t>LTM Coverage Ratios</t>
  </si>
  <si>
    <t xml:space="preserve">Credit Ratings </t>
  </si>
  <si>
    <t>Sales</t>
  </si>
  <si>
    <t>EBITDA</t>
  </si>
  <si>
    <t>EPS</t>
  </si>
  <si>
    <t>Company</t>
  </si>
  <si>
    <t>Equity Value</t>
  </si>
  <si>
    <t>Enterprise Value</t>
  </si>
  <si>
    <t>EBITDA (adj.)</t>
  </si>
  <si>
    <t xml:space="preserve">Net Income </t>
  </si>
  <si>
    <t>Gross Profit (%)</t>
  </si>
  <si>
    <t>EBITDA (%)</t>
  </si>
  <si>
    <t>EBIT(%)</t>
  </si>
  <si>
    <t>Net Income (%)</t>
  </si>
  <si>
    <t>Hist. 1 year</t>
  </si>
  <si>
    <t>Est 1-year</t>
  </si>
  <si>
    <t>Hist 1. Year</t>
  </si>
  <si>
    <t>Current</t>
  </si>
  <si>
    <t>Hist 1-year.</t>
  </si>
  <si>
    <t>Est. 1-year</t>
  </si>
  <si>
    <t>Est. LT</t>
  </si>
  <si>
    <t xml:space="preserve">Predicted Beta </t>
  </si>
  <si>
    <t>ROIC</t>
  </si>
  <si>
    <t>ROE</t>
  </si>
  <si>
    <t>ROA</t>
  </si>
  <si>
    <t>Implied Div. Yield</t>
  </si>
  <si>
    <t>Debt/Total Cap.</t>
  </si>
  <si>
    <t>Debt/EBITDA</t>
  </si>
  <si>
    <t>Net Debt / EBITDA</t>
  </si>
  <si>
    <t>EBITDA/Int. Exp.</t>
  </si>
  <si>
    <t>EBITDA -Cpx/Int.</t>
  </si>
  <si>
    <t>EBIT/Int Exp.</t>
  </si>
  <si>
    <t xml:space="preserve">Moody's </t>
  </si>
  <si>
    <t>S&amp;P</t>
  </si>
  <si>
    <t>Fitch</t>
  </si>
  <si>
    <t>Applied Digital Corporation</t>
  </si>
  <si>
    <t>NA</t>
  </si>
  <si>
    <t>Values</t>
  </si>
  <si>
    <t/>
  </si>
  <si>
    <t>Tier 1: Direct operating competitors</t>
  </si>
  <si>
    <t>Core Scientific</t>
  </si>
  <si>
    <t>CORZ</t>
  </si>
  <si>
    <t>Bit Digital</t>
  </si>
  <si>
    <t>BTBT</t>
  </si>
  <si>
    <t>Bitfarms</t>
  </si>
  <si>
    <t>BITF</t>
  </si>
  <si>
    <t>HIVE Digital</t>
  </si>
  <si>
    <t>HIVE</t>
  </si>
  <si>
    <t xml:space="preserve">Hut 8 </t>
  </si>
  <si>
    <t>HUT</t>
  </si>
  <si>
    <t>Mara Holdings</t>
  </si>
  <si>
    <t>MARA</t>
  </si>
  <si>
    <t>Riot Platforms</t>
  </si>
  <si>
    <t>RIOT</t>
  </si>
  <si>
    <t>TeraWulf</t>
  </si>
  <si>
    <t>WULF</t>
  </si>
  <si>
    <t>IREN Limited</t>
  </si>
  <si>
    <t>IREN</t>
  </si>
  <si>
    <t>CleanSpark</t>
  </si>
  <si>
    <t>CLSK</t>
  </si>
  <si>
    <t>Mean</t>
  </si>
  <si>
    <t>Median</t>
  </si>
  <si>
    <t>Tier 2: Infrastructure Platforms/ AI Data Center Operators</t>
  </si>
  <si>
    <t xml:space="preserve">CoreWeave </t>
  </si>
  <si>
    <t>CRWV</t>
  </si>
  <si>
    <t>Lambda</t>
  </si>
  <si>
    <t>Crusoe Energy</t>
  </si>
  <si>
    <t>NTT Global Data Centers</t>
  </si>
  <si>
    <t xml:space="preserve">Tier 3: Data Center REITs </t>
  </si>
  <si>
    <t>Digital Realty Trust</t>
  </si>
  <si>
    <t>DLR</t>
  </si>
  <si>
    <t>Equinix</t>
  </si>
  <si>
    <t>EQIX</t>
  </si>
  <si>
    <t xml:space="preserve">Vornado Realty Trust </t>
  </si>
  <si>
    <t>VNO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</si>
</sst>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&quot;$&quot;#,##0.0"/>
    <numFmt numFmtId="167" formatCode="#,##0.0,,"/>
    <numFmt numFmtId="168" formatCode="&quot;$&quot;#,##0.0,,"/>
    <numFmt numFmtId="169" formatCode="_(\$* #,##0_);_(\$* \-#,##0;_(\$* &quot;-&quot;??_);_(@_)"/>
    <numFmt numFmtId="170" formatCode="#,###;\-#,###;&quot;0&quot;;@"/>
    <numFmt numFmtId="171" formatCode="#,###;\(#,###\);&quot;0&quot;;@"/>
    <numFmt numFmtId="172" formatCode="&quot;$&quot;#,##0.00,,"/>
    <numFmt numFmtId="173" formatCode="&quot;$&quot;#,##0.0,"/>
    <numFmt numFmtId="174" formatCode="0.00_);\(0.00\)"/>
    <numFmt numFmtId="175" formatCode="0.0"/>
    <numFmt numFmtId="176" formatCode="#,###\-"/>
    <numFmt numFmtId="177" formatCode="0;\-0;&quot;-&quot;"/>
    <numFmt numFmtId="178" formatCode="0_);\(0\)"/>
    <numFmt numFmtId="179" formatCode="0.00\x"/>
  </numFmts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3" fillId="2" borderId="0" xfId="0" applyFont="1" applyFill="1"/>
    <xf numFmtId="0" fontId="1" fillId="2" borderId="0" xfId="0" applyFont="1" applyFill="1"/>
    <xf numFmtId="0" fontId="3" fillId="3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6" fillId="3" borderId="0" xfId="0" applyFont="1" applyFill="1" applyAlignment="1">
      <alignment horizontal="left" indent="1"/>
    </xf>
    <xf numFmtId="0" fontId="2" fillId="3" borderId="0" xfId="0" applyFont="1" applyFill="1"/>
    <xf numFmtId="0" fontId="2" fillId="3" borderId="0" xfId="0" applyFont="1" applyFill="1" applyAlignment="1">
      <alignment horizontal="left" indent="1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3" borderId="2" xfId="0" applyFont="1" applyFill="1" applyBorder="1" applyAlignment="1">
      <alignment horizontal="left" indent="1"/>
    </xf>
    <xf numFmtId="166" fontId="2" fillId="3" borderId="2" xfId="0" applyNumberFormat="1" applyFont="1" applyFill="1" applyBorder="1" applyAlignment="1">
      <alignment horizontal="center"/>
    </xf>
    <xf numFmtId="167" fontId="0" fillId="3" borderId="0" xfId="0" applyNumberFormat="1" applyFill="1"/>
    <xf numFmtId="168" fontId="0" fillId="3" borderId="0" xfId="0" applyNumberFormat="1" applyFill="1"/>
    <xf numFmtId="0" fontId="1" fillId="2" borderId="0" xfId="0" applyFont="1" applyFill="1" applyAlignment="1">
      <alignment horizontal="center"/>
    </xf>
    <xf numFmtId="167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168" fontId="2" fillId="3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 wrapText="1"/>
    </xf>
    <xf numFmtId="3" fontId="2" fillId="3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167" fontId="0" fillId="3" borderId="3" xfId="0" applyNumberFormat="1" applyFill="1" applyBorder="1" applyAlignment="1">
      <alignment horizontal="center"/>
    </xf>
    <xf numFmtId="167" fontId="2" fillId="3" borderId="0" xfId="0" applyNumberFormat="1" applyFont="1" applyFill="1" applyAlignment="1">
      <alignment horizontal="center"/>
    </xf>
    <xf numFmtId="167" fontId="0" fillId="0" borderId="0" xfId="0" applyNumberFormat="1"/>
    <xf numFmtId="167" fontId="2" fillId="3" borderId="1" xfId="0" applyNumberFormat="1" applyFont="1" applyFill="1" applyBorder="1"/>
    <xf numFmtId="167" fontId="2" fillId="3" borderId="4" xfId="0" applyNumberFormat="1" applyFont="1" applyFill="1" applyBorder="1"/>
    <xf numFmtId="0" fontId="1" fillId="4" borderId="0" xfId="0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0" fillId="3" borderId="0" xfId="0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3" borderId="0" xfId="0" applyFill="1" applyAlignment="1">
      <alignment horizontal="right" vertical="top"/>
    </xf>
    <xf numFmtId="169" fontId="0" fillId="3" borderId="0" xfId="0" applyNumberFormat="1" applyFill="1" applyAlignment="1">
      <alignment horizontal="right" vertical="top"/>
    </xf>
    <xf numFmtId="170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horizontal="left" vertical="top" wrapText="1"/>
    </xf>
    <xf numFmtId="171" fontId="0" fillId="3" borderId="0" xfId="0" applyNumberFormat="1" applyFill="1" applyAlignment="1">
      <alignment horizontal="right" vertical="top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indent="1"/>
    </xf>
    <xf numFmtId="170" fontId="2" fillId="3" borderId="0" xfId="0" applyNumberFormat="1" applyFont="1" applyFill="1" applyAlignment="1">
      <alignment horizontal="right" vertical="top"/>
    </xf>
    <xf numFmtId="169" fontId="2" fillId="3" borderId="0" xfId="0" applyNumberFormat="1" applyFont="1" applyFill="1" applyAlignment="1">
      <alignment horizontal="right" vertical="top"/>
    </xf>
    <xf numFmtId="172" fontId="0" fillId="3" borderId="0" xfId="0" applyNumberFormat="1" applyFill="1"/>
    <xf numFmtId="0" fontId="2" fillId="3" borderId="0" xfId="0" applyFont="1" applyFill="1" applyAlignment="1">
      <alignment horizontal="left" vertical="top" wrapText="1" indent="1"/>
    </xf>
    <xf numFmtId="168" fontId="2" fillId="3" borderId="5" xfId="0" applyNumberFormat="1" applyFont="1" applyFill="1" applyBorder="1"/>
    <xf numFmtId="168" fontId="2" fillId="3" borderId="5" xfId="0" applyNumberFormat="1" applyFont="1" applyFill="1" applyBorder="1" applyAlignment="1">
      <alignment horizontal="center"/>
    </xf>
    <xf numFmtId="0" fontId="0" fillId="4" borderId="0" xfId="0" applyFill="1"/>
    <xf numFmtId="0" fontId="1" fillId="4" borderId="0" xfId="0" applyFont="1" applyFill="1"/>
    <xf numFmtId="0" fontId="7" fillId="3" borderId="0" xfId="0" applyFont="1" applyFill="1" applyAlignment="1">
      <alignment horizontal="right" vertical="top"/>
    </xf>
    <xf numFmtId="168" fontId="2" fillId="3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0" fontId="2" fillId="3" borderId="0" xfId="0" applyFont="1" applyFill="1" applyAlignment="1">
      <alignment horizontal="center" wrapText="1"/>
    </xf>
    <xf numFmtId="168" fontId="2" fillId="3" borderId="0" xfId="0" applyNumberFormat="1" applyFont="1" applyFill="1"/>
    <xf numFmtId="0" fontId="1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/>
    <xf numFmtId="10" fontId="6" fillId="3" borderId="0" xfId="0" applyNumberFormat="1" applyFont="1" applyFill="1" applyAlignment="1">
      <alignment horizontal="center"/>
    </xf>
    <xf numFmtId="173" fontId="0" fillId="3" borderId="1" xfId="0" applyNumberFormat="1" applyFill="1" applyBorder="1"/>
    <xf numFmtId="0" fontId="0" fillId="3" borderId="2" xfId="0" applyFill="1" applyBorder="1"/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6" fillId="3" borderId="0" xfId="0" applyFont="1" applyFill="1" applyAlignment="1">
      <alignment horizontal="left" vertical="top" indent="2"/>
    </xf>
    <xf numFmtId="0" fontId="0" fillId="3" borderId="0" xfId="0" applyFill="1" applyAlignment="1">
      <alignment horizontal="left" vertical="top" indent="2"/>
    </xf>
    <xf numFmtId="170" fontId="2" fillId="3" borderId="0" xfId="0" applyNumberFormat="1" applyFont="1" applyFill="1" applyAlignment="1">
      <alignment horizontal="center" vertical="top"/>
    </xf>
    <xf numFmtId="170" fontId="6" fillId="3" borderId="0" xfId="0" applyNumberFormat="1" applyFont="1" applyFill="1" applyAlignment="1">
      <alignment horizontal="center" vertical="top"/>
    </xf>
    <xf numFmtId="10" fontId="6" fillId="3" borderId="0" xfId="0" applyNumberFormat="1" applyFont="1" applyFill="1" applyAlignment="1">
      <alignment horizontal="center" vertical="top"/>
    </xf>
    <xf numFmtId="10" fontId="0" fillId="3" borderId="0" xfId="0" applyNumberFormat="1" applyFill="1" applyAlignment="1">
      <alignment horizontal="center"/>
    </xf>
    <xf numFmtId="170" fontId="2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75" fontId="0" fillId="3" borderId="0" xfId="0" applyNumberFormat="1" applyFill="1" applyAlignment="1">
      <alignment horizontal="center"/>
    </xf>
    <xf numFmtId="175" fontId="8" fillId="3" borderId="0" xfId="0" applyNumberFormat="1" applyFont="1" applyFill="1" applyAlignment="1">
      <alignment horizontal="center"/>
    </xf>
    <xf numFmtId="174" fontId="2" fillId="3" borderId="0" xfId="0" applyNumberFormat="1" applyFont="1" applyFill="1" applyAlignment="1">
      <alignment horizontal="center"/>
    </xf>
    <xf numFmtId="170" fontId="2" fillId="3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70" fontId="0" fillId="3" borderId="0" xfId="0" applyNumberFormat="1" applyFill="1" applyAlignment="1">
      <alignment horizontal="center" vertical="top"/>
    </xf>
    <xf numFmtId="177" fontId="0" fillId="3" borderId="0" xfId="0" applyNumberFormat="1" applyFill="1" applyAlignment="1">
      <alignment horizontal="center"/>
    </xf>
    <xf numFmtId="171" fontId="0" fillId="3" borderId="0" xfId="0" applyNumberFormat="1" applyFill="1" applyAlignment="1">
      <alignment horizontal="center" vertical="top"/>
    </xf>
    <xf numFmtId="176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top"/>
    </xf>
    <xf numFmtId="177" fontId="0" fillId="3" borderId="0" xfId="0" applyNumberFormat="1" applyFill="1" applyAlignment="1">
      <alignment horizontal="center" vertical="top"/>
    </xf>
    <xf numFmtId="37" fontId="0" fillId="3" borderId="0" xfId="0" applyNumberFormat="1" applyFill="1" applyAlignment="1">
      <alignment horizontal="center" vertical="top"/>
    </xf>
    <xf numFmtId="37" fontId="0" fillId="3" borderId="0" xfId="0" applyNumberFormat="1" applyFill="1" applyAlignment="1">
      <alignment horizontal="center"/>
    </xf>
    <xf numFmtId="178" fontId="0" fillId="3" borderId="0" xfId="0" applyNumberFormat="1" applyFill="1" applyAlignment="1">
      <alignment horizontal="center"/>
    </xf>
    <xf numFmtId="170" fontId="2" fillId="3" borderId="1" xfId="0" applyNumberFormat="1" applyFont="1" applyFill="1" applyBorder="1" applyAlignment="1">
      <alignment horizontal="center" vertical="top"/>
    </xf>
    <xf numFmtId="171" fontId="0" fillId="3" borderId="0" xfId="0" applyNumberFormat="1" applyFill="1" applyAlignment="1">
      <alignment horizontal="center"/>
    </xf>
    <xf numFmtId="171" fontId="2" fillId="3" borderId="1" xfId="0" applyNumberFormat="1" applyFont="1" applyFill="1" applyBorder="1" applyAlignment="1">
      <alignment horizontal="center"/>
    </xf>
    <xf numFmtId="177" fontId="2" fillId="3" borderId="1" xfId="0" applyNumberFormat="1" applyFont="1" applyFill="1" applyBorder="1"/>
    <xf numFmtId="171" fontId="0" fillId="3" borderId="0" xfId="0" applyNumberFormat="1" applyFill="1" applyAlignment="1">
      <alignment horizontal="center" vertical="center"/>
    </xf>
    <xf numFmtId="170" fontId="0" fillId="3" borderId="0" xfId="0" applyNumberFormat="1" applyFill="1" applyAlignment="1">
      <alignment horizontal="center" vertical="center"/>
    </xf>
    <xf numFmtId="169" fontId="2" fillId="3" borderId="1" xfId="0" applyNumberFormat="1" applyFont="1" applyFill="1" applyBorder="1" applyAlignment="1">
      <alignment vertical="top"/>
    </xf>
    <xf numFmtId="171" fontId="0" fillId="3" borderId="0" xfId="0" applyNumberFormat="1" applyFill="1"/>
    <xf numFmtId="0" fontId="6" fillId="3" borderId="0" xfId="0" applyFont="1" applyFill="1" applyAlignment="1">
      <alignment horizontal="left" vertical="top" indent="1"/>
    </xf>
    <xf numFmtId="10" fontId="6" fillId="3" borderId="0" xfId="0" applyNumberFormat="1" applyFont="1" applyFill="1"/>
    <xf numFmtId="0" fontId="2" fillId="3" borderId="0" xfId="0" applyFont="1" applyFill="1" applyAlignment="1">
      <alignment horizontal="left" vertical="top" indent="3"/>
    </xf>
    <xf numFmtId="44" fontId="2" fillId="3" borderId="1" xfId="0" applyNumberFormat="1" applyFont="1" applyFill="1" applyBorder="1"/>
    <xf numFmtId="0" fontId="2" fillId="3" borderId="0" xfId="0" applyFont="1" applyFill="1" applyAlignment="1">
      <alignment horizontal="left" vertical="top" indent="2"/>
    </xf>
    <xf numFmtId="1" fontId="2" fillId="3" borderId="3" xfId="0" applyNumberFormat="1" applyFont="1" applyFill="1" applyBorder="1"/>
    <xf numFmtId="44" fontId="2" fillId="3" borderId="0" xfId="0" applyNumberFormat="1" applyFont="1" applyFill="1"/>
    <xf numFmtId="0" fontId="0" fillId="3" borderId="0" xfId="0" applyFill="1" applyAlignment="1">
      <alignment horizontal="left" vertical="top" indent="1"/>
    </xf>
    <xf numFmtId="1" fontId="0" fillId="3" borderId="0" xfId="0" applyNumberFormat="1" applyFill="1"/>
    <xf numFmtId="10" fontId="0" fillId="3" borderId="0" xfId="0" applyNumberFormat="1" applyFill="1"/>
    <xf numFmtId="170" fontId="2" fillId="3" borderId="6" xfId="0" applyNumberFormat="1" applyFont="1" applyFill="1" applyBorder="1" applyAlignment="1">
      <alignment horizontal="center"/>
    </xf>
    <xf numFmtId="44" fontId="0" fillId="3" borderId="0" xfId="0" applyNumberFormat="1" applyFill="1"/>
    <xf numFmtId="179" fontId="0" fillId="3" borderId="0" xfId="0" applyNumberFormat="1" applyFill="1"/>
    <xf numFmtId="0" fontId="2" fillId="2" borderId="0" xfId="0" applyFont="1" applyFill="1"/>
    <xf numFmtId="0" fontId="2" fillId="3" borderId="6" xfId="0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 wrapText="1"/>
    </xf>
    <xf numFmtId="10" fontId="2" fillId="3" borderId="0" xfId="0" applyNumberFormat="1" applyFont="1" applyFill="1" applyAlignment="1">
      <alignment horizontal="center"/>
    </xf>
    <xf numFmtId="44" fontId="2" fillId="3" borderId="0" xfId="0" applyNumberFormat="1" applyFont="1" applyFill="1" applyAlignment="1">
      <alignment horizontal="center"/>
    </xf>
    <xf numFmtId="0" fontId="10" fillId="3" borderId="0" xfId="0" applyFont="1" applyFill="1" applyAlignment="1">
      <alignment horizontal="left" indent="1"/>
    </xf>
    <xf numFmtId="44" fontId="10" fillId="3" borderId="0" xfId="0" applyNumberFormat="1" applyFont="1" applyFill="1" applyAlignment="1">
      <alignment horizontal="center"/>
    </xf>
    <xf numFmtId="10" fontId="10" fillId="3" borderId="0" xfId="0" applyNumberFormat="1" applyFont="1" applyFill="1" applyAlignment="1">
      <alignment horizontal="center"/>
    </xf>
    <xf numFmtId="44" fontId="6" fillId="3" borderId="0" xfId="0" applyNumberFormat="1" applyFont="1" applyFill="1"/>
    <xf numFmtId="10" fontId="2" fillId="3" borderId="0" xfId="0" applyNumberFormat="1" applyFont="1" applyFill="1"/>
    <xf numFmtId="0" fontId="10" fillId="3" borderId="0" xfId="0" quotePrefix="1" applyFont="1" applyFill="1"/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microsoft.com/office/2023/09/relationships/Python" Target="pyth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#TRIPATHI AYMAN#" id="{C8AF8AE3-3FC4-44BC-B988-42CBDA8C0037}" userId="S::AYMAN002@e.ntu.edu.sg::1ddfcc09-b634-4ee9-a383-8311dce88b8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5-12-13T16:10:55.80" personId="{C8AF8AE3-3FC4-44BC-B988-42CBDA8C0037}" id="{4DA5547E-201B-4F43-AE4D-99C6EC513170}">
    <text xml:space="preserve">BTBT financials are normalized to exclude unrealized and realized gains on digital assets, which are market-driven and non-operational. Adjusted EBITDA and EBIT therefore reflect underlying infrastructure economics rather than crypto price movements.
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0C59-372B-493D-9CFF-C38A4888FEAE}">
  <dimension ref="A1:I211"/>
  <sheetViews>
    <sheetView topLeftCell="A179" zoomScale="81" zoomScaleNormal="70" workbookViewId="0">
      <selection activeCell="E138" sqref="E138"/>
    </sheetView>
  </sheetViews>
  <sheetFormatPr defaultColWidth="9" defaultRowHeight="14.25"/>
  <cols>
    <col min="1" max="1" width="76.5703125" style="3" bestFit="1" customWidth="1"/>
    <col min="2" max="3" width="15" style="3" bestFit="1" customWidth="1"/>
    <col min="4" max="4" width="21.5703125" style="3" bestFit="1" customWidth="1"/>
    <col min="5" max="5" width="15" style="3" bestFit="1" customWidth="1"/>
    <col min="6" max="7" width="17.85546875" style="3" customWidth="1"/>
    <col min="8" max="9" width="4.5703125" style="3" customWidth="1"/>
    <col min="10" max="16384" width="9" style="3"/>
  </cols>
  <sheetData>
    <row r="1" spans="1:9" s="1" customFormat="1" ht="26.65">
      <c r="A1" s="1" t="s">
        <v>0</v>
      </c>
    </row>
    <row r="2" spans="1:9" s="2" customFormat="1" ht="19.5">
      <c r="A2" s="2" t="s">
        <v>1</v>
      </c>
    </row>
    <row r="4" spans="1:9">
      <c r="A4" s="5" t="s">
        <v>2</v>
      </c>
      <c r="B4" s="4"/>
      <c r="C4" s="4"/>
      <c r="D4" s="4"/>
      <c r="E4" s="4"/>
      <c r="F4" s="23" t="s">
        <v>3</v>
      </c>
      <c r="G4" s="23"/>
      <c r="H4" s="4"/>
      <c r="I4" s="4"/>
    </row>
    <row r="5" spans="1:9">
      <c r="A5" s="3" t="s">
        <v>4</v>
      </c>
      <c r="F5" s="9" t="s">
        <v>5</v>
      </c>
      <c r="G5" s="9"/>
    </row>
    <row r="6" spans="1:9">
      <c r="A6" s="3" t="s">
        <v>6</v>
      </c>
      <c r="F6" s="9" t="s">
        <v>7</v>
      </c>
      <c r="G6" s="9"/>
    </row>
    <row r="7" spans="1:9">
      <c r="A7" s="3" t="s">
        <v>8</v>
      </c>
      <c r="F7" s="9" t="s">
        <v>9</v>
      </c>
      <c r="G7" s="9"/>
    </row>
    <row r="8" spans="1:9">
      <c r="A8" s="3" t="s">
        <v>10</v>
      </c>
      <c r="F8" s="10">
        <v>45808</v>
      </c>
      <c r="G8" s="10"/>
    </row>
    <row r="9" spans="1:9">
      <c r="A9" s="3" t="s">
        <v>11</v>
      </c>
      <c r="F9" s="9" t="s">
        <v>12</v>
      </c>
      <c r="G9" s="9"/>
    </row>
    <row r="10" spans="1:9">
      <c r="A10" s="3" t="s">
        <v>13</v>
      </c>
      <c r="F10" s="9" t="s">
        <v>14</v>
      </c>
      <c r="G10" s="9"/>
    </row>
    <row r="11" spans="1:9">
      <c r="A11" s="3" t="s">
        <v>15</v>
      </c>
      <c r="F11" s="9" t="s">
        <v>16</v>
      </c>
      <c r="G11" s="9"/>
    </row>
    <row r="12" spans="1:9">
      <c r="A12" s="3" t="s">
        <v>17</v>
      </c>
      <c r="F12" s="9">
        <f>_xll.ciqfunctions.udf.CIQ(F6, "IQ_CUSTOM_BETA", "11/30/2024", "11/30/2025", "D", "^SPX", , "H")</f>
        <v>2.2479800000000001</v>
      </c>
      <c r="G12" s="9"/>
    </row>
    <row r="13" spans="1:9">
      <c r="A13" s="3" t="s">
        <v>18</v>
      </c>
      <c r="F13" s="11">
        <v>0.21</v>
      </c>
      <c r="G13" s="11"/>
    </row>
    <row r="15" spans="1:9">
      <c r="A15" s="5" t="s">
        <v>19</v>
      </c>
      <c r="B15" s="5"/>
      <c r="C15" s="5"/>
      <c r="D15" s="5"/>
      <c r="E15" s="5"/>
      <c r="F15" s="23" t="s">
        <v>3</v>
      </c>
      <c r="G15" s="23"/>
      <c r="H15" s="5"/>
      <c r="I15" s="5"/>
    </row>
    <row r="16" spans="1:9">
      <c r="A16" s="3" t="s">
        <v>20</v>
      </c>
      <c r="F16" s="15">
        <v>27.1</v>
      </c>
      <c r="G16" s="15"/>
    </row>
    <row r="17" spans="1:9">
      <c r="A17" s="12" t="s">
        <v>21</v>
      </c>
      <c r="F17" s="16">
        <f>F16/F18</f>
        <v>0.67412935323383083</v>
      </c>
      <c r="G17" s="16"/>
    </row>
    <row r="18" spans="1:9">
      <c r="A18" s="3" t="s">
        <v>22</v>
      </c>
      <c r="F18" s="7">
        <v>40.200000000000003</v>
      </c>
      <c r="G18" s="7"/>
    </row>
    <row r="19" spans="1:9">
      <c r="A19" s="3" t="s">
        <v>23</v>
      </c>
      <c r="F19" s="7">
        <v>3.31</v>
      </c>
      <c r="G19" s="7"/>
    </row>
    <row r="20" spans="1:9">
      <c r="A20" s="3" t="s">
        <v>24</v>
      </c>
      <c r="F20" s="7">
        <v>0</v>
      </c>
      <c r="G20" s="7"/>
    </row>
    <row r="21" spans="1:9">
      <c r="F21" s="7"/>
      <c r="G21" s="7"/>
    </row>
    <row r="22" spans="1:9">
      <c r="A22" s="3" t="s">
        <v>25</v>
      </c>
      <c r="F22" s="24">
        <f>F38</f>
        <v>333970656.17121774</v>
      </c>
      <c r="G22" s="24"/>
    </row>
    <row r="23" spans="1:9" ht="14.65" thickBot="1">
      <c r="A23" s="14" t="s">
        <v>26</v>
      </c>
      <c r="F23" s="56">
        <f>F22*F16</f>
        <v>9050604782.2400017</v>
      </c>
      <c r="G23" s="60"/>
    </row>
    <row r="24" spans="1:9" ht="14.65" thickTop="1">
      <c r="F24" s="7"/>
      <c r="G24" s="7"/>
    </row>
    <row r="25" spans="1:9">
      <c r="A25" s="3" t="s">
        <v>27</v>
      </c>
      <c r="F25" s="26">
        <v>876020000</v>
      </c>
      <c r="G25" s="26"/>
    </row>
    <row r="26" spans="1:9">
      <c r="A26" s="3" t="s">
        <v>28</v>
      </c>
      <c r="F26" s="26">
        <f>6932000+56796000</f>
        <v>63728000</v>
      </c>
      <c r="G26" s="26"/>
    </row>
    <row r="27" spans="1:9">
      <c r="A27" s="3" t="s">
        <v>29</v>
      </c>
      <c r="F27" s="26" t="s">
        <v>30</v>
      </c>
      <c r="G27" s="26"/>
    </row>
    <row r="28" spans="1:9">
      <c r="A28" s="3" t="s">
        <v>31</v>
      </c>
      <c r="F28" s="26">
        <v>-73911000</v>
      </c>
      <c r="G28" s="26"/>
    </row>
    <row r="29" spans="1:9" ht="14.65" thickBot="1">
      <c r="A29" s="14" t="s">
        <v>32</v>
      </c>
      <c r="F29" s="56">
        <f>SUM(F23:F28)</f>
        <v>9916441782.2400017</v>
      </c>
      <c r="G29" s="60"/>
    </row>
    <row r="30" spans="1:9" ht="14.65" thickTop="1">
      <c r="F30" s="7"/>
      <c r="G30" s="7"/>
    </row>
    <row r="31" spans="1:9">
      <c r="A31" s="5" t="s">
        <v>33</v>
      </c>
      <c r="B31" s="5"/>
      <c r="C31" s="5"/>
      <c r="D31" s="5"/>
      <c r="E31" s="5"/>
      <c r="F31" s="23" t="s">
        <v>3</v>
      </c>
      <c r="G31" s="23"/>
      <c r="H31" s="5"/>
      <c r="I31" s="5"/>
    </row>
    <row r="32" spans="1:9">
      <c r="A32" s="3" t="s">
        <v>34</v>
      </c>
      <c r="F32" s="37">
        <v>255892902</v>
      </c>
      <c r="G32" s="37"/>
    </row>
    <row r="33" spans="1:8">
      <c r="A33" s="3" t="s">
        <v>35</v>
      </c>
      <c r="F33" s="21">
        <f>D48</f>
        <v>25491329</v>
      </c>
      <c r="G33" s="21"/>
    </row>
    <row r="34" spans="1:8" ht="14.65" thickBot="1">
      <c r="A34" s="3" t="s">
        <v>36</v>
      </c>
      <c r="F34" s="21">
        <f>-E48/F16</f>
        <v>-8156488.8287822874</v>
      </c>
      <c r="G34" s="21"/>
    </row>
    <row r="35" spans="1:8" ht="14.65" thickBot="1">
      <c r="A35" s="14" t="s">
        <v>37</v>
      </c>
      <c r="F35" s="39">
        <f>SUM(F32:F34)</f>
        <v>273227742.17121774</v>
      </c>
      <c r="G35" s="61"/>
    </row>
    <row r="36" spans="1:8">
      <c r="A36" s="3" t="s">
        <v>38</v>
      </c>
      <c r="F36" s="21">
        <f>E63</f>
        <v>46100000</v>
      </c>
      <c r="G36" s="21"/>
    </row>
    <row r="37" spans="1:8" ht="14.65" thickBot="1">
      <c r="A37" s="3" t="s">
        <v>39</v>
      </c>
      <c r="F37" s="21">
        <f>C55</f>
        <v>14642914</v>
      </c>
      <c r="G37" s="21"/>
    </row>
    <row r="38" spans="1:8" s="13" customFormat="1" ht="15" thickTop="1" thickBot="1">
      <c r="A38" s="14" t="s">
        <v>40</v>
      </c>
      <c r="F38" s="38">
        <f>SUM(F35:F37)</f>
        <v>333970656.17121774</v>
      </c>
      <c r="G38" s="61"/>
    </row>
    <row r="39" spans="1:8" ht="14.65" thickTop="1"/>
    <row r="40" spans="1:8" ht="14.65" thickBot="1">
      <c r="A40" s="13" t="s">
        <v>41</v>
      </c>
    </row>
    <row r="41" spans="1:8" s="13" customFormat="1" ht="29.25" thickTop="1" thickBot="1">
      <c r="A41" s="17" t="s">
        <v>42</v>
      </c>
      <c r="B41" s="29" t="s">
        <v>43</v>
      </c>
      <c r="C41" s="29" t="s">
        <v>44</v>
      </c>
      <c r="D41" s="29" t="s">
        <v>45</v>
      </c>
      <c r="E41" s="29" t="s">
        <v>46</v>
      </c>
      <c r="F41" s="18"/>
      <c r="G41" s="18"/>
      <c r="H41" s="18"/>
    </row>
    <row r="42" spans="1:8" ht="14.65" thickTop="1">
      <c r="A42" s="3" t="s">
        <v>47</v>
      </c>
      <c r="B42" s="24">
        <v>1500000</v>
      </c>
      <c r="C42" s="25">
        <v>10</v>
      </c>
      <c r="D42" s="24">
        <f>IF($C42 &lt; $F$16, $B42, 0)</f>
        <v>1500000</v>
      </c>
      <c r="E42" s="26">
        <f>IF(D42&gt;0, D42*C42, 0)</f>
        <v>15000000</v>
      </c>
    </row>
    <row r="43" spans="1:8">
      <c r="A43" s="3" t="s">
        <v>48</v>
      </c>
      <c r="B43" s="24">
        <v>1500000</v>
      </c>
      <c r="C43" s="25">
        <v>7.5</v>
      </c>
      <c r="D43" s="24">
        <f t="shared" ref="D43:D47" si="0">IF($C43 &lt; $F$16, $B43, 0)</f>
        <v>1500000</v>
      </c>
      <c r="E43" s="26">
        <f t="shared" ref="E43:E47" si="1">IF(D43&gt;0, D43*C43, 0)</f>
        <v>11250000</v>
      </c>
    </row>
    <row r="44" spans="1:8">
      <c r="A44" s="3" t="s">
        <v>49</v>
      </c>
      <c r="B44" s="24">
        <v>1035197</v>
      </c>
      <c r="C44" s="25">
        <v>9.66</v>
      </c>
      <c r="D44" s="24">
        <f t="shared" si="0"/>
        <v>1035197</v>
      </c>
      <c r="E44" s="26">
        <f t="shared" si="1"/>
        <v>10000003.02</v>
      </c>
    </row>
    <row r="45" spans="1:8">
      <c r="A45" s="3" t="s">
        <v>50</v>
      </c>
      <c r="B45" s="24">
        <v>1000000</v>
      </c>
      <c r="C45" s="25">
        <v>7.83</v>
      </c>
      <c r="D45" s="24">
        <f t="shared" si="0"/>
        <v>1000000</v>
      </c>
      <c r="E45" s="26">
        <f t="shared" si="1"/>
        <v>7830000</v>
      </c>
    </row>
    <row r="46" spans="1:8">
      <c r="A46" s="3" t="s">
        <v>51</v>
      </c>
      <c r="B46" s="24">
        <v>12062521</v>
      </c>
      <c r="C46" s="25">
        <v>7.19</v>
      </c>
      <c r="D46" s="24">
        <f t="shared" si="0"/>
        <v>12062521</v>
      </c>
      <c r="E46" s="26">
        <f t="shared" si="1"/>
        <v>86729525.99000001</v>
      </c>
    </row>
    <row r="47" spans="1:8" ht="14.65" thickBot="1">
      <c r="A47" s="3" t="s">
        <v>52</v>
      </c>
      <c r="B47" s="24">
        <v>8393611</v>
      </c>
      <c r="C47" s="25">
        <v>10.75</v>
      </c>
      <c r="D47" s="24">
        <f t="shared" si="0"/>
        <v>8393611</v>
      </c>
      <c r="E47" s="26">
        <f t="shared" si="1"/>
        <v>90231318.25</v>
      </c>
    </row>
    <row r="48" spans="1:8" s="13" customFormat="1">
      <c r="A48" s="19" t="s">
        <v>53</v>
      </c>
      <c r="B48" s="27">
        <f>SUM(B42:B47)</f>
        <v>25491329</v>
      </c>
      <c r="C48" s="20" t="s">
        <v>30</v>
      </c>
      <c r="D48" s="27">
        <f>SUM(D42:D47)</f>
        <v>25491329</v>
      </c>
      <c r="E48" s="28">
        <f>SUM(E42:E47)</f>
        <v>221040847.25999999</v>
      </c>
    </row>
    <row r="50" spans="1:7" ht="14.65" thickBot="1">
      <c r="A50" s="13" t="s">
        <v>54</v>
      </c>
    </row>
    <row r="51" spans="1:7" s="18" customFormat="1" ht="29.25" thickTop="1" thickBot="1">
      <c r="A51" s="17" t="s">
        <v>55</v>
      </c>
      <c r="B51" s="29" t="s">
        <v>43</v>
      </c>
      <c r="C51" s="29" t="s">
        <v>56</v>
      </c>
      <c r="D51" s="29" t="s">
        <v>57</v>
      </c>
      <c r="E51" s="29"/>
    </row>
    <row r="52" spans="1:7" ht="14.65" thickTop="1">
      <c r="A52" s="3" t="s">
        <v>58</v>
      </c>
      <c r="B52" s="35">
        <v>7163970</v>
      </c>
      <c r="C52" s="35">
        <f>B52</f>
        <v>7163970</v>
      </c>
      <c r="D52" s="7" t="s">
        <v>59</v>
      </c>
      <c r="E52" s="7"/>
    </row>
    <row r="53" spans="1:7">
      <c r="A53" s="3" t="s">
        <v>60</v>
      </c>
      <c r="B53" s="24">
        <v>7207500</v>
      </c>
      <c r="C53" s="24">
        <f>B53</f>
        <v>7207500</v>
      </c>
      <c r="D53" s="7" t="s">
        <v>61</v>
      </c>
      <c r="E53" s="7"/>
    </row>
    <row r="54" spans="1:7">
      <c r="A54" s="3" t="s">
        <v>62</v>
      </c>
      <c r="B54" s="24">
        <v>271444</v>
      </c>
      <c r="C54" s="24">
        <f>B54</f>
        <v>271444</v>
      </c>
      <c r="D54" s="7" t="s">
        <v>63</v>
      </c>
      <c r="E54" s="7"/>
    </row>
    <row r="55" spans="1:7" s="13" customFormat="1">
      <c r="A55" s="14" t="s">
        <v>40</v>
      </c>
      <c r="B55" s="36">
        <f>SUM(B52:B54)</f>
        <v>14642914</v>
      </c>
      <c r="C55" s="36">
        <f>B55</f>
        <v>14642914</v>
      </c>
      <c r="D55" s="30"/>
      <c r="E55" s="30"/>
    </row>
    <row r="57" spans="1:7" ht="14.65" thickBot="1">
      <c r="A57" s="13" t="s">
        <v>64</v>
      </c>
    </row>
    <row r="58" spans="1:7" ht="29.25" thickTop="1" thickBot="1">
      <c r="A58" s="17" t="s">
        <v>65</v>
      </c>
      <c r="B58" s="29" t="s">
        <v>55</v>
      </c>
      <c r="C58" s="29" t="s">
        <v>66</v>
      </c>
      <c r="D58" s="29" t="s">
        <v>67</v>
      </c>
      <c r="E58" s="29" t="s">
        <v>56</v>
      </c>
      <c r="F58" s="29" t="s">
        <v>68</v>
      </c>
      <c r="G58" s="62"/>
    </row>
    <row r="59" spans="1:7" ht="43.15" thickTop="1">
      <c r="A59" s="3" t="s">
        <v>69</v>
      </c>
      <c r="B59" s="24" t="s">
        <v>30</v>
      </c>
      <c r="C59" s="32" t="s">
        <v>30</v>
      </c>
      <c r="D59" s="24">
        <v>46100000</v>
      </c>
      <c r="E59" s="24">
        <v>46100000</v>
      </c>
      <c r="F59" s="31" t="s">
        <v>70</v>
      </c>
      <c r="G59" s="31"/>
    </row>
    <row r="60" spans="1:7" ht="28.5">
      <c r="A60" s="3" t="s">
        <v>71</v>
      </c>
      <c r="B60" s="24" t="s">
        <v>30</v>
      </c>
      <c r="C60" s="30" t="s">
        <v>72</v>
      </c>
      <c r="D60" s="24" t="s">
        <v>30</v>
      </c>
      <c r="E60" s="24" t="s">
        <v>30</v>
      </c>
      <c r="F60" s="31" t="s">
        <v>73</v>
      </c>
      <c r="G60" s="31"/>
    </row>
    <row r="61" spans="1:7">
      <c r="A61" s="3" t="s">
        <v>74</v>
      </c>
      <c r="B61" s="24">
        <v>301673</v>
      </c>
      <c r="C61" s="30" t="s">
        <v>30</v>
      </c>
      <c r="D61" s="24" t="s">
        <v>30</v>
      </c>
      <c r="E61" s="24" t="s">
        <v>30</v>
      </c>
      <c r="F61" s="31" t="s">
        <v>75</v>
      </c>
      <c r="G61" s="31"/>
    </row>
    <row r="62" spans="1:7" ht="14.65" thickBot="1">
      <c r="A62" s="3" t="s">
        <v>76</v>
      </c>
      <c r="B62" s="24">
        <v>62260</v>
      </c>
      <c r="C62" s="30" t="s">
        <v>30</v>
      </c>
      <c r="D62" s="24" t="s">
        <v>30</v>
      </c>
      <c r="E62" s="24" t="s">
        <v>30</v>
      </c>
      <c r="F62" s="31" t="s">
        <v>75</v>
      </c>
      <c r="G62" s="31"/>
    </row>
    <row r="63" spans="1:7" s="13" customFormat="1">
      <c r="A63" s="19" t="s">
        <v>40</v>
      </c>
      <c r="B63" s="27">
        <f>SUM(B61:B62)</f>
        <v>363933</v>
      </c>
      <c r="C63" s="33"/>
      <c r="D63" s="27">
        <f>SUM(D59:D62)</f>
        <v>46100000</v>
      </c>
      <c r="E63" s="27">
        <f>SUM(E59:E62)</f>
        <v>46100000</v>
      </c>
      <c r="F63" s="34"/>
      <c r="G63" s="62"/>
    </row>
    <row r="65" spans="1:9">
      <c r="A65" s="5" t="s">
        <v>77</v>
      </c>
      <c r="B65" s="4"/>
      <c r="C65" s="4"/>
      <c r="D65" s="4"/>
      <c r="E65" s="40"/>
      <c r="F65" s="41"/>
      <c r="G65" s="41"/>
      <c r="H65" s="4"/>
      <c r="I65" s="4"/>
    </row>
    <row r="66" spans="1:9">
      <c r="A66" s="8"/>
      <c r="B66" s="6"/>
      <c r="C66" s="6"/>
      <c r="D66" s="6"/>
      <c r="E66" s="59" t="s">
        <v>78</v>
      </c>
      <c r="F66" s="59" t="s">
        <v>79</v>
      </c>
      <c r="G66" s="59"/>
      <c r="H66" s="6"/>
      <c r="I66" s="6"/>
    </row>
    <row r="67" spans="1:9">
      <c r="A67" s="43" t="s">
        <v>80</v>
      </c>
      <c r="B67" s="44"/>
      <c r="C67" s="44"/>
    </row>
    <row r="68" spans="1:9">
      <c r="A68" s="43" t="s">
        <v>81</v>
      </c>
      <c r="B68" s="44"/>
      <c r="C68" s="44"/>
      <c r="E68" s="22"/>
      <c r="F68" s="22"/>
      <c r="G68" s="22"/>
    </row>
    <row r="69" spans="1:9">
      <c r="A69" s="42" t="s">
        <v>82</v>
      </c>
      <c r="B69" s="45"/>
      <c r="C69" s="45"/>
      <c r="E69" s="22">
        <v>73911000</v>
      </c>
      <c r="F69" s="22">
        <v>41552000</v>
      </c>
      <c r="G69" s="22"/>
    </row>
    <row r="70" spans="1:9">
      <c r="A70" s="42" t="s">
        <v>83</v>
      </c>
      <c r="B70" s="44"/>
      <c r="C70" s="44"/>
      <c r="E70" s="22"/>
      <c r="F70" s="22"/>
      <c r="G70" s="22"/>
    </row>
    <row r="71" spans="1:9">
      <c r="A71" s="42" t="s">
        <v>84</v>
      </c>
      <c r="B71" s="46"/>
      <c r="C71" s="46"/>
      <c r="E71" s="22">
        <v>2851000</v>
      </c>
      <c r="F71" s="22">
        <v>41026000</v>
      </c>
      <c r="G71" s="22"/>
    </row>
    <row r="72" spans="1:9">
      <c r="A72" s="42" t="s">
        <v>85</v>
      </c>
      <c r="B72" s="46"/>
      <c r="C72" s="46"/>
      <c r="E72" s="22">
        <v>37342000</v>
      </c>
      <c r="F72" s="22">
        <v>31342000</v>
      </c>
      <c r="G72" s="22"/>
    </row>
    <row r="73" spans="1:9">
      <c r="A73" s="42" t="s">
        <v>86</v>
      </c>
      <c r="B73" s="46"/>
      <c r="C73" s="46"/>
      <c r="E73" s="22">
        <v>29134000</v>
      </c>
      <c r="F73" s="22">
        <v>3043000</v>
      </c>
      <c r="G73" s="22"/>
    </row>
    <row r="74" spans="1:9">
      <c r="A74" s="42" t="s">
        <v>87</v>
      </c>
      <c r="B74" s="46"/>
      <c r="C74" s="46"/>
      <c r="E74" s="22">
        <v>188491000</v>
      </c>
      <c r="F74" s="22">
        <v>9430000</v>
      </c>
      <c r="G74" s="22"/>
    </row>
    <row r="75" spans="1:9">
      <c r="A75" s="42" t="s">
        <v>88</v>
      </c>
      <c r="B75" s="46"/>
      <c r="C75" s="46"/>
      <c r="E75" s="22">
        <v>310006000</v>
      </c>
      <c r="F75" s="22">
        <v>304200000</v>
      </c>
      <c r="G75" s="22"/>
    </row>
    <row r="76" spans="1:9" ht="14.65" thickBot="1">
      <c r="A76" s="50" t="s">
        <v>89</v>
      </c>
      <c r="B76" s="46"/>
      <c r="C76" s="46"/>
      <c r="E76" s="55">
        <v>641735000</v>
      </c>
      <c r="F76" s="55">
        <v>430593000</v>
      </c>
      <c r="G76" s="63"/>
    </row>
    <row r="77" spans="1:9" s="13" customFormat="1" ht="14.65" thickTop="1">
      <c r="A77" s="42" t="s">
        <v>90</v>
      </c>
      <c r="B77" s="51"/>
      <c r="C77" s="51"/>
      <c r="E77" s="22">
        <v>1461775000</v>
      </c>
      <c r="F77" s="22">
        <v>1206341000</v>
      </c>
      <c r="G77" s="22"/>
    </row>
    <row r="78" spans="1:9">
      <c r="A78" s="42" t="s">
        <v>91</v>
      </c>
      <c r="B78" s="46"/>
      <c r="C78" s="46"/>
      <c r="E78" s="22">
        <v>810000</v>
      </c>
      <c r="F78" s="22">
        <v>960000</v>
      </c>
      <c r="G78" s="22"/>
    </row>
    <row r="79" spans="1:9">
      <c r="A79" s="42" t="s">
        <v>92</v>
      </c>
      <c r="B79" s="46"/>
      <c r="C79" s="46"/>
      <c r="E79" s="22">
        <v>16893000</v>
      </c>
      <c r="F79" s="22">
        <v>17820000</v>
      </c>
      <c r="G79" s="22"/>
    </row>
    <row r="80" spans="1:9">
      <c r="A80" s="42" t="s">
        <v>93</v>
      </c>
      <c r="B80" s="46"/>
      <c r="C80" s="46"/>
      <c r="E80" s="22">
        <v>277782000</v>
      </c>
      <c r="F80" s="22">
        <v>214376000</v>
      </c>
      <c r="G80" s="22"/>
    </row>
    <row r="81" spans="1:7" s="13" customFormat="1" ht="14.65" thickBot="1">
      <c r="A81" s="50" t="s">
        <v>94</v>
      </c>
      <c r="B81" s="52"/>
      <c r="C81" s="52"/>
      <c r="E81" s="55">
        <v>2398995000</v>
      </c>
      <c r="F81" s="55">
        <v>1870090000</v>
      </c>
      <c r="G81" s="63"/>
    </row>
    <row r="82" spans="1:7" ht="14.65" thickTop="1">
      <c r="A82" s="42"/>
      <c r="B82" s="44"/>
      <c r="C82" s="44"/>
      <c r="E82" s="22"/>
      <c r="F82" s="22"/>
      <c r="G82" s="22"/>
    </row>
    <row r="83" spans="1:7">
      <c r="A83" s="129" t="s">
        <v>95</v>
      </c>
      <c r="B83" s="129"/>
      <c r="C83" s="129"/>
      <c r="E83" s="22"/>
      <c r="F83" s="22"/>
      <c r="G83" s="22"/>
    </row>
    <row r="84" spans="1:7">
      <c r="A84" s="42" t="s">
        <v>96</v>
      </c>
      <c r="B84" s="44"/>
      <c r="C84" s="44"/>
      <c r="E84" s="22"/>
      <c r="F84" s="22"/>
      <c r="G84" s="22"/>
    </row>
    <row r="85" spans="1:7">
      <c r="A85" s="42" t="s">
        <v>97</v>
      </c>
      <c r="B85" s="45"/>
      <c r="C85" s="45"/>
      <c r="E85" s="22">
        <v>172823000</v>
      </c>
      <c r="F85" s="22">
        <v>247528000</v>
      </c>
      <c r="G85" s="22"/>
    </row>
    <row r="86" spans="1:7">
      <c r="A86" s="42" t="s">
        <v>98</v>
      </c>
      <c r="B86" s="46"/>
      <c r="C86" s="46"/>
      <c r="E86" s="22">
        <v>182948000</v>
      </c>
      <c r="F86" s="22">
        <v>29549000</v>
      </c>
      <c r="G86" s="22"/>
    </row>
    <row r="87" spans="1:7">
      <c r="A87" s="42" t="s">
        <v>99</v>
      </c>
      <c r="B87" s="46"/>
      <c r="C87" s="46"/>
      <c r="E87" s="22">
        <v>688000</v>
      </c>
      <c r="F87" s="22">
        <v>692000</v>
      </c>
      <c r="G87" s="22"/>
    </row>
    <row r="88" spans="1:7">
      <c r="A88" s="42" t="s">
        <v>100</v>
      </c>
      <c r="B88" s="46"/>
      <c r="C88" s="46"/>
      <c r="E88" s="22">
        <v>11951000</v>
      </c>
      <c r="F88" s="22">
        <v>13633000</v>
      </c>
      <c r="G88" s="22"/>
    </row>
    <row r="89" spans="1:7">
      <c r="A89" s="42" t="s">
        <v>101</v>
      </c>
      <c r="B89" s="46"/>
      <c r="C89" s="46"/>
      <c r="E89" s="22">
        <v>382056000</v>
      </c>
      <c r="F89" s="22">
        <v>10331000</v>
      </c>
      <c r="G89" s="22"/>
    </row>
    <row r="90" spans="1:7">
      <c r="A90" s="42"/>
      <c r="B90" s="44"/>
      <c r="C90" s="44"/>
      <c r="E90" s="22"/>
      <c r="F90" s="22"/>
      <c r="G90" s="22"/>
    </row>
    <row r="91" spans="1:7">
      <c r="A91" s="42" t="s">
        <v>102</v>
      </c>
      <c r="B91" s="46"/>
      <c r="C91" s="46"/>
      <c r="E91" s="22">
        <v>16752000</v>
      </c>
      <c r="F91" s="22">
        <v>16125000</v>
      </c>
      <c r="G91" s="22"/>
    </row>
    <row r="92" spans="1:7">
      <c r="A92" s="42"/>
      <c r="B92" s="44"/>
      <c r="C92" s="44"/>
      <c r="E92" s="22"/>
      <c r="F92" s="22"/>
      <c r="G92" s="22"/>
    </row>
    <row r="93" spans="1:7">
      <c r="A93" s="42" t="s">
        <v>103</v>
      </c>
      <c r="B93" s="46"/>
      <c r="C93" s="44"/>
      <c r="E93" s="22">
        <v>626000</v>
      </c>
      <c r="F93" s="22">
        <v>0</v>
      </c>
      <c r="G93" s="22"/>
    </row>
    <row r="94" spans="1:7">
      <c r="A94" s="42"/>
      <c r="B94" s="44"/>
      <c r="C94" s="44"/>
      <c r="E94" s="22"/>
      <c r="F94" s="22"/>
      <c r="G94" s="22"/>
    </row>
    <row r="95" spans="1:7">
      <c r="A95" s="42" t="s">
        <v>104</v>
      </c>
      <c r="B95" s="46"/>
      <c r="C95" s="46"/>
      <c r="E95" s="22">
        <v>3054000</v>
      </c>
      <c r="F95" s="22">
        <v>4807000</v>
      </c>
      <c r="G95" s="22"/>
    </row>
    <row r="96" spans="1:7">
      <c r="A96" s="42" t="s">
        <v>105</v>
      </c>
      <c r="B96" s="46"/>
      <c r="C96" s="46"/>
      <c r="E96" s="22">
        <v>188215000</v>
      </c>
      <c r="F96" s="22">
        <v>216047000</v>
      </c>
      <c r="G96" s="22"/>
    </row>
    <row r="97" spans="1:7">
      <c r="A97" s="42" t="s">
        <v>106</v>
      </c>
      <c r="B97" s="46"/>
      <c r="C97" s="46"/>
      <c r="E97" s="22">
        <v>26380000</v>
      </c>
      <c r="F97" s="22">
        <v>19432000</v>
      </c>
      <c r="G97" s="22"/>
    </row>
    <row r="98" spans="1:7">
      <c r="A98" s="42" t="s">
        <v>107</v>
      </c>
      <c r="B98" s="46"/>
      <c r="C98" s="46"/>
      <c r="E98" s="22">
        <v>985493000</v>
      </c>
      <c r="F98" s="22">
        <v>558144000</v>
      </c>
      <c r="G98" s="22"/>
    </row>
    <row r="99" spans="1:7">
      <c r="A99" s="42" t="s">
        <v>108</v>
      </c>
      <c r="B99" s="46"/>
      <c r="C99" s="46"/>
      <c r="E99" s="22">
        <v>220000</v>
      </c>
      <c r="F99" s="22">
        <v>381000</v>
      </c>
      <c r="G99" s="22"/>
    </row>
    <row r="100" spans="1:7">
      <c r="A100" s="42" t="s">
        <v>109</v>
      </c>
      <c r="B100" s="46"/>
      <c r="C100" s="46"/>
      <c r="E100" s="53">
        <v>11000</v>
      </c>
      <c r="F100" s="53">
        <v>15000</v>
      </c>
      <c r="G100" s="53"/>
    </row>
    <row r="101" spans="1:7">
      <c r="A101" s="42" t="s">
        <v>110</v>
      </c>
      <c r="B101" s="46"/>
      <c r="C101" s="46"/>
      <c r="E101" s="22">
        <v>305283000</v>
      </c>
      <c r="F101" s="22">
        <v>677825000</v>
      </c>
      <c r="G101" s="22"/>
    </row>
    <row r="102" spans="1:7">
      <c r="A102" s="42"/>
      <c r="B102" s="44"/>
      <c r="C102" s="44"/>
      <c r="E102" s="22"/>
      <c r="F102" s="22"/>
      <c r="G102" s="22"/>
    </row>
    <row r="103" spans="1:7" s="13" customFormat="1" ht="14.65" thickBot="1">
      <c r="A103" s="50" t="s">
        <v>111</v>
      </c>
      <c r="B103" s="51"/>
      <c r="C103" s="51"/>
      <c r="E103" s="55">
        <v>1291007000</v>
      </c>
      <c r="F103" s="55">
        <v>1236365000</v>
      </c>
      <c r="G103" s="63"/>
    </row>
    <row r="104" spans="1:7" ht="14.65" thickTop="1">
      <c r="A104" s="42" t="s">
        <v>112</v>
      </c>
      <c r="B104" s="44"/>
      <c r="C104" s="44"/>
      <c r="E104" s="22"/>
      <c r="F104" s="22"/>
      <c r="G104" s="22"/>
    </row>
    <row r="105" spans="1:7">
      <c r="A105" s="42" t="s">
        <v>113</v>
      </c>
      <c r="B105" s="44"/>
      <c r="C105" s="44"/>
      <c r="E105" s="22"/>
      <c r="F105" s="22"/>
      <c r="G105" s="22"/>
    </row>
    <row r="106" spans="1:7" ht="28.5">
      <c r="A106" s="47" t="s">
        <v>114</v>
      </c>
      <c r="B106" s="46"/>
      <c r="C106" s="46"/>
      <c r="E106" s="22">
        <v>6932000</v>
      </c>
      <c r="F106" s="22">
        <v>6932000</v>
      </c>
      <c r="G106" s="22"/>
    </row>
    <row r="107" spans="1:7" ht="42.75">
      <c r="A107" s="47" t="s">
        <v>115</v>
      </c>
      <c r="B107" s="46"/>
      <c r="C107" s="46"/>
      <c r="E107" s="22">
        <v>56796000</v>
      </c>
      <c r="F107" s="22">
        <v>57011000</v>
      </c>
      <c r="G107" s="22"/>
    </row>
    <row r="108" spans="1:7" ht="28.5">
      <c r="A108" s="47" t="s">
        <v>116</v>
      </c>
      <c r="B108" s="44"/>
      <c r="C108" s="46"/>
      <c r="E108" s="22">
        <v>0</v>
      </c>
      <c r="F108" s="22">
        <v>72094000</v>
      </c>
      <c r="G108" s="22"/>
    </row>
    <row r="109" spans="1:7">
      <c r="A109" s="42" t="s">
        <v>117</v>
      </c>
      <c r="B109" s="44"/>
      <c r="C109" s="44"/>
      <c r="E109" s="22"/>
      <c r="F109" s="22"/>
      <c r="G109" s="22"/>
    </row>
    <row r="110" spans="1:7" ht="42.75">
      <c r="A110" s="47" t="s">
        <v>118</v>
      </c>
      <c r="B110" s="46"/>
      <c r="C110" s="46"/>
      <c r="E110" s="22">
        <v>274000</v>
      </c>
      <c r="F110" s="22">
        <v>230000</v>
      </c>
      <c r="G110" s="22"/>
    </row>
    <row r="111" spans="1:7" ht="28.5">
      <c r="A111" s="47" t="s">
        <v>119</v>
      </c>
      <c r="B111" s="48"/>
      <c r="C111" s="48"/>
      <c r="E111" s="22">
        <v>-31400000</v>
      </c>
      <c r="F111" s="22">
        <v>-31400000</v>
      </c>
      <c r="G111" s="22"/>
    </row>
    <row r="112" spans="1:7">
      <c r="A112" s="42" t="s">
        <v>120</v>
      </c>
      <c r="B112" s="46"/>
      <c r="C112" s="46"/>
      <c r="E112" s="22">
        <v>1573367000</v>
      </c>
      <c r="F112" s="22">
        <v>1009913000</v>
      </c>
      <c r="G112" s="22"/>
    </row>
    <row r="113" spans="1:9">
      <c r="A113" s="42" t="s">
        <v>121</v>
      </c>
      <c r="B113" s="48"/>
      <c r="C113" s="48"/>
      <c r="E113" s="22">
        <v>-497981000</v>
      </c>
      <c r="F113" s="22">
        <v>-481055000</v>
      </c>
      <c r="G113" s="22"/>
    </row>
    <row r="114" spans="1:9" ht="14.65" thickBot="1">
      <c r="A114" s="54" t="s">
        <v>122</v>
      </c>
      <c r="B114" s="46"/>
      <c r="C114" s="46"/>
      <c r="E114" s="55">
        <v>1044260000</v>
      </c>
      <c r="F114" s="55">
        <v>497688000</v>
      </c>
      <c r="G114" s="63"/>
    </row>
    <row r="115" spans="1:9" ht="14.65" thickTop="1">
      <c r="A115" s="42"/>
      <c r="B115" s="44"/>
      <c r="C115" s="44"/>
      <c r="E115" s="22"/>
      <c r="F115" s="22"/>
      <c r="G115" s="22"/>
    </row>
    <row r="116" spans="1:9" s="13" customFormat="1" ht="14.65" thickBot="1">
      <c r="A116" s="49" t="s">
        <v>123</v>
      </c>
      <c r="B116" s="52"/>
      <c r="C116" s="52"/>
      <c r="E116" s="55">
        <v>2398995000</v>
      </c>
      <c r="F116" s="55">
        <v>1870090000</v>
      </c>
      <c r="G116" s="63"/>
    </row>
    <row r="117" spans="1:9" ht="14.65" thickTop="1"/>
    <row r="118" spans="1:9">
      <c r="A118" s="6">
        <v>1000</v>
      </c>
    </row>
    <row r="119" spans="1:9">
      <c r="A119" s="58" t="s">
        <v>124</v>
      </c>
      <c r="B119" s="57"/>
      <c r="C119" s="57"/>
      <c r="D119" s="57"/>
      <c r="E119" s="57"/>
      <c r="F119" s="57"/>
      <c r="G119" s="57"/>
      <c r="H119" s="57">
        <v>1000</v>
      </c>
      <c r="I119" s="57"/>
    </row>
    <row r="120" spans="1:9" s="31" customFormat="1">
      <c r="A120" s="64"/>
      <c r="B120" s="130" t="s">
        <v>125</v>
      </c>
      <c r="C120" s="130"/>
      <c r="D120" s="130"/>
      <c r="E120" s="62" t="s">
        <v>126</v>
      </c>
      <c r="F120" s="62" t="s">
        <v>126</v>
      </c>
      <c r="G120" s="62" t="s">
        <v>127</v>
      </c>
    </row>
    <row r="121" spans="1:9" s="7" customFormat="1">
      <c r="B121" s="30" t="s">
        <v>128</v>
      </c>
      <c r="C121" s="30" t="s">
        <v>129</v>
      </c>
      <c r="D121" s="30" t="s">
        <v>130</v>
      </c>
      <c r="E121" s="30" t="s">
        <v>131</v>
      </c>
      <c r="F121" s="30" t="s">
        <v>132</v>
      </c>
      <c r="G121" s="30" t="s">
        <v>132</v>
      </c>
    </row>
    <row r="122" spans="1:9">
      <c r="B122" s="7"/>
      <c r="C122" s="7"/>
      <c r="D122" s="7"/>
      <c r="E122" s="7"/>
      <c r="F122" s="7"/>
      <c r="G122" s="7"/>
    </row>
    <row r="123" spans="1:9" s="13" customFormat="1">
      <c r="A123" s="43" t="s">
        <v>133</v>
      </c>
      <c r="B123" s="74">
        <v>55392</v>
      </c>
      <c r="C123" s="74">
        <v>136618</v>
      </c>
      <c r="D123" s="74">
        <v>144193</v>
      </c>
      <c r="E123" s="32">
        <f>_xll.ciqfunctions.udf.CIQ(F6, "IQ_TOTAL_REV", "FQ12025")*1000</f>
        <v>34849</v>
      </c>
      <c r="F123" s="32">
        <f>_xll.ciqfunctions.udf.CIQ(F6, "IQ_TOTAL_REV", "FQ12026")*1000</f>
        <v>64215.999999999993</v>
      </c>
      <c r="G123" s="32">
        <f>_xll.ciqfunctions.udf.CIQ(F6, "IQ_TOTAL_REV", "LTM12026")*1000</f>
        <v>173560</v>
      </c>
    </row>
    <row r="124" spans="1:9" s="66" customFormat="1">
      <c r="A124" s="72" t="s">
        <v>134</v>
      </c>
      <c r="B124" s="75"/>
      <c r="C124" s="76">
        <f>C123/B123</f>
        <v>2.4663850375505487</v>
      </c>
      <c r="D124" s="76">
        <f t="shared" ref="D124:F124" si="2">D123/C123</f>
        <v>1.0554465736579368</v>
      </c>
      <c r="E124" s="76">
        <f t="shared" si="2"/>
        <v>0.2416830220607103</v>
      </c>
      <c r="F124" s="76">
        <f t="shared" si="2"/>
        <v>1.8426927601939795</v>
      </c>
      <c r="G124" s="76">
        <f>(G123+F123-E123)/(D123-F123+E123)-1</f>
        <v>0.76725654468500171</v>
      </c>
    </row>
    <row r="125" spans="1:9" s="13" customFormat="1">
      <c r="A125" s="43" t="s">
        <v>135</v>
      </c>
      <c r="B125" s="30">
        <f>(_xll.ciqfunctions.udf.CIQ(F6, "IQ_COGS", "FY2023"))*1000</f>
        <v>44388</v>
      </c>
      <c r="C125" s="30">
        <f>(_xll.ciqfunctions.udf.CIQ(F6, "IQ_COGS", "FY2024"))*1000</f>
        <v>106653</v>
      </c>
      <c r="D125" s="30">
        <f>(_xll.ciqfunctions.udf.CIQ(F6, "IQ_COGS", "FY2025"))*1000</f>
        <v>101451</v>
      </c>
      <c r="E125" s="30">
        <f>(_xll.ciqfunctions.udf.CIQ(F6, "IQ_COGS", "FQ12025"))*1000</f>
        <v>22743</v>
      </c>
      <c r="F125" s="30">
        <f>(_xll.ciqfunctions.udf.CIQ(F6, "IQ_COGS", "FQ12026"))*1000</f>
        <v>55606</v>
      </c>
      <c r="G125" s="30">
        <f>(_xll.ciqfunctions.udf.CIQ(F6, "IQ_COGS", "LTM12026"))*1000</f>
        <v>134314</v>
      </c>
    </row>
    <row r="126" spans="1:9">
      <c r="A126" s="73" t="s">
        <v>136</v>
      </c>
      <c r="B126" s="77">
        <f>B125/B123</f>
        <v>0.80134315424610048</v>
      </c>
      <c r="C126" s="77">
        <f t="shared" ref="C126:G126" si="3">C125/C123</f>
        <v>0.78066579806467673</v>
      </c>
      <c r="D126" s="77">
        <f t="shared" si="3"/>
        <v>0.70357784358464004</v>
      </c>
      <c r="E126" s="77">
        <f t="shared" si="3"/>
        <v>0.65261557003070392</v>
      </c>
      <c r="F126" s="77">
        <f t="shared" si="3"/>
        <v>0.86592126572816752</v>
      </c>
      <c r="G126" s="77">
        <f t="shared" si="3"/>
        <v>0.77387646923254205</v>
      </c>
    </row>
    <row r="127" spans="1:9" s="13" customFormat="1">
      <c r="A127" s="50" t="s">
        <v>137</v>
      </c>
      <c r="B127" s="78">
        <f>B123-B125</f>
        <v>11004</v>
      </c>
      <c r="C127" s="78">
        <f t="shared" ref="C127:G127" si="4">C123-C125</f>
        <v>29965</v>
      </c>
      <c r="D127" s="78">
        <f t="shared" si="4"/>
        <v>42742</v>
      </c>
      <c r="E127" s="78">
        <f t="shared" si="4"/>
        <v>12106</v>
      </c>
      <c r="F127" s="78">
        <f t="shared" si="4"/>
        <v>8609.9999999999927</v>
      </c>
      <c r="G127" s="78">
        <f t="shared" si="4"/>
        <v>39246</v>
      </c>
    </row>
    <row r="128" spans="1:9" s="66" customFormat="1">
      <c r="A128" s="72" t="s">
        <v>136</v>
      </c>
      <c r="B128" s="67">
        <f>B127/B123</f>
        <v>0.19865684575389947</v>
      </c>
      <c r="C128" s="67">
        <f t="shared" ref="C128:G128" si="5">C127/C123</f>
        <v>0.2193342019353233</v>
      </c>
      <c r="D128" s="67">
        <f t="shared" si="5"/>
        <v>0.29642215641535996</v>
      </c>
      <c r="E128" s="67">
        <f t="shared" si="5"/>
        <v>0.34738442996929608</v>
      </c>
      <c r="F128" s="67">
        <f t="shared" si="5"/>
        <v>0.13407873427183248</v>
      </c>
      <c r="G128" s="67">
        <f t="shared" si="5"/>
        <v>0.22612353076745795</v>
      </c>
    </row>
    <row r="129" spans="1:7">
      <c r="A129" s="42" t="s">
        <v>138</v>
      </c>
      <c r="B129" s="7">
        <f>(_xll.ciqfunctions.udf.CIQ(F6, "IQ_SGA_SUPPL", "FY2023"))*1000</f>
        <v>53915</v>
      </c>
      <c r="C129" s="7">
        <f>(_xll.ciqfunctions.udf.CIQ(F6, "IQ_SGA_SUPPL", "FY2024"))*1000</f>
        <v>45020</v>
      </c>
      <c r="D129" s="7">
        <f>(_xll.ciqfunctions.udf.CIQ(F6, "IQ_SGA_SUPPL", "FY2025"))*1000</f>
        <v>83065</v>
      </c>
      <c r="E129" s="7">
        <f>(_xll.ciqfunctions.udf.CIQ(F6, "IQ_SGA_SUPPL", "FQ12025"))*1000</f>
        <v>10993</v>
      </c>
      <c r="F129" s="7">
        <f>(_xll.ciqfunctions.udf.CIQ(F6, "IQ_SGA_SUPPL", "FQ12026"))*1000</f>
        <v>29152</v>
      </c>
      <c r="G129" s="7">
        <f>(_xll.ciqfunctions.udf.CIQ(F6, "IQ_SGA_SUPPL", "LTM12026"))*1000</f>
        <v>101224</v>
      </c>
    </row>
    <row r="130" spans="1:7">
      <c r="A130" s="42" t="s">
        <v>139</v>
      </c>
      <c r="B130" s="7">
        <f>(_xll.ciqfunctions.udf.CIQ(F6, "IQ_DA_CF", "FY2023"))*1000</f>
        <v>7614</v>
      </c>
      <c r="C130" s="7">
        <f>(_xll.ciqfunctions.udf.CIQ(F6, "IQ_DA_CF", "FY2024"))*1000</f>
        <v>79360</v>
      </c>
      <c r="D130" s="7">
        <f>(_xll.ciqfunctions.udf.CIQ(F6, "IQ_DA_CF", "FY2025"))*1000</f>
        <v>97945</v>
      </c>
      <c r="E130" s="7">
        <f>(_xll.ciqfunctions.udf.CIQ(F6, "IQ_DA_CF", "FQ12025"))*1000</f>
        <v>34271</v>
      </c>
      <c r="F130" s="7">
        <f>(_xll.ciqfunctions.udf.CIQ(F6, "IQ_DA_CF", "FQ12026"))*1000</f>
        <v>4152</v>
      </c>
      <c r="G130" s="7">
        <f>(_xll.ciqfunctions.udf.CIQ(F6, "IQ_DA_CF", "LTM12026"))*1000</f>
        <v>67826</v>
      </c>
    </row>
    <row r="131" spans="1:7" s="13" customFormat="1">
      <c r="A131" s="43" t="s">
        <v>140</v>
      </c>
      <c r="B131" s="78">
        <f t="shared" ref="B131:G131" si="6">B123-B125-B129-B130</f>
        <v>-50525</v>
      </c>
      <c r="C131" s="78">
        <f t="shared" si="6"/>
        <v>-94415</v>
      </c>
      <c r="D131" s="78">
        <f t="shared" si="6"/>
        <v>-138268</v>
      </c>
      <c r="E131" s="78">
        <f t="shared" si="6"/>
        <v>-33158</v>
      </c>
      <c r="F131" s="78">
        <f t="shared" si="6"/>
        <v>-24694.000000000007</v>
      </c>
      <c r="G131" s="78">
        <f t="shared" si="6"/>
        <v>-129804</v>
      </c>
    </row>
    <row r="132" spans="1:7">
      <c r="A132" s="42" t="s">
        <v>141</v>
      </c>
      <c r="B132" s="79">
        <f>(_xll.ciqfunctions.udf.CIQ(F6, "IQ_NET_INTEREST_EXP", "FY2023"))*1000</f>
        <v>-2005.9999999999998</v>
      </c>
      <c r="C132" s="79">
        <f>(_xll.ciqfunctions.udf.CIQ(F6, "IQ_NET_INTEREST_EXP", "FY2024"))*1000</f>
        <v>-17708</v>
      </c>
      <c r="D132" s="79">
        <f>(_xll.ciqfunctions.udf.CIQ(F6, "IQ_NET_INTEREST_EXP", "FY2025"))*1000</f>
        <v>-14739</v>
      </c>
      <c r="E132" s="79">
        <f>(_xll.ciqfunctions.udf.CIQ(F6, "IQ_NET_INTEREST_EXP", "FQ12025"))*1000</f>
        <v>-3003</v>
      </c>
      <c r="F132" s="79">
        <f>(_xll.ciqfunctions.udf.CIQ(F6, "IQ_NET_INTEREST_EXP", "FQ12026"))*1000</f>
        <v>-5522</v>
      </c>
      <c r="G132" s="79">
        <f>(_xll.ciqfunctions.udf.CIQ(F6, "IQ_NET_INTEREST_EXP", "LTM12026"))*1000</f>
        <v>-17258</v>
      </c>
    </row>
    <row r="133" spans="1:7" s="13" customFormat="1">
      <c r="A133" s="49" t="s">
        <v>142</v>
      </c>
      <c r="B133" s="78">
        <f>B131-B132</f>
        <v>-48519</v>
      </c>
      <c r="C133" s="78">
        <f t="shared" ref="C133:G133" si="7">C131-C132</f>
        <v>-76707</v>
      </c>
      <c r="D133" s="78">
        <f t="shared" si="7"/>
        <v>-123529</v>
      </c>
      <c r="E133" s="78">
        <f t="shared" si="7"/>
        <v>-30155</v>
      </c>
      <c r="F133" s="78">
        <f t="shared" si="7"/>
        <v>-19172.000000000007</v>
      </c>
      <c r="G133" s="78">
        <f t="shared" si="7"/>
        <v>-112546</v>
      </c>
    </row>
    <row r="134" spans="1:7" ht="14.65" thickBot="1">
      <c r="A134" s="42" t="s">
        <v>143</v>
      </c>
      <c r="B134" s="79">
        <f>(_xll.ciqfunctions.udf.CIQ(F6, "IQ_INC_TAX", "FY2023"))*1000</f>
        <v>-523</v>
      </c>
      <c r="C134" s="79">
        <f>(_xll.ciqfunctions.udf.CIQ(F6, "IQ_INC_TAX", "FY2024"))*1000</f>
        <v>96</v>
      </c>
      <c r="D134" s="79">
        <f>(_xll.ciqfunctions.udf.CIQ(F6, "IQ_INC_TAX", "FY2025"))*1000</f>
        <v>102</v>
      </c>
      <c r="E134" s="79">
        <f>(_xll.ciqfunctions.udf.CIQ(F6, "IQ_INC_TAX", "FQ12025"))*1000</f>
        <v>0</v>
      </c>
      <c r="F134" s="79">
        <f>(_xll.ciqfunctions.udf.CIQ(F6, "IQ_INC_TAX", "FQ12026"))*1000</f>
        <v>8</v>
      </c>
      <c r="G134" s="79">
        <f>(_xll.ciqfunctions.udf.CIQ(F6, "IQ_INC_TAX", "LTM12026"))*1000</f>
        <v>110</v>
      </c>
    </row>
    <row r="135" spans="1:7" s="13" customFormat="1" ht="15" thickTop="1" thickBot="1">
      <c r="A135" s="43" t="s">
        <v>144</v>
      </c>
      <c r="B135" s="83">
        <f>B133-B134</f>
        <v>-47996</v>
      </c>
      <c r="C135" s="83">
        <f t="shared" ref="C135:G135" si="8">C133-C134</f>
        <v>-76803</v>
      </c>
      <c r="D135" s="83">
        <f t="shared" si="8"/>
        <v>-123631</v>
      </c>
      <c r="E135" s="83">
        <f t="shared" si="8"/>
        <v>-30155</v>
      </c>
      <c r="F135" s="83">
        <f t="shared" si="8"/>
        <v>-19180.000000000007</v>
      </c>
      <c r="G135" s="83">
        <f t="shared" si="8"/>
        <v>-112656</v>
      </c>
    </row>
    <row r="136" spans="1:7" ht="14.65" thickTop="1">
      <c r="A136" s="42"/>
      <c r="B136" s="7"/>
      <c r="C136" s="7"/>
      <c r="D136" s="7"/>
      <c r="E136" s="7"/>
      <c r="F136" s="7"/>
      <c r="G136" s="7"/>
    </row>
    <row r="137" spans="1:7">
      <c r="A137" s="47" t="s">
        <v>145</v>
      </c>
      <c r="B137" s="80">
        <f>93976233/1000</f>
        <v>93976.232999999993</v>
      </c>
      <c r="C137" s="81">
        <v>114061.414</v>
      </c>
      <c r="D137" s="81">
        <v>201194.451</v>
      </c>
      <c r="E137" s="81">
        <v>149099.33600000001</v>
      </c>
      <c r="F137" s="81">
        <v>255892.902</v>
      </c>
      <c r="G137" s="81">
        <v>227892.84</v>
      </c>
    </row>
    <row r="138" spans="1:7" ht="14.65" thickBot="1">
      <c r="A138" s="13" t="s">
        <v>146</v>
      </c>
      <c r="B138" s="82">
        <f>B135/B137</f>
        <v>-0.51072487657597432</v>
      </c>
      <c r="C138" s="82">
        <f t="shared" ref="C138:G138" si="9">C135/C137</f>
        <v>-0.67334778087180291</v>
      </c>
      <c r="D138" s="82">
        <f t="shared" si="9"/>
        <v>-0.61448513806178484</v>
      </c>
      <c r="E138" s="82">
        <f t="shared" si="9"/>
        <v>-0.20224771490598722</v>
      </c>
      <c r="F138" s="82">
        <f t="shared" si="9"/>
        <v>-7.4953231801638667E-2</v>
      </c>
      <c r="G138" s="82">
        <f t="shared" si="9"/>
        <v>-0.4943376018307552</v>
      </c>
    </row>
    <row r="139" spans="1:7" s="13" customFormat="1" ht="14.65" thickTop="1">
      <c r="A139" s="13" t="s">
        <v>147</v>
      </c>
      <c r="B139" s="84">
        <v>-34932</v>
      </c>
      <c r="C139" s="84">
        <v>-34698</v>
      </c>
      <c r="D139" s="84">
        <v>-128820</v>
      </c>
      <c r="E139" s="84">
        <v>22970</v>
      </c>
      <c r="F139" s="84">
        <v>-19716</v>
      </c>
      <c r="G139" s="84">
        <f>D139-E139+F139</f>
        <v>-171506</v>
      </c>
    </row>
    <row r="140" spans="1:7" s="13" customFormat="1">
      <c r="A140" s="13" t="s">
        <v>148</v>
      </c>
      <c r="B140" s="30">
        <v>1175</v>
      </c>
      <c r="C140" s="30">
        <v>22319</v>
      </c>
      <c r="D140" s="30">
        <v>19627</v>
      </c>
      <c r="E140" s="30">
        <v>6262</v>
      </c>
      <c r="F140" s="30">
        <v>537</v>
      </c>
      <c r="G140" s="30">
        <f>D140+F140-E140</f>
        <v>13902</v>
      </c>
    </row>
    <row r="141" spans="1:7" s="13" customFormat="1">
      <c r="B141" s="30"/>
      <c r="C141" s="121">
        <f>C140/B140-1</f>
        <v>17.994893617021276</v>
      </c>
      <c r="D141" s="121">
        <f t="shared" ref="D141:F141" si="10">D140/C140-1</f>
        <v>-0.12061472288184949</v>
      </c>
      <c r="E141" s="121">
        <f t="shared" si="10"/>
        <v>-0.68094971213124778</v>
      </c>
      <c r="F141" s="121">
        <f t="shared" si="10"/>
        <v>-0.91424465027147872</v>
      </c>
      <c r="G141" s="121">
        <f>(G140+F140-E140)/(D140+E140-F140)-1</f>
        <v>-0.67746134427264115</v>
      </c>
    </row>
    <row r="142" spans="1:7" s="13" customFormat="1" ht="14.65" thickBot="1">
      <c r="A142" s="13" t="s">
        <v>149</v>
      </c>
      <c r="B142" s="112">
        <f>B140-B149</f>
        <v>-6439</v>
      </c>
      <c r="C142" s="112">
        <f t="shared" ref="C142:G142" si="11">C140-C149</f>
        <v>-57041</v>
      </c>
      <c r="D142" s="112">
        <f t="shared" si="11"/>
        <v>-78318</v>
      </c>
      <c r="E142" s="112">
        <f t="shared" si="11"/>
        <v>-28054</v>
      </c>
      <c r="F142" s="112">
        <f t="shared" si="11"/>
        <v>-3615</v>
      </c>
      <c r="G142" s="112">
        <f t="shared" si="11"/>
        <v>-53879</v>
      </c>
    </row>
    <row r="143" spans="1:7" ht="14.65" thickTop="1"/>
    <row r="145" spans="1:9">
      <c r="A145" s="58" t="s">
        <v>150</v>
      </c>
      <c r="B145" s="57"/>
      <c r="C145" s="57"/>
      <c r="D145" s="57"/>
      <c r="E145" s="57"/>
      <c r="F145" s="57"/>
      <c r="G145" s="57"/>
      <c r="H145" s="57">
        <v>1000</v>
      </c>
      <c r="I145" s="57"/>
    </row>
    <row r="146" spans="1:9">
      <c r="B146" s="130" t="s">
        <v>125</v>
      </c>
      <c r="C146" s="130"/>
      <c r="D146" s="130"/>
      <c r="E146" s="62" t="s">
        <v>126</v>
      </c>
      <c r="F146" s="62" t="s">
        <v>126</v>
      </c>
      <c r="G146" s="62" t="s">
        <v>127</v>
      </c>
    </row>
    <row r="147" spans="1:9">
      <c r="B147" s="30" t="s">
        <v>128</v>
      </c>
      <c r="C147" s="30" t="s">
        <v>129</v>
      </c>
      <c r="D147" s="30" t="s">
        <v>130</v>
      </c>
      <c r="E147" s="30" t="s">
        <v>131</v>
      </c>
      <c r="F147" s="30" t="s">
        <v>132</v>
      </c>
      <c r="G147" s="30" t="s">
        <v>132</v>
      </c>
    </row>
    <row r="148" spans="1:9">
      <c r="A148" s="42" t="s">
        <v>151</v>
      </c>
      <c r="B148" s="91">
        <v>-45606</v>
      </c>
      <c r="C148" s="91">
        <v>-149671</v>
      </c>
      <c r="D148" s="91">
        <v>-231065</v>
      </c>
      <c r="E148" s="91">
        <v>-4247</v>
      </c>
      <c r="F148" s="91">
        <v>-16926</v>
      </c>
      <c r="G148" s="92">
        <f>D148+F148-E148</f>
        <v>-243744</v>
      </c>
    </row>
    <row r="149" spans="1:9">
      <c r="A149" s="42" t="s">
        <v>152</v>
      </c>
      <c r="B149" s="85">
        <v>7614</v>
      </c>
      <c r="C149" s="85">
        <v>79360</v>
      </c>
      <c r="D149" s="85">
        <v>97945</v>
      </c>
      <c r="E149" s="85">
        <v>34316</v>
      </c>
      <c r="F149" s="85">
        <v>4152</v>
      </c>
      <c r="G149" s="86">
        <f>D149-E149+F149</f>
        <v>67781</v>
      </c>
    </row>
    <row r="150" spans="1:9">
      <c r="A150" s="42" t="s">
        <v>153</v>
      </c>
      <c r="B150" s="85">
        <v>32072</v>
      </c>
      <c r="C150" s="85">
        <v>17362</v>
      </c>
      <c r="D150" s="85">
        <v>22704</v>
      </c>
      <c r="E150" s="87">
        <v>-2919</v>
      </c>
      <c r="F150" s="85">
        <v>15465</v>
      </c>
      <c r="G150" s="86">
        <f>D150-E150+F150</f>
        <v>41088</v>
      </c>
    </row>
    <row r="151" spans="1:9">
      <c r="A151" s="42" t="s">
        <v>154</v>
      </c>
      <c r="B151" s="7" t="s">
        <v>30</v>
      </c>
      <c r="C151" s="85">
        <v>13944</v>
      </c>
      <c r="D151" s="85">
        <v>31661</v>
      </c>
      <c r="E151" s="87">
        <v>-2919</v>
      </c>
      <c r="F151" s="85">
        <v>15465</v>
      </c>
      <c r="G151" s="86">
        <f>D151+F151-E151</f>
        <v>50045</v>
      </c>
    </row>
    <row r="152" spans="1:9">
      <c r="A152" s="42" t="s">
        <v>155</v>
      </c>
      <c r="B152" s="7">
        <f>_xll.ciqfunctions.udf.CIQ(F6, "IQ_CHANGE_DEF_TAX_TOTAL", "FY2023")</f>
        <v>-0.54</v>
      </c>
      <c r="C152" s="88">
        <f>_xll.ciqfunctions.udf.CIQ(F6, "IQ_CHANGE_DEF_TAX_TOTAL", "FY2024")</f>
        <v>0</v>
      </c>
      <c r="D152" s="85">
        <v>1177</v>
      </c>
      <c r="E152" s="86">
        <f>_xll.ciqfunctions.udf.CIQ(F6, "IQ_CHANGE_DEF_TAX_TOTAL", "FQ12025")</f>
        <v>0</v>
      </c>
      <c r="F152" s="86">
        <f>_xll.ciqfunctions.udf.CIQ(F6, "IQ_CHANGE_DEF_TAX_TOTAL", "FQ12026")</f>
        <v>0</v>
      </c>
      <c r="G152" s="86">
        <f>_xll.ciqfunctions.udf.CIQ(F6, "IQ_CHANGE_DEF_TAX_TOTAL", "LTM12026")</f>
        <v>0</v>
      </c>
    </row>
    <row r="153" spans="1:9">
      <c r="A153" s="42" t="s">
        <v>156</v>
      </c>
      <c r="B153" s="85">
        <v>94</v>
      </c>
      <c r="C153" s="89" t="s">
        <v>30</v>
      </c>
      <c r="D153" s="85">
        <v>1177</v>
      </c>
      <c r="E153" s="86">
        <v>0</v>
      </c>
      <c r="F153" s="86">
        <v>0</v>
      </c>
      <c r="G153" s="86">
        <f>D153-E153+F153</f>
        <v>1177</v>
      </c>
    </row>
    <row r="154" spans="1:9">
      <c r="A154" s="42" t="s">
        <v>157</v>
      </c>
      <c r="B154" s="85">
        <v>410</v>
      </c>
      <c r="C154" s="85">
        <v>5214</v>
      </c>
      <c r="D154" s="85">
        <v>9563</v>
      </c>
      <c r="E154" s="86">
        <v>0</v>
      </c>
      <c r="F154" s="86">
        <v>0</v>
      </c>
      <c r="G154" s="86">
        <f t="shared" ref="G154:G169" si="12">D154-E154+F154</f>
        <v>9563</v>
      </c>
    </row>
    <row r="155" spans="1:9">
      <c r="A155" s="42" t="s">
        <v>158</v>
      </c>
      <c r="B155" s="89" t="s">
        <v>30</v>
      </c>
      <c r="C155" s="89" t="s">
        <v>30</v>
      </c>
      <c r="D155" s="85">
        <v>33612</v>
      </c>
      <c r="E155" s="86">
        <v>0</v>
      </c>
      <c r="F155" s="86">
        <v>0</v>
      </c>
      <c r="G155" s="86">
        <f t="shared" si="12"/>
        <v>33612</v>
      </c>
    </row>
    <row r="156" spans="1:9">
      <c r="A156" s="47" t="s">
        <v>159</v>
      </c>
      <c r="B156" s="90">
        <v>0</v>
      </c>
      <c r="C156" s="85">
        <v>13812</v>
      </c>
      <c r="D156" s="90">
        <v>0</v>
      </c>
      <c r="E156" s="86">
        <v>0</v>
      </c>
      <c r="F156" s="86">
        <v>0</v>
      </c>
      <c r="G156" s="86">
        <f t="shared" si="12"/>
        <v>0</v>
      </c>
    </row>
    <row r="157" spans="1:9">
      <c r="A157" s="42" t="s">
        <v>160</v>
      </c>
      <c r="B157" s="89" t="s">
        <v>30</v>
      </c>
      <c r="C157" s="89" t="s">
        <v>30</v>
      </c>
      <c r="D157" s="85">
        <v>6421</v>
      </c>
      <c r="E157" s="86">
        <v>0</v>
      </c>
      <c r="F157" s="86">
        <v>0</v>
      </c>
      <c r="G157" s="86">
        <f t="shared" si="12"/>
        <v>6421</v>
      </c>
    </row>
    <row r="158" spans="1:9">
      <c r="A158" s="42" t="s">
        <v>161</v>
      </c>
      <c r="B158" s="89" t="s">
        <v>30</v>
      </c>
      <c r="C158" s="89" t="s">
        <v>30</v>
      </c>
      <c r="D158" s="85">
        <v>1138</v>
      </c>
      <c r="E158" s="85">
        <v>628</v>
      </c>
      <c r="F158" s="85">
        <v>1751</v>
      </c>
      <c r="G158" s="86">
        <f t="shared" si="12"/>
        <v>2261</v>
      </c>
    </row>
    <row r="159" spans="1:9">
      <c r="A159" s="42" t="s">
        <v>86</v>
      </c>
      <c r="B159" s="85">
        <v>145</v>
      </c>
      <c r="C159" s="87">
        <v>-3765</v>
      </c>
      <c r="D159" s="87">
        <v>-2934</v>
      </c>
      <c r="E159" s="85">
        <v>1549</v>
      </c>
      <c r="F159" s="87">
        <v>-29525</v>
      </c>
      <c r="G159" s="93">
        <f t="shared" si="12"/>
        <v>-34008</v>
      </c>
    </row>
    <row r="160" spans="1:9">
      <c r="A160" s="42" t="s">
        <v>87</v>
      </c>
      <c r="B160" s="87">
        <v>-766</v>
      </c>
      <c r="C160" s="85">
        <v>899</v>
      </c>
      <c r="D160" s="87">
        <v>-8309</v>
      </c>
      <c r="E160" s="87">
        <v>-721</v>
      </c>
      <c r="F160" s="87">
        <v>-6962</v>
      </c>
      <c r="G160" s="93">
        <f t="shared" si="12"/>
        <v>-14550</v>
      </c>
    </row>
    <row r="161" spans="1:7">
      <c r="A161" s="42" t="s">
        <v>93</v>
      </c>
      <c r="B161" s="85">
        <v>364</v>
      </c>
      <c r="C161" s="85">
        <v>327</v>
      </c>
      <c r="D161" s="85">
        <v>2979</v>
      </c>
      <c r="E161" s="86">
        <v>0</v>
      </c>
      <c r="F161" s="86">
        <v>0</v>
      </c>
      <c r="G161" s="86">
        <f t="shared" si="12"/>
        <v>2979</v>
      </c>
    </row>
    <row r="162" spans="1:7">
      <c r="A162" s="42" t="s">
        <v>102</v>
      </c>
      <c r="B162" s="85">
        <v>24584</v>
      </c>
      <c r="C162" s="87">
        <v>-8770</v>
      </c>
      <c r="D162" s="85">
        <v>2306</v>
      </c>
      <c r="E162" s="87">
        <v>-143</v>
      </c>
      <c r="F162" s="85">
        <v>627</v>
      </c>
      <c r="G162" s="86">
        <f t="shared" si="12"/>
        <v>3076</v>
      </c>
    </row>
    <row r="163" spans="1:7">
      <c r="A163" s="42" t="s">
        <v>162</v>
      </c>
      <c r="B163" s="85">
        <v>2261</v>
      </c>
      <c r="C163" s="87">
        <v>-2261</v>
      </c>
      <c r="D163" s="87">
        <v>-1549</v>
      </c>
      <c r="E163" s="87">
        <v>-1549</v>
      </c>
      <c r="F163" s="86">
        <v>0</v>
      </c>
      <c r="G163" s="86">
        <f t="shared" si="12"/>
        <v>0</v>
      </c>
    </row>
    <row r="164" spans="1:7">
      <c r="A164" s="42" t="s">
        <v>103</v>
      </c>
      <c r="B164" s="85">
        <v>44245</v>
      </c>
      <c r="C164" s="87">
        <v>-9494</v>
      </c>
      <c r="D164" s="87">
        <v>-34080</v>
      </c>
      <c r="E164" s="87">
        <v>-20807</v>
      </c>
      <c r="F164" s="87">
        <v>-2316</v>
      </c>
      <c r="G164" s="93">
        <f t="shared" si="12"/>
        <v>-15589</v>
      </c>
    </row>
    <row r="165" spans="1:7">
      <c r="A165" s="42" t="s">
        <v>163</v>
      </c>
      <c r="B165" s="85">
        <v>569</v>
      </c>
      <c r="C165" s="85">
        <v>168</v>
      </c>
      <c r="D165" s="87">
        <v>-1692</v>
      </c>
      <c r="E165" s="87">
        <v>-1692</v>
      </c>
      <c r="F165" s="86">
        <v>0</v>
      </c>
      <c r="G165" s="86">
        <f t="shared" si="12"/>
        <v>0</v>
      </c>
    </row>
    <row r="166" spans="1:7">
      <c r="A166" s="42" t="s">
        <v>97</v>
      </c>
      <c r="B166" s="87">
        <v>-13750</v>
      </c>
      <c r="C166" s="85">
        <v>41840</v>
      </c>
      <c r="D166" s="87">
        <v>-78256</v>
      </c>
      <c r="E166" s="87">
        <v>-77537</v>
      </c>
      <c r="F166" s="87">
        <v>-77784</v>
      </c>
      <c r="G166" s="93">
        <f t="shared" si="12"/>
        <v>-78503</v>
      </c>
    </row>
    <row r="167" spans="1:7">
      <c r="A167" s="42" t="s">
        <v>98</v>
      </c>
      <c r="B167" s="85">
        <v>7485</v>
      </c>
      <c r="C167" s="85">
        <v>21601</v>
      </c>
      <c r="D167" s="87">
        <v>-12127</v>
      </c>
      <c r="E167" s="85">
        <v>9738</v>
      </c>
      <c r="F167" s="85">
        <v>28684</v>
      </c>
      <c r="G167" s="93">
        <f t="shared" si="12"/>
        <v>6819</v>
      </c>
    </row>
    <row r="168" spans="1:7">
      <c r="A168" s="42" t="s">
        <v>104</v>
      </c>
      <c r="B168" s="89" t="s">
        <v>30</v>
      </c>
      <c r="C168" s="85">
        <v>13002</v>
      </c>
      <c r="D168" s="87">
        <v>-8195</v>
      </c>
      <c r="E168" s="85">
        <v>4209</v>
      </c>
      <c r="F168" s="87">
        <v>-1753</v>
      </c>
      <c r="G168" s="93">
        <f t="shared" si="12"/>
        <v>-14157</v>
      </c>
    </row>
    <row r="169" spans="1:7" ht="14.65" thickBot="1">
      <c r="A169" s="42" t="s">
        <v>164</v>
      </c>
      <c r="B169" s="87">
        <v>-446</v>
      </c>
      <c r="C169" s="87">
        <v>-47479</v>
      </c>
      <c r="D169" s="87">
        <v>-7524</v>
      </c>
      <c r="E169" s="87">
        <v>-8757</v>
      </c>
      <c r="F169" s="87">
        <v>-9598</v>
      </c>
      <c r="G169" s="93">
        <f t="shared" si="12"/>
        <v>-8365</v>
      </c>
    </row>
    <row r="170" spans="1:7" s="13" customFormat="1" ht="15" thickTop="1" thickBot="1">
      <c r="A170" s="49" t="s">
        <v>165</v>
      </c>
      <c r="B170" s="94">
        <f t="shared" ref="B170:G170" si="13">SUM(B148:B169)</f>
        <v>59274.459999999992</v>
      </c>
      <c r="C170" s="94">
        <f t="shared" si="13"/>
        <v>-13911</v>
      </c>
      <c r="D170" s="94">
        <f t="shared" si="13"/>
        <v>-175048</v>
      </c>
      <c r="E170" s="94">
        <f t="shared" si="13"/>
        <v>-70851</v>
      </c>
      <c r="F170" s="94">
        <f t="shared" si="13"/>
        <v>-78720</v>
      </c>
      <c r="G170" s="94">
        <f t="shared" si="13"/>
        <v>-184094</v>
      </c>
    </row>
    <row r="171" spans="1:7" ht="14.65" thickTop="1">
      <c r="A171" s="43" t="s">
        <v>166</v>
      </c>
      <c r="B171" s="46"/>
    </row>
    <row r="172" spans="1:7">
      <c r="A172" s="47" t="s">
        <v>167</v>
      </c>
      <c r="B172" s="87">
        <v>-131278</v>
      </c>
      <c r="C172" s="87">
        <v>-141809</v>
      </c>
      <c r="D172" s="87">
        <v>-681603</v>
      </c>
      <c r="E172" s="87">
        <v>-54798</v>
      </c>
      <c r="F172" s="87">
        <v>-249420</v>
      </c>
      <c r="G172" s="95">
        <f>D172-E172+F172</f>
        <v>-876225</v>
      </c>
    </row>
    <row r="173" spans="1:7">
      <c r="A173" s="42"/>
      <c r="B173" s="85"/>
      <c r="C173" s="7"/>
      <c r="D173" s="7"/>
      <c r="E173" s="7"/>
      <c r="F173" s="7"/>
      <c r="G173" s="7"/>
    </row>
    <row r="174" spans="1:7">
      <c r="A174" s="42" t="s">
        <v>168</v>
      </c>
      <c r="B174" s="90">
        <v>0</v>
      </c>
      <c r="C174" s="85">
        <v>19852</v>
      </c>
      <c r="D174" s="85">
        <v>25000</v>
      </c>
      <c r="E174" s="85">
        <v>25000</v>
      </c>
      <c r="F174" s="90">
        <v>0</v>
      </c>
      <c r="G174" s="86">
        <f>D174-E174+F174</f>
        <v>0</v>
      </c>
    </row>
    <row r="175" spans="1:7">
      <c r="A175" s="42" t="s">
        <v>169</v>
      </c>
      <c r="B175" s="90">
        <v>0</v>
      </c>
      <c r="C175" s="87">
        <v>-50089</v>
      </c>
      <c r="D175" s="87">
        <v>-6178</v>
      </c>
      <c r="E175" s="87">
        <v>-2808</v>
      </c>
      <c r="F175" s="86">
        <v>0</v>
      </c>
      <c r="G175" s="95">
        <f>D175-E175+F175</f>
        <v>-3370</v>
      </c>
    </row>
    <row r="176" spans="1:7" ht="14.65" thickBot="1">
      <c r="A176" s="42" t="s">
        <v>170</v>
      </c>
      <c r="B176" s="87">
        <v>-810</v>
      </c>
      <c r="C176" s="87">
        <v>-391</v>
      </c>
      <c r="D176" s="87">
        <v>-4873</v>
      </c>
      <c r="E176" s="7">
        <v>0</v>
      </c>
      <c r="F176" s="86">
        <v>0</v>
      </c>
      <c r="G176" s="95">
        <f>D176</f>
        <v>-4873</v>
      </c>
    </row>
    <row r="177" spans="1:7" s="13" customFormat="1" ht="15" thickTop="1" thickBot="1">
      <c r="A177" s="43" t="s">
        <v>171</v>
      </c>
      <c r="B177" s="96">
        <f>SUM(B172:B176)</f>
        <v>-132088</v>
      </c>
      <c r="C177" s="96">
        <f t="shared" ref="C177:G177" si="14">SUM(C172:C176)</f>
        <v>-172437</v>
      </c>
      <c r="D177" s="96">
        <f t="shared" si="14"/>
        <v>-667654</v>
      </c>
      <c r="E177" s="96">
        <f t="shared" si="14"/>
        <v>-32606</v>
      </c>
      <c r="F177" s="96">
        <f t="shared" si="14"/>
        <v>-249420</v>
      </c>
      <c r="G177" s="96">
        <f t="shared" si="14"/>
        <v>-884468</v>
      </c>
    </row>
    <row r="178" spans="1:7" ht="14.65" thickTop="1">
      <c r="A178" s="42" t="s">
        <v>172</v>
      </c>
      <c r="B178" s="90">
        <v>-3353</v>
      </c>
      <c r="C178" s="90">
        <v>-59967</v>
      </c>
      <c r="D178" s="90">
        <v>-125073</v>
      </c>
      <c r="E178" s="90">
        <v>-26049</v>
      </c>
      <c r="F178" s="90">
        <v>-29932</v>
      </c>
      <c r="G178" s="86">
        <f>D178-E178+F178</f>
        <v>-128956</v>
      </c>
    </row>
    <row r="179" spans="1:7">
      <c r="A179" s="42" t="s">
        <v>173</v>
      </c>
      <c r="B179" s="90">
        <v>-3353</v>
      </c>
      <c r="C179" s="90">
        <v>-59967</v>
      </c>
      <c r="D179" s="90">
        <v>-125073</v>
      </c>
      <c r="E179" s="90">
        <v>105000</v>
      </c>
      <c r="F179" s="90">
        <v>65</v>
      </c>
      <c r="G179" s="86">
        <f>D179-E179+F179</f>
        <v>-230008</v>
      </c>
    </row>
    <row r="180" spans="1:7">
      <c r="A180" s="42" t="s">
        <v>174</v>
      </c>
      <c r="B180" s="90">
        <v>36500</v>
      </c>
      <c r="C180" s="90">
        <v>28000</v>
      </c>
      <c r="D180" s="86">
        <v>0</v>
      </c>
      <c r="E180" s="86">
        <v>0</v>
      </c>
      <c r="F180" s="86">
        <v>0</v>
      </c>
      <c r="G180" s="86">
        <v>0</v>
      </c>
    </row>
    <row r="181" spans="1:7">
      <c r="A181" s="42" t="s">
        <v>175</v>
      </c>
      <c r="B181" s="90">
        <v>-10032</v>
      </c>
      <c r="C181" s="90">
        <v>-21714</v>
      </c>
      <c r="D181" s="90">
        <v>-293045</v>
      </c>
      <c r="E181" s="90">
        <v>-5886</v>
      </c>
      <c r="F181" s="90">
        <v>-2416</v>
      </c>
      <c r="G181" s="86">
        <f>D181-E181+F181</f>
        <v>-289575</v>
      </c>
    </row>
    <row r="182" spans="1:7">
      <c r="A182" s="42" t="s">
        <v>176</v>
      </c>
      <c r="B182" s="90">
        <v>0</v>
      </c>
      <c r="C182" s="90">
        <v>-45500</v>
      </c>
      <c r="D182" s="86">
        <v>0</v>
      </c>
      <c r="E182" s="86">
        <v>0</v>
      </c>
      <c r="F182" s="86">
        <v>0</v>
      </c>
      <c r="G182" s="86">
        <v>0</v>
      </c>
    </row>
    <row r="183" spans="1:7">
      <c r="A183" s="42" t="s">
        <v>177</v>
      </c>
      <c r="B183" s="90">
        <v>-567</v>
      </c>
      <c r="C183" s="90">
        <v>-320</v>
      </c>
      <c r="D183" s="90">
        <v>-42398</v>
      </c>
      <c r="E183" s="90">
        <v>-8484</v>
      </c>
      <c r="F183" s="90">
        <v>-1</v>
      </c>
      <c r="G183" s="86">
        <f>D183-E183+F183</f>
        <v>-33915</v>
      </c>
    </row>
    <row r="184" spans="1:7">
      <c r="A184" s="42" t="s">
        <v>178</v>
      </c>
      <c r="B184" s="90">
        <v>-1548</v>
      </c>
      <c r="C184" s="86">
        <v>0</v>
      </c>
      <c r="D184" s="86">
        <v>0</v>
      </c>
      <c r="E184" s="86">
        <v>0</v>
      </c>
      <c r="F184" s="86">
        <v>0</v>
      </c>
      <c r="G184" s="86">
        <v>0</v>
      </c>
    </row>
    <row r="185" spans="1:7">
      <c r="A185" s="42" t="s">
        <v>179</v>
      </c>
      <c r="B185" s="90">
        <v>-168</v>
      </c>
      <c r="C185" s="90">
        <v>-861</v>
      </c>
      <c r="D185" s="90">
        <v>-4116</v>
      </c>
      <c r="E185" s="86">
        <v>0</v>
      </c>
      <c r="F185" s="90">
        <v>-4497</v>
      </c>
      <c r="G185" s="86">
        <f>D185+F185</f>
        <v>-8613</v>
      </c>
    </row>
    <row r="186" spans="1:7">
      <c r="A186" s="42" t="s">
        <v>180</v>
      </c>
      <c r="B186" s="86">
        <v>0</v>
      </c>
      <c r="C186" s="90">
        <v>130849</v>
      </c>
      <c r="D186" s="90">
        <v>191590</v>
      </c>
      <c r="E186" s="90">
        <v>31590</v>
      </c>
      <c r="F186" s="90">
        <v>196366</v>
      </c>
      <c r="G186" s="86">
        <f>D186-E186+F186</f>
        <v>356366</v>
      </c>
    </row>
    <row r="187" spans="1:7">
      <c r="A187" s="42" t="s">
        <v>181</v>
      </c>
      <c r="B187" s="86">
        <v>0</v>
      </c>
      <c r="C187" s="90">
        <v>-284</v>
      </c>
      <c r="D187" s="90">
        <v>-10305</v>
      </c>
      <c r="E187" s="90">
        <v>-44</v>
      </c>
      <c r="F187" s="90">
        <v>-5945</v>
      </c>
      <c r="G187" s="86">
        <f>D187-E187+F187</f>
        <v>-16206</v>
      </c>
    </row>
    <row r="188" spans="1:7">
      <c r="A188" s="42" t="s">
        <v>182</v>
      </c>
      <c r="B188" s="86">
        <v>0</v>
      </c>
      <c r="C188" s="86">
        <v>0</v>
      </c>
      <c r="D188" s="90">
        <v>198205</v>
      </c>
      <c r="E188" s="90">
        <v>60726</v>
      </c>
      <c r="F188" s="90">
        <v>175000</v>
      </c>
      <c r="G188" s="86">
        <f>D188-E188+F188</f>
        <v>312479</v>
      </c>
    </row>
    <row r="189" spans="1:7">
      <c r="A189" s="42" t="s">
        <v>183</v>
      </c>
      <c r="B189" s="86">
        <v>0</v>
      </c>
      <c r="C189" s="86">
        <v>0</v>
      </c>
      <c r="D189" s="90">
        <v>-13812</v>
      </c>
      <c r="E189" s="90">
        <v>-5444</v>
      </c>
      <c r="F189" s="90">
        <v>-4604</v>
      </c>
      <c r="G189" s="86">
        <f>D189-E189+F189</f>
        <v>-12972</v>
      </c>
    </row>
    <row r="190" spans="1:7">
      <c r="A190" s="42" t="s">
        <v>184</v>
      </c>
      <c r="B190" s="86">
        <v>0</v>
      </c>
      <c r="C190" s="86">
        <v>0</v>
      </c>
      <c r="D190" s="90">
        <v>-2615</v>
      </c>
      <c r="E190" s="90">
        <v>-44</v>
      </c>
      <c r="F190" s="90">
        <v>-1576</v>
      </c>
      <c r="G190" s="86">
        <f>D190-E190+F190</f>
        <v>-4147</v>
      </c>
    </row>
    <row r="191" spans="1:7">
      <c r="A191" s="47" t="s">
        <v>185</v>
      </c>
      <c r="B191" s="86"/>
      <c r="C191" s="86"/>
      <c r="D191" s="90">
        <v>12000</v>
      </c>
      <c r="E191" s="90">
        <v>12000</v>
      </c>
      <c r="F191" s="86"/>
      <c r="G191" s="86">
        <f>0</f>
        <v>0</v>
      </c>
    </row>
    <row r="192" spans="1:7">
      <c r="A192" s="42" t="s">
        <v>186</v>
      </c>
      <c r="B192" s="86">
        <v>0</v>
      </c>
      <c r="C192" s="86">
        <v>0</v>
      </c>
      <c r="D192" s="90">
        <v>-31342</v>
      </c>
      <c r="E192" s="86">
        <v>0</v>
      </c>
      <c r="F192" s="86">
        <v>0</v>
      </c>
      <c r="G192" s="86">
        <f>D192</f>
        <v>-31342</v>
      </c>
    </row>
    <row r="193" spans="1:7">
      <c r="A193" s="42" t="s">
        <v>187</v>
      </c>
      <c r="B193" s="86">
        <v>0</v>
      </c>
      <c r="C193" s="86">
        <v>0</v>
      </c>
      <c r="D193" s="90">
        <v>450000</v>
      </c>
      <c r="E193" s="86">
        <v>0</v>
      </c>
      <c r="F193" s="86">
        <v>0</v>
      </c>
      <c r="G193" s="86">
        <f>D193-E193+F193</f>
        <v>450000</v>
      </c>
    </row>
    <row r="194" spans="1:7">
      <c r="A194" s="42" t="s">
        <v>188</v>
      </c>
      <c r="B194" s="86">
        <v>0</v>
      </c>
      <c r="C194" s="86">
        <v>0</v>
      </c>
      <c r="D194" s="90">
        <v>-51750</v>
      </c>
      <c r="E194" s="86">
        <v>0</v>
      </c>
      <c r="F194" s="86">
        <v>0</v>
      </c>
      <c r="G194" s="86">
        <f t="shared" ref="G194:G196" si="15">D194-E194+F194</f>
        <v>-51750</v>
      </c>
    </row>
    <row r="195" spans="1:7">
      <c r="A195" s="42" t="s">
        <v>189</v>
      </c>
      <c r="B195" s="86">
        <v>0</v>
      </c>
      <c r="C195" s="86">
        <v>0</v>
      </c>
      <c r="D195" s="90">
        <v>-52736</v>
      </c>
      <c r="E195" s="86">
        <v>0</v>
      </c>
      <c r="F195" s="86">
        <v>0</v>
      </c>
      <c r="G195" s="86">
        <f t="shared" si="15"/>
        <v>-52736</v>
      </c>
    </row>
    <row r="196" spans="1:7" ht="14.65" thickBot="1">
      <c r="A196" s="42" t="s">
        <v>190</v>
      </c>
      <c r="B196" s="86">
        <v>0</v>
      </c>
      <c r="C196" s="86">
        <v>0</v>
      </c>
      <c r="D196" s="90">
        <v>0</v>
      </c>
      <c r="E196" s="86">
        <v>0</v>
      </c>
      <c r="F196" s="86">
        <v>0</v>
      </c>
      <c r="G196" s="86">
        <f t="shared" si="15"/>
        <v>0</v>
      </c>
    </row>
    <row r="197" spans="1:7" s="13" customFormat="1" ht="15" thickTop="1" thickBot="1">
      <c r="A197" s="43" t="s">
        <v>191</v>
      </c>
      <c r="B197" s="97">
        <f>SUM(B178:B196)</f>
        <v>17479</v>
      </c>
      <c r="C197" s="97">
        <f t="shared" ref="C197:G197" si="16">SUM(C178:C196)</f>
        <v>-29764</v>
      </c>
      <c r="D197" s="97">
        <f t="shared" si="16"/>
        <v>99530</v>
      </c>
      <c r="E197" s="97">
        <f t="shared" si="16"/>
        <v>163365</v>
      </c>
      <c r="F197" s="97">
        <f t="shared" si="16"/>
        <v>322460</v>
      </c>
      <c r="G197" s="97">
        <f t="shared" si="16"/>
        <v>258625</v>
      </c>
    </row>
    <row r="198" spans="1:7" ht="14.65" thickTop="1">
      <c r="A198" s="42"/>
      <c r="B198" s="9"/>
      <c r="C198" s="9"/>
      <c r="D198" s="9"/>
      <c r="E198" s="9"/>
      <c r="F198" s="9"/>
      <c r="G198" s="9"/>
    </row>
    <row r="199" spans="1:7">
      <c r="A199" s="49" t="s">
        <v>192</v>
      </c>
      <c r="B199" s="98">
        <v>-2725</v>
      </c>
      <c r="C199" s="98">
        <v>-11886</v>
      </c>
      <c r="D199" s="99">
        <v>91630</v>
      </c>
      <c r="E199" s="99">
        <v>54869</v>
      </c>
      <c r="F199" s="98">
        <v>-9207</v>
      </c>
      <c r="G199" s="99">
        <f>D199-E199+F199</f>
        <v>27554</v>
      </c>
    </row>
    <row r="200" spans="1:7" ht="28.5">
      <c r="A200" s="49" t="s">
        <v>193</v>
      </c>
      <c r="B200" s="99">
        <v>46299</v>
      </c>
      <c r="C200" s="99">
        <v>43574</v>
      </c>
      <c r="D200" s="99">
        <v>31688</v>
      </c>
      <c r="E200" s="99">
        <v>31688</v>
      </c>
      <c r="F200" s="99">
        <v>123318</v>
      </c>
      <c r="G200" s="99">
        <f t="shared" ref="G200:G203" si="17">D200-E200+F200</f>
        <v>123318</v>
      </c>
    </row>
    <row r="201" spans="1:7" ht="28.5">
      <c r="A201" s="49" t="s">
        <v>194</v>
      </c>
      <c r="B201" s="99">
        <v>43574</v>
      </c>
      <c r="C201" s="99">
        <v>31688</v>
      </c>
      <c r="D201" s="99">
        <v>123318</v>
      </c>
      <c r="E201" s="99">
        <v>86557</v>
      </c>
      <c r="F201" s="99">
        <v>114111</v>
      </c>
      <c r="G201" s="99">
        <f t="shared" si="17"/>
        <v>150872</v>
      </c>
    </row>
    <row r="202" spans="1:7" ht="14.65" thickBot="1">
      <c r="A202" s="49" t="s">
        <v>195</v>
      </c>
      <c r="B202" s="9"/>
      <c r="C202" s="9" t="s">
        <v>196</v>
      </c>
      <c r="D202" s="99">
        <v>2398</v>
      </c>
      <c r="E202" s="99">
        <v>9</v>
      </c>
      <c r="F202" s="99">
        <v>7</v>
      </c>
      <c r="G202" s="99">
        <f t="shared" si="17"/>
        <v>2396</v>
      </c>
    </row>
    <row r="203" spans="1:7" s="13" customFormat="1" ht="15" thickTop="1" thickBot="1">
      <c r="A203" s="49" t="s">
        <v>197</v>
      </c>
      <c r="B203" s="100">
        <v>43574</v>
      </c>
      <c r="C203" s="100">
        <v>31688</v>
      </c>
      <c r="D203" s="100">
        <v>120920</v>
      </c>
      <c r="E203" s="100">
        <v>86548</v>
      </c>
      <c r="F203" s="100">
        <v>114104</v>
      </c>
      <c r="G203" s="83">
        <f t="shared" si="17"/>
        <v>148476</v>
      </c>
    </row>
    <row r="204" spans="1:7" ht="14.65" thickTop="1">
      <c r="A204" s="42" t="s">
        <v>198</v>
      </c>
      <c r="B204" s="101">
        <f>B172</f>
        <v>-131278</v>
      </c>
      <c r="C204" s="101">
        <f t="shared" ref="C204:G204" si="18">C172</f>
        <v>-141809</v>
      </c>
      <c r="D204" s="101">
        <f t="shared" si="18"/>
        <v>-681603</v>
      </c>
      <c r="E204" s="101">
        <f t="shared" si="18"/>
        <v>-54798</v>
      </c>
      <c r="F204" s="101">
        <f t="shared" si="18"/>
        <v>-249420</v>
      </c>
      <c r="G204" s="101">
        <f t="shared" si="18"/>
        <v>-876225</v>
      </c>
    </row>
    <row r="205" spans="1:7" s="66" customFormat="1" ht="14.65" thickBot="1">
      <c r="A205" s="102" t="s">
        <v>199</v>
      </c>
      <c r="B205" s="103">
        <f>B204/B123</f>
        <v>-2.369981224725592</v>
      </c>
      <c r="C205" s="103">
        <f t="shared" ref="C205:G205" si="19">C204/C123</f>
        <v>-1.0379964572750295</v>
      </c>
      <c r="D205" s="103">
        <f t="shared" si="19"/>
        <v>-4.7270186486167844</v>
      </c>
      <c r="E205" s="103">
        <f t="shared" si="19"/>
        <v>-1.5724411030445637</v>
      </c>
      <c r="F205" s="103">
        <f t="shared" si="19"/>
        <v>-3.8840787342718328</v>
      </c>
      <c r="G205" s="103">
        <f t="shared" si="19"/>
        <v>-5.0485422908504267</v>
      </c>
    </row>
    <row r="206" spans="1:7" s="13" customFormat="1" ht="14.65" thickTop="1">
      <c r="A206" s="106" t="s">
        <v>200</v>
      </c>
      <c r="B206" s="107">
        <f>B170+B204</f>
        <v>-72003.540000000008</v>
      </c>
      <c r="C206" s="107">
        <f t="shared" ref="C206:G206" si="20">C170+C204</f>
        <v>-155720</v>
      </c>
      <c r="D206" s="107">
        <f t="shared" si="20"/>
        <v>-856651</v>
      </c>
      <c r="E206" s="107">
        <f t="shared" si="20"/>
        <v>-125649</v>
      </c>
      <c r="F206" s="107">
        <f t="shared" si="20"/>
        <v>-328140</v>
      </c>
      <c r="G206" s="107">
        <f t="shared" si="20"/>
        <v>-1060319</v>
      </c>
    </row>
    <row r="207" spans="1:7" s="66" customFormat="1" ht="14.65" thickBot="1">
      <c r="A207" s="72" t="s">
        <v>201</v>
      </c>
      <c r="B207" s="103">
        <f>B206/B170</f>
        <v>-1.2147481394178878</v>
      </c>
      <c r="C207" s="103">
        <f t="shared" ref="C207:G207" si="21">C206/C170</f>
        <v>11.19401912155848</v>
      </c>
      <c r="D207" s="103">
        <f t="shared" si="21"/>
        <v>4.8938062702801517</v>
      </c>
      <c r="E207" s="103">
        <f t="shared" si="21"/>
        <v>1.7734259220053352</v>
      </c>
      <c r="F207" s="103">
        <f t="shared" si="21"/>
        <v>4.1684451219512191</v>
      </c>
      <c r="G207" s="103">
        <f t="shared" si="21"/>
        <v>5.7596608254478694</v>
      </c>
    </row>
    <row r="208" spans="1:7" s="13" customFormat="1" ht="15" thickTop="1" thickBot="1">
      <c r="A208" s="104" t="s">
        <v>202</v>
      </c>
      <c r="B208" s="105">
        <f>B206/B137</f>
        <v>-0.76618882989276671</v>
      </c>
      <c r="C208" s="105">
        <f t="shared" ref="C208:G208" si="22">C206/C137</f>
        <v>-1.365229436836545</v>
      </c>
      <c r="D208" s="105">
        <f t="shared" si="22"/>
        <v>-4.2578261763292868</v>
      </c>
      <c r="E208" s="105">
        <f t="shared" si="22"/>
        <v>-0.84272005074522927</v>
      </c>
      <c r="F208" s="105">
        <f t="shared" si="22"/>
        <v>-1.2823333411569189</v>
      </c>
      <c r="G208" s="105">
        <f t="shared" si="22"/>
        <v>-4.6527087029149312</v>
      </c>
    </row>
    <row r="209" spans="1:7" s="13" customFormat="1" ht="14.65" thickTop="1">
      <c r="A209" s="104"/>
      <c r="B209" s="108"/>
      <c r="C209" s="108"/>
      <c r="D209" s="108"/>
      <c r="E209" s="108"/>
      <c r="F209" s="108"/>
      <c r="G209" s="108"/>
    </row>
    <row r="210" spans="1:7">
      <c r="A210" s="109" t="s">
        <v>203</v>
      </c>
      <c r="B210" s="110">
        <f>B149</f>
        <v>7614</v>
      </c>
      <c r="C210" s="110">
        <f t="shared" ref="C210:G210" si="23">C149</f>
        <v>79360</v>
      </c>
      <c r="D210" s="110">
        <f t="shared" si="23"/>
        <v>97945</v>
      </c>
      <c r="E210" s="110">
        <f t="shared" si="23"/>
        <v>34316</v>
      </c>
      <c r="F210" s="110">
        <f t="shared" si="23"/>
        <v>4152</v>
      </c>
      <c r="G210" s="110">
        <f t="shared" si="23"/>
        <v>67781</v>
      </c>
    </row>
    <row r="211" spans="1:7">
      <c r="A211" s="73" t="s">
        <v>199</v>
      </c>
      <c r="B211" s="111">
        <f>B210/B123</f>
        <v>0.13745667244367418</v>
      </c>
      <c r="C211" s="111">
        <f t="shared" ref="C211:G211" si="24">C210/C123</f>
        <v>0.58088978026321569</v>
      </c>
      <c r="D211" s="111">
        <f t="shared" si="24"/>
        <v>0.67926320972585352</v>
      </c>
      <c r="E211" s="111">
        <f t="shared" si="24"/>
        <v>0.98470544348474853</v>
      </c>
      <c r="F211" s="111">
        <f t="shared" si="24"/>
        <v>6.465678335617292E-2</v>
      </c>
      <c r="G211" s="111">
        <f t="shared" si="24"/>
        <v>0.39053353307213645</v>
      </c>
    </row>
  </sheetData>
  <mergeCells count="3">
    <mergeCell ref="A83:C83"/>
    <mergeCell ref="B120:D120"/>
    <mergeCell ref="B146:D1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D54E-8D00-4BF4-817A-84D1621FCD75}">
  <dimension ref="B2:Q16"/>
  <sheetViews>
    <sheetView workbookViewId="0">
      <selection activeCell="B18" sqref="B18"/>
    </sheetView>
  </sheetViews>
  <sheetFormatPr defaultColWidth="9" defaultRowHeight="14.25"/>
  <cols>
    <col min="1" max="5" width="9" style="3"/>
    <col min="6" max="6" width="31.85546875" style="3" bestFit="1" customWidth="1"/>
    <col min="7" max="16384" width="9" style="3"/>
  </cols>
  <sheetData>
    <row r="2" spans="2:17" s="8" customFormat="1">
      <c r="B2" s="5" t="s">
        <v>204</v>
      </c>
      <c r="C2" s="5"/>
      <c r="D2" s="5"/>
      <c r="E2" s="5"/>
      <c r="F2" s="5"/>
      <c r="I2" s="5" t="s">
        <v>205</v>
      </c>
      <c r="J2" s="5"/>
      <c r="K2" s="5"/>
      <c r="L2" s="5"/>
      <c r="M2" s="5"/>
      <c r="N2" s="5"/>
      <c r="O2" s="5"/>
      <c r="P2" s="5"/>
      <c r="Q2" s="5"/>
    </row>
    <row r="3" spans="2:17">
      <c r="B3" s="3" t="s">
        <v>206</v>
      </c>
      <c r="F3" s="111">
        <f>_xll.ciqfunctions.udf.CIQ(Main!F6, "IQ_RETURN_INVESTED_CAPITAL", "LTM12026")%</f>
        <v>-0.19708700000000001</v>
      </c>
      <c r="M3" s="30" t="s">
        <v>127</v>
      </c>
      <c r="N3" s="30" t="s">
        <v>207</v>
      </c>
      <c r="O3" s="30" t="s">
        <v>208</v>
      </c>
      <c r="P3" s="30" t="s">
        <v>209</v>
      </c>
      <c r="Q3" s="30" t="s">
        <v>210</v>
      </c>
    </row>
    <row r="4" spans="2:17" ht="14.65" thickBot="1">
      <c r="B4" s="3" t="s">
        <v>211</v>
      </c>
      <c r="F4" s="111">
        <f>_xll.ciqfunctions.udf.CIQ(Main!F6, "IQ_RETURN_EQUITY_FS", "LTM12026")%</f>
        <v>-0.28755700000000001</v>
      </c>
      <c r="M4" s="117">
        <v>2025</v>
      </c>
      <c r="N4" s="116" t="s">
        <v>212</v>
      </c>
      <c r="O4" s="116" t="s">
        <v>213</v>
      </c>
      <c r="P4" s="116" t="s">
        <v>214</v>
      </c>
      <c r="Q4" s="116" t="s">
        <v>215</v>
      </c>
    </row>
    <row r="5" spans="2:17" ht="14.65" thickTop="1">
      <c r="B5" s="3" t="s">
        <v>216</v>
      </c>
      <c r="F5" s="111">
        <f>Main!G135/AVERAGE(Main!F81,Main!E81)</f>
        <v>-5.2777585829281922E-5</v>
      </c>
      <c r="I5" s="3" t="s">
        <v>217</v>
      </c>
      <c r="M5" s="7">
        <f>9916.4/173.56</f>
        <v>57.13528462779442</v>
      </c>
      <c r="N5" s="7">
        <f>_xll.ciqfunctions.udf.CIQ(Main!F6, "IQ_TEV_TOTAL_REV_FWD", "FY2026")</f>
        <v>31.124300000000002</v>
      </c>
      <c r="O5" s="7">
        <f>_xll.ciqfunctions.udf.CIQ(Main!F6, "IQ_TEV_TOTAL_REV_FWD", "FY2027")</f>
        <v>20.14424</v>
      </c>
      <c r="P5" s="7">
        <f>_xll.ciqfunctions.udf.CIQ(Main!F6, "IQ_TEV_TOTAL_REV_FWD", "FY2028")</f>
        <v>10.24775</v>
      </c>
      <c r="Q5" s="7">
        <v>-419949</v>
      </c>
    </row>
    <row r="6" spans="2:17">
      <c r="B6" s="3" t="s">
        <v>218</v>
      </c>
      <c r="F6" s="113">
        <f>'EBITDA Adjustment'!F28+'EBITDA Adjustment'!F29</f>
        <v>23.109377372187765</v>
      </c>
      <c r="I6" s="12" t="s">
        <v>219</v>
      </c>
      <c r="J6" s="66"/>
      <c r="K6" s="66"/>
      <c r="L6" s="66"/>
      <c r="M6" s="65" t="s">
        <v>30</v>
      </c>
      <c r="N6" s="67">
        <f>N5/M5-1</f>
        <v>-0.45525256060667174</v>
      </c>
      <c r="O6" s="67">
        <f t="shared" ref="O6:P6" si="0">O5/N5-1</f>
        <v>-0.35278094607750221</v>
      </c>
      <c r="P6" s="67">
        <f t="shared" si="0"/>
        <v>-0.49128137869683841</v>
      </c>
      <c r="Q6" s="67">
        <f>P6*P5</f>
        <v>-5.0345287485405255</v>
      </c>
    </row>
    <row r="7" spans="2:17">
      <c r="I7" s="3" t="s">
        <v>220</v>
      </c>
      <c r="M7" s="7">
        <v>92.55</v>
      </c>
      <c r="N7" s="7">
        <v>156.18</v>
      </c>
      <c r="O7" s="7">
        <v>32.35</v>
      </c>
      <c r="P7" s="7">
        <v>14.8</v>
      </c>
      <c r="Q7" s="7">
        <f>-MEDIAN(N8:P8)*P7</f>
        <v>8.0290571870170009</v>
      </c>
    </row>
    <row r="8" spans="2:17" s="13" customFormat="1">
      <c r="B8" s="5" t="s">
        <v>221</v>
      </c>
      <c r="C8" s="115"/>
      <c r="D8" s="115"/>
      <c r="E8" s="115"/>
      <c r="F8" s="115"/>
      <c r="I8" s="12" t="s">
        <v>219</v>
      </c>
      <c r="J8" s="118"/>
      <c r="K8" s="118"/>
      <c r="L8" s="118"/>
      <c r="M8" s="119" t="s">
        <v>30</v>
      </c>
      <c r="N8" s="67">
        <f>N7/M7-1</f>
        <v>0.68752025931928706</v>
      </c>
      <c r="O8" s="67">
        <f t="shared" ref="O8:P8" si="1">O7/N7-1</f>
        <v>-0.79286720450761938</v>
      </c>
      <c r="P8" s="67">
        <f t="shared" si="1"/>
        <v>-0.54250386398763517</v>
      </c>
      <c r="Q8" s="67">
        <f>Q7/P7-1</f>
        <v>-0.45749613601236483</v>
      </c>
    </row>
    <row r="9" spans="2:17">
      <c r="B9" s="3" t="s">
        <v>222</v>
      </c>
      <c r="F9" s="111">
        <f>(10.3+677.8)/(10.3+677.8+1870)</f>
        <v>0.26898870255267576</v>
      </c>
      <c r="I9" s="3" t="s">
        <v>223</v>
      </c>
      <c r="M9" s="7" t="s">
        <v>224</v>
      </c>
      <c r="N9" s="7" t="s">
        <v>224</v>
      </c>
      <c r="O9" s="7">
        <v>56.64</v>
      </c>
      <c r="P9" s="7">
        <v>19.43</v>
      </c>
      <c r="Q9" s="7">
        <f>-P10*P9</f>
        <v>12.76465925141243</v>
      </c>
    </row>
    <row r="10" spans="2:17">
      <c r="B10" s="3" t="s">
        <v>225</v>
      </c>
      <c r="F10" s="114">
        <f>(677.8+10.3)/-171.5</f>
        <v>-4.0122448979591834</v>
      </c>
      <c r="I10" s="12" t="s">
        <v>226</v>
      </c>
      <c r="J10" s="66"/>
      <c r="K10" s="66"/>
      <c r="L10" s="66"/>
      <c r="M10" s="65" t="s">
        <v>30</v>
      </c>
      <c r="N10" s="65" t="s">
        <v>30</v>
      </c>
      <c r="O10" s="65" t="s">
        <v>30</v>
      </c>
      <c r="P10" s="67">
        <f>P9/O9-1</f>
        <v>-0.65695621468926557</v>
      </c>
      <c r="Q10" s="67">
        <f>Q9/P9-1</f>
        <v>-0.34304378531073443</v>
      </c>
    </row>
    <row r="11" spans="2:17">
      <c r="B11" s="3" t="s">
        <v>227</v>
      </c>
      <c r="F11" s="114">
        <f>(677.8+10.3-148.4)/-171.5</f>
        <v>-3.1469387755102036</v>
      </c>
      <c r="I11" s="3" t="s">
        <v>228</v>
      </c>
      <c r="M11" s="7">
        <v>26.74</v>
      </c>
      <c r="N11" s="7">
        <v>29.55</v>
      </c>
      <c r="O11" s="7">
        <v>15.89</v>
      </c>
      <c r="P11" s="7">
        <v>9.06</v>
      </c>
      <c r="Q11" s="7">
        <f>-P12*P11</f>
        <v>3.8942605412208935</v>
      </c>
    </row>
    <row r="12" spans="2:17">
      <c r="B12" s="3" t="s">
        <v>229</v>
      </c>
      <c r="F12" s="114">
        <f>(677.8+10.3)/13.9</f>
        <v>49.503597122302153</v>
      </c>
      <c r="I12" s="12" t="s">
        <v>226</v>
      </c>
      <c r="J12" s="66"/>
      <c r="K12" s="66"/>
      <c r="L12" s="66"/>
      <c r="M12" s="65" t="s">
        <v>30</v>
      </c>
      <c r="N12" s="67">
        <f>N11/M11-1</f>
        <v>0.10508601346297697</v>
      </c>
      <c r="O12" s="67">
        <f>O11/N11-1</f>
        <v>-0.4622673434856176</v>
      </c>
      <c r="P12" s="67">
        <f>P11/O11-1</f>
        <v>-0.42983008181246063</v>
      </c>
      <c r="Q12" s="67">
        <f>Q11/P11-1</f>
        <v>-0.57016991818753937</v>
      </c>
    </row>
    <row r="13" spans="2:17">
      <c r="B13" s="3" t="s">
        <v>230</v>
      </c>
      <c r="F13" s="114">
        <f>(677.8+10.3-148.4)/13.9</f>
        <v>38.827338129496397</v>
      </c>
      <c r="I13" s="3" t="s">
        <v>231</v>
      </c>
      <c r="M13" s="7" t="s">
        <v>224</v>
      </c>
      <c r="N13" s="7" t="s">
        <v>224</v>
      </c>
      <c r="O13" s="7" t="s">
        <v>224</v>
      </c>
      <c r="P13" s="7">
        <v>35.979999999999997</v>
      </c>
      <c r="Q13" s="7">
        <v>35.979999999999997</v>
      </c>
    </row>
    <row r="14" spans="2:17">
      <c r="B14" s="3" t="s">
        <v>232</v>
      </c>
      <c r="F14" s="114">
        <f>-171.5/(17.2-0.1)</f>
        <v>-10.029239766081872</v>
      </c>
      <c r="I14" s="12" t="s">
        <v>226</v>
      </c>
      <c r="M14" s="7" t="s">
        <v>30</v>
      </c>
      <c r="N14" s="7" t="s">
        <v>30</v>
      </c>
      <c r="O14" s="7" t="s">
        <v>30</v>
      </c>
      <c r="P14" s="7" t="s">
        <v>30</v>
      </c>
      <c r="Q14" s="7" t="s">
        <v>30</v>
      </c>
    </row>
    <row r="15" spans="2:17">
      <c r="B15" s="3" t="s">
        <v>233</v>
      </c>
      <c r="F15" s="114">
        <f>(-171.5-876.2)/(17.2-0.1)</f>
        <v>-61.269005847953224</v>
      </c>
    </row>
    <row r="16" spans="2:17">
      <c r="B16" s="3" t="s">
        <v>234</v>
      </c>
      <c r="F16" s="114">
        <f>(-129)/(17.2-0.1)</f>
        <v>-7.5438596491228083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D684-655F-4409-8DA4-38DD4AC31A13}">
  <dimension ref="A3:I29"/>
  <sheetViews>
    <sheetView workbookViewId="0">
      <selection activeCell="C38" sqref="C38"/>
    </sheetView>
  </sheetViews>
  <sheetFormatPr defaultColWidth="9" defaultRowHeight="14.25"/>
  <cols>
    <col min="1" max="1" width="52.28515625" style="3" customWidth="1"/>
    <col min="2" max="3" width="2.5703125" style="3" customWidth="1"/>
    <col min="4" max="4" width="18.28515625" style="3" customWidth="1"/>
    <col min="5" max="5" width="24.5703125" style="3" customWidth="1"/>
    <col min="6" max="6" width="18.85546875" style="3" bestFit="1" customWidth="1"/>
    <col min="7" max="7" width="10.140625" style="3" bestFit="1" customWidth="1"/>
    <col min="8" max="8" width="11.5703125" style="3" customWidth="1"/>
    <col min="9" max="9" width="10.42578125" style="3" customWidth="1"/>
    <col min="10" max="16384" width="9" style="3"/>
  </cols>
  <sheetData>
    <row r="3" spans="1:9">
      <c r="A3" s="58" t="s">
        <v>235</v>
      </c>
      <c r="B3" s="58"/>
      <c r="C3" s="58"/>
      <c r="D3" s="57"/>
      <c r="E3" s="57"/>
      <c r="F3" s="57"/>
      <c r="G3" s="57"/>
      <c r="H3" s="57"/>
      <c r="I3" s="57"/>
    </row>
    <row r="4" spans="1:9">
      <c r="A4" s="64"/>
      <c r="B4" s="64"/>
      <c r="C4" s="64"/>
      <c r="D4" s="130" t="s">
        <v>125</v>
      </c>
      <c r="E4" s="130"/>
      <c r="F4" s="130"/>
      <c r="G4" s="62" t="s">
        <v>126</v>
      </c>
      <c r="H4" s="62" t="s">
        <v>126</v>
      </c>
      <c r="I4" s="62" t="s">
        <v>127</v>
      </c>
    </row>
    <row r="5" spans="1:9">
      <c r="A5" s="7"/>
      <c r="B5" s="7"/>
      <c r="C5" s="7"/>
      <c r="D5" s="30" t="s">
        <v>128</v>
      </c>
      <c r="E5" s="30" t="s">
        <v>129</v>
      </c>
      <c r="F5" s="30" t="s">
        <v>130</v>
      </c>
      <c r="G5" s="30" t="s">
        <v>132</v>
      </c>
      <c r="H5" s="30" t="s">
        <v>236</v>
      </c>
      <c r="I5" s="30" t="s">
        <v>132</v>
      </c>
    </row>
    <row r="6" spans="1:9">
      <c r="A6" s="3" t="s">
        <v>237</v>
      </c>
      <c r="D6" s="3">
        <v>-43528</v>
      </c>
      <c r="E6" s="3">
        <v>-79979</v>
      </c>
      <c r="F6" s="3">
        <v>-160950</v>
      </c>
      <c r="G6" s="3">
        <v>15868</v>
      </c>
      <c r="H6" s="3">
        <v>27823</v>
      </c>
      <c r="I6" s="3">
        <f>F6+G6-H6</f>
        <v>-172905</v>
      </c>
    </row>
    <row r="7" spans="1:9">
      <c r="A7" s="12" t="s">
        <v>238</v>
      </c>
      <c r="B7" s="12"/>
      <c r="C7" s="12"/>
      <c r="D7" s="66">
        <f>_xll.ciqfunctions.udf.CIQ(Main!F6, "IQ_INTEREST_EXP", "FY2023")</f>
        <v>-2.0059999999999998</v>
      </c>
      <c r="E7" s="66">
        <f>_xll.ciqfunctions.udf.CIQ(Main!F6, "IQ_INTEREST_EXP", "FY2024")</f>
        <v>-17.707999999999998</v>
      </c>
      <c r="F7" s="66">
        <f>_xll.ciqfunctions.udf.CIQ(Main!F6, "IQ_INTEREST_EXP", "FY2025")</f>
        <v>-14.739000000000001</v>
      </c>
      <c r="G7" s="66">
        <f>_xll.ciqfunctions.udf.CIQ(Main!F6, "IQ_INTEREST_EXP", "FQ12025")</f>
        <v>-3.0030000000000001</v>
      </c>
      <c r="H7" s="66">
        <f>_xll.ciqfunctions.udf.CIQ(Main!F6, "IQ_INTEREST_EXP", "FQ12026")</f>
        <v>-5.5220000000000002</v>
      </c>
      <c r="I7" s="66">
        <f>_xll.ciqfunctions.udf.CIQ(Main!F6, "IQ_INTEREST_EXP", "LTM12026")</f>
        <v>-17.257999999999999</v>
      </c>
    </row>
    <row r="8" spans="1:9">
      <c r="A8" s="12" t="s">
        <v>239</v>
      </c>
      <c r="B8" s="12"/>
      <c r="C8" s="12"/>
      <c r="D8" s="66">
        <f>_xll.ciqfunctions.udf.CIQ(Main!F6, "IQ_INC_TAX", "FY2023")</f>
        <v>-0.52300000000000002</v>
      </c>
      <c r="E8" s="66">
        <f>_xll.ciqfunctions.udf.CIQ(Main!F6, "IQ_INC_TAX", "FY2024")</f>
        <v>9.6000000000000002E-2</v>
      </c>
      <c r="F8" s="66">
        <f>_xll.ciqfunctions.udf.CIQ(Main!F6, "IQ_INC_TAX", "FY2025")</f>
        <v>0.10199999999999999</v>
      </c>
      <c r="G8" s="66">
        <f>_xll.ciqfunctions.udf.CIQ(Main!F6, "IQ_INC_TAX", "FQ12025")</f>
        <v>0</v>
      </c>
      <c r="H8" s="66">
        <f>_xll.ciqfunctions.udf.CIQ(Main!F6, "IQ_INC_TAX", "FQ12026")</f>
        <v>8.0000000000000002E-3</v>
      </c>
      <c r="I8" s="66">
        <f>_xll.ciqfunctions.udf.CIQ(Main!F6, "IQ_INC_TAX", "LTM12026")</f>
        <v>0.11</v>
      </c>
    </row>
    <row r="9" spans="1:9" ht="14.65" thickBot="1">
      <c r="A9" s="12" t="s">
        <v>240</v>
      </c>
      <c r="B9" s="12"/>
      <c r="C9" s="12"/>
      <c r="D9" s="65">
        <f>_xll.ciqfunctions.udf.CIQ(Main!F6, "IQ_DA_CF", "FY2023")</f>
        <v>7.6139999999999999</v>
      </c>
      <c r="E9" s="65">
        <f>_xll.ciqfunctions.udf.CIQ(Main!F6, "IQ_DA_CF", "FY2024")</f>
        <v>79.36</v>
      </c>
      <c r="F9" s="65">
        <f>_xll.ciqfunctions.udf.CIQ(Main!F6, "IQ_DA_CF", "FY2025")</f>
        <v>97.944999999999993</v>
      </c>
      <c r="G9" s="66">
        <f>_xll.ciqfunctions.udf.CIQ(Main!F6, "IQ_DA_CF", "FQ12025")</f>
        <v>34.271000000000001</v>
      </c>
      <c r="H9" s="66">
        <f>_xll.ciqfunctions.udf.CIQ(Main!F6, "IQ_DA_CF", "FQ12026")</f>
        <v>4.1520000000000001</v>
      </c>
      <c r="I9" s="66">
        <f>_xll.ciqfunctions.udf.CIQ(Main!F6, "IQ_DA_CF", "LTM12026")</f>
        <v>67.825999999999993</v>
      </c>
    </row>
    <row r="10" spans="1:9">
      <c r="A10" s="3" t="s">
        <v>241</v>
      </c>
      <c r="D10" s="69">
        <f>SUM(D6:D9)</f>
        <v>-43522.915000000001</v>
      </c>
      <c r="E10" s="69">
        <f t="shared" ref="E10:I10" si="0">SUM(E6:E9)</f>
        <v>-79917.251999999993</v>
      </c>
      <c r="F10" s="69">
        <f t="shared" si="0"/>
        <v>-160866.69199999998</v>
      </c>
      <c r="G10" s="69">
        <f t="shared" si="0"/>
        <v>15899.268</v>
      </c>
      <c r="H10" s="69">
        <f t="shared" si="0"/>
        <v>27821.637999999999</v>
      </c>
      <c r="I10" s="69">
        <f t="shared" si="0"/>
        <v>-172854.32200000001</v>
      </c>
    </row>
    <row r="11" spans="1:9">
      <c r="A11" s="3" t="s">
        <v>242</v>
      </c>
      <c r="D11" s="3">
        <f>_xll.ciqfunctions.udf.CIQ(Main!F6, "IQ_STOCK_BASED_TOTAL", "FY2023")</f>
        <v>32.072000000000003</v>
      </c>
      <c r="E11" s="3">
        <f>_xll.ciqfunctions.udf.CIQ(Main!F6, "IQ_STOCK_BASED_TOTAL", "FY2024")</f>
        <v>17.361999999999998</v>
      </c>
      <c r="F11" s="3">
        <f>_xll.ciqfunctions.udf.CIQ(Main!F6, "IQ_STOCK_BASED_TOTAL", "FY2025")</f>
        <v>22.704000000000001</v>
      </c>
      <c r="G11" s="3">
        <f>_xll.ciqfunctions.udf.CIQ(Main!F6, "IQ_STOCK_BASED_TOTAL", "FQ12025")</f>
        <v>-2.919</v>
      </c>
      <c r="H11" s="3">
        <f>_xll.ciqfunctions.udf.CIQ(Main!F6, "IQ_STOCK_BASED_TOTAL", "FQ12026")</f>
        <v>15.465</v>
      </c>
      <c r="I11" s="3">
        <f>_xll.ciqfunctions.udf.CIQ(Main!F6, "IQ_STOCK_BASED_TOTAL", "LTM12026")</f>
        <v>41.088000000000001</v>
      </c>
    </row>
    <row r="12" spans="1:9">
      <c r="A12" s="3" t="s">
        <v>243</v>
      </c>
      <c r="D12" s="3" t="s">
        <v>30</v>
      </c>
      <c r="E12" s="3">
        <v>1.224</v>
      </c>
      <c r="F12" s="3">
        <v>1.73</v>
      </c>
      <c r="G12" s="3">
        <v>0.32</v>
      </c>
      <c r="H12" s="3">
        <v>1.73</v>
      </c>
      <c r="I12" s="3">
        <f>F12+H106-G12</f>
        <v>1.41</v>
      </c>
    </row>
    <row r="13" spans="1:9">
      <c r="A13" s="3" t="s">
        <v>244</v>
      </c>
      <c r="D13" s="3">
        <v>2164</v>
      </c>
      <c r="E13" s="3">
        <v>5545</v>
      </c>
      <c r="F13" s="3">
        <v>17269</v>
      </c>
      <c r="G13" s="3">
        <v>2876</v>
      </c>
      <c r="H13" s="3">
        <v>1196</v>
      </c>
      <c r="I13" s="3">
        <f>F13-G13+H13</f>
        <v>15589</v>
      </c>
    </row>
    <row r="14" spans="1:9">
      <c r="A14" s="3" t="s">
        <v>245</v>
      </c>
      <c r="D14" s="3" t="s">
        <v>30</v>
      </c>
      <c r="E14" s="3">
        <v>1.589</v>
      </c>
      <c r="F14" s="3">
        <v>1.389</v>
      </c>
      <c r="G14" s="3">
        <v>407</v>
      </c>
      <c r="H14" s="3">
        <v>190</v>
      </c>
      <c r="I14" s="3">
        <f>F14+H14-G14</f>
        <v>-215.61099999999999</v>
      </c>
    </row>
    <row r="15" spans="1:9">
      <c r="A15" s="3" t="s">
        <v>246</v>
      </c>
      <c r="D15" s="3" t="s">
        <v>30</v>
      </c>
      <c r="E15" s="3" t="s">
        <v>30</v>
      </c>
      <c r="F15" s="3">
        <v>1138</v>
      </c>
      <c r="G15" s="3">
        <v>628</v>
      </c>
      <c r="H15" s="3">
        <v>1751</v>
      </c>
      <c r="I15" s="3">
        <f>F15-G15+H15</f>
        <v>2261</v>
      </c>
    </row>
    <row r="16" spans="1:9">
      <c r="A16" s="3" t="s">
        <v>247</v>
      </c>
      <c r="D16" s="70" t="s">
        <v>30</v>
      </c>
      <c r="E16" s="71">
        <v>15417</v>
      </c>
      <c r="F16" s="71">
        <v>-24616</v>
      </c>
      <c r="G16" s="3">
        <v>-24808</v>
      </c>
      <c r="H16" s="7" t="s">
        <v>30</v>
      </c>
      <c r="I16" s="3">
        <f>F16+G16</f>
        <v>-49424</v>
      </c>
    </row>
    <row r="17" spans="1:9">
      <c r="A17" s="3" t="s">
        <v>248</v>
      </c>
      <c r="D17" s="71" t="s">
        <v>30</v>
      </c>
      <c r="E17" s="71">
        <v>7401</v>
      </c>
      <c r="F17" s="71">
        <v>85439</v>
      </c>
      <c r="G17" s="3">
        <v>6422</v>
      </c>
      <c r="H17" s="7" t="s">
        <v>30</v>
      </c>
      <c r="I17" s="3">
        <f>F17-1</f>
        <v>85438</v>
      </c>
    </row>
    <row r="18" spans="1:9">
      <c r="A18" s="3" t="s">
        <v>249</v>
      </c>
      <c r="D18" s="71" t="s">
        <v>30</v>
      </c>
      <c r="F18" s="3">
        <v>2615</v>
      </c>
      <c r="G18" s="7" t="s">
        <v>30</v>
      </c>
      <c r="H18" s="3">
        <v>44</v>
      </c>
      <c r="I18" s="3">
        <v>431</v>
      </c>
    </row>
    <row r="19" spans="1:9">
      <c r="A19" s="3" t="s">
        <v>250</v>
      </c>
      <c r="D19" s="71">
        <v>1777</v>
      </c>
      <c r="F19" s="3">
        <v>627</v>
      </c>
      <c r="H19" s="3">
        <v>74</v>
      </c>
      <c r="I19" s="3">
        <v>490</v>
      </c>
    </row>
    <row r="20" spans="1:9" ht="14.65" thickBot="1">
      <c r="D20" s="7"/>
      <c r="E20" s="7"/>
      <c r="F20" s="7"/>
      <c r="G20" s="7"/>
      <c r="H20" s="7"/>
      <c r="I20" s="7"/>
    </row>
    <row r="21" spans="1:9" ht="15" thickTop="1" thickBot="1">
      <c r="A21" s="13" t="s">
        <v>147</v>
      </c>
      <c r="B21" s="13"/>
      <c r="C21" s="13"/>
      <c r="D21" s="68">
        <f>SUM(D10:D19)</f>
        <v>-39549.843000000001</v>
      </c>
      <c r="E21" s="68">
        <v>-34698</v>
      </c>
      <c r="F21" s="68">
        <v>-128820</v>
      </c>
      <c r="G21" s="68">
        <f>SUM(G10:G17)</f>
        <v>1421.6690000000017</v>
      </c>
      <c r="H21" s="68">
        <f>SUM(H10:H19)</f>
        <v>31093.832999999999</v>
      </c>
      <c r="I21" s="68">
        <f>SUM(E21:H21)</f>
        <v>-131002.49800000001</v>
      </c>
    </row>
    <row r="22" spans="1:9" ht="14.65" thickTop="1"/>
    <row r="24" spans="1:9">
      <c r="A24" s="58" t="s">
        <v>251</v>
      </c>
      <c r="B24" s="58"/>
      <c r="C24" s="58"/>
      <c r="D24" s="57"/>
      <c r="E24" s="57"/>
      <c r="F24" s="57"/>
      <c r="G24" s="57"/>
      <c r="H24" s="57"/>
      <c r="I24" s="57"/>
    </row>
    <row r="26" spans="1:9">
      <c r="A26" s="3" t="s">
        <v>252</v>
      </c>
      <c r="D26" s="3" t="s">
        <v>253</v>
      </c>
      <c r="E26" s="3" t="s">
        <v>254</v>
      </c>
      <c r="F26" s="3" t="s">
        <v>255</v>
      </c>
    </row>
    <row r="27" spans="1:9">
      <c r="A27" s="3" t="s">
        <v>256</v>
      </c>
      <c r="D27" s="3">
        <v>0</v>
      </c>
      <c r="E27" s="3">
        <v>279685875</v>
      </c>
    </row>
    <row r="28" spans="1:9">
      <c r="A28" s="3" t="s">
        <v>257</v>
      </c>
      <c r="D28" s="3">
        <v>214000</v>
      </c>
      <c r="E28" s="3">
        <v>301673</v>
      </c>
      <c r="F28" s="3">
        <f>D28/E28</f>
        <v>0.7093773721877662</v>
      </c>
    </row>
    <row r="29" spans="1:9">
      <c r="A29" s="3" t="s">
        <v>258</v>
      </c>
      <c r="D29" s="3">
        <v>1400000</v>
      </c>
      <c r="E29" s="3">
        <v>62500</v>
      </c>
      <c r="F29" s="3">
        <f>D29/E29</f>
        <v>22.4</v>
      </c>
    </row>
  </sheetData>
  <mergeCells count="1">
    <mergeCell ref="D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BFFE-5D38-4415-8895-78179CB4BBA0}">
  <dimension ref="A1:AX1"/>
  <sheetViews>
    <sheetView workbookViewId="0"/>
  </sheetViews>
  <sheetFormatPr defaultRowHeight="14.25"/>
  <sheetData>
    <row r="1" spans="1:50">
      <c r="A1">
        <v>50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274</v>
      </c>
      <c r="R1" t="s">
        <v>275</v>
      </c>
      <c r="S1" t="s">
        <v>276</v>
      </c>
      <c r="T1" t="s">
        <v>277</v>
      </c>
      <c r="U1" t="s">
        <v>278</v>
      </c>
      <c r="V1" t="s">
        <v>279</v>
      </c>
      <c r="W1" t="s">
        <v>280</v>
      </c>
      <c r="X1" t="s">
        <v>281</v>
      </c>
      <c r="Y1" t="s">
        <v>282</v>
      </c>
      <c r="Z1" t="s">
        <v>283</v>
      </c>
      <c r="AA1" t="s">
        <v>284</v>
      </c>
      <c r="AB1" t="s">
        <v>285</v>
      </c>
      <c r="AC1" t="s">
        <v>286</v>
      </c>
      <c r="AD1" t="s">
        <v>287</v>
      </c>
      <c r="AE1" t="s">
        <v>288</v>
      </c>
      <c r="AF1" t="s">
        <v>289</v>
      </c>
      <c r="AG1" t="s">
        <v>290</v>
      </c>
      <c r="AH1" t="s">
        <v>291</v>
      </c>
      <c r="AI1" t="s">
        <v>292</v>
      </c>
      <c r="AJ1" t="s">
        <v>293</v>
      </c>
      <c r="AK1" t="s">
        <v>294</v>
      </c>
      <c r="AL1" t="s">
        <v>295</v>
      </c>
      <c r="AM1" t="s">
        <v>296</v>
      </c>
      <c r="AN1" t="s">
        <v>297</v>
      </c>
      <c r="AO1" t="s">
        <v>298</v>
      </c>
      <c r="AP1" t="s">
        <v>299</v>
      </c>
      <c r="AQ1" t="s">
        <v>300</v>
      </c>
      <c r="AR1" t="s">
        <v>301</v>
      </c>
      <c r="AS1" t="s">
        <v>302</v>
      </c>
      <c r="AT1" t="s">
        <v>303</v>
      </c>
      <c r="AU1" t="s">
        <v>304</v>
      </c>
      <c r="AV1" t="s">
        <v>305</v>
      </c>
      <c r="AW1" t="s">
        <v>306</v>
      </c>
      <c r="AX1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2109-0370-4BE9-A6CE-60955A17AB34}">
  <dimension ref="B1:AZ58"/>
  <sheetViews>
    <sheetView tabSelected="1" topLeftCell="A2" zoomScale="108" zoomScaleNormal="160" workbookViewId="0">
      <pane xSplit="5" ySplit="3" topLeftCell="AU43" activePane="bottomRight" state="frozen"/>
      <selection pane="bottomRight" activeCell="A2" sqref="A2:AZ58"/>
      <selection pane="bottomLeft" activeCell="A5" sqref="A5"/>
      <selection pane="topRight" activeCell="F2" sqref="F2"/>
    </sheetView>
  </sheetViews>
  <sheetFormatPr defaultColWidth="10.5703125" defaultRowHeight="14.25"/>
  <cols>
    <col min="1" max="5" width="10.5703125" style="3"/>
    <col min="6" max="6" width="10.7109375" style="3" bestFit="1" customWidth="1"/>
    <col min="7" max="7" width="13.28515625" style="3" bestFit="1" customWidth="1"/>
    <col min="8" max="8" width="2.5703125" style="3" customWidth="1"/>
    <col min="9" max="9" width="10.85546875" style="3" bestFit="1" customWidth="1"/>
    <col min="10" max="13" width="10.5703125" style="3"/>
    <col min="14" max="14" width="2.5703125" style="3" customWidth="1"/>
    <col min="15" max="18" width="10.5703125" style="3"/>
    <col min="19" max="19" width="2.5703125" style="3" customWidth="1"/>
    <col min="20" max="20" width="10.7109375" style="3" bestFit="1" customWidth="1"/>
    <col min="21" max="21" width="11" style="3" bestFit="1" customWidth="1"/>
    <col min="22" max="22" width="10.7109375" style="3" bestFit="1" customWidth="1"/>
    <col min="23" max="23" width="11" style="3" bestFit="1" customWidth="1"/>
    <col min="24" max="30" width="10.5703125" style="3"/>
    <col min="31" max="31" width="2.5703125" style="3" customWidth="1"/>
    <col min="32" max="35" width="10.5703125" style="3"/>
    <col min="36" max="36" width="2.5703125" style="3" customWidth="1"/>
    <col min="37" max="37" width="10.5703125" style="3"/>
    <col min="38" max="38" width="11" style="3" customWidth="1"/>
    <col min="39" max="39" width="10.5703125" style="3"/>
    <col min="40" max="40" width="2.5703125" style="3" customWidth="1"/>
    <col min="41" max="43" width="10.5703125" style="3"/>
    <col min="44" max="44" width="2.5703125" style="3" customWidth="1"/>
    <col min="45" max="16384" width="10.5703125" style="3"/>
  </cols>
  <sheetData>
    <row r="1" spans="2:47">
      <c r="F1" s="6">
        <v>1000000</v>
      </c>
    </row>
    <row r="2" spans="2:47" s="8" customFormat="1">
      <c r="F2" s="131" t="s">
        <v>308</v>
      </c>
      <c r="G2" s="131"/>
      <c r="I2" s="131" t="s">
        <v>309</v>
      </c>
      <c r="J2" s="131"/>
      <c r="K2" s="131"/>
      <c r="L2" s="131"/>
      <c r="M2" s="131"/>
      <c r="O2" s="131" t="s">
        <v>310</v>
      </c>
      <c r="P2" s="131"/>
      <c r="Q2" s="131"/>
      <c r="R2" s="131"/>
      <c r="T2" s="131" t="s">
        <v>311</v>
      </c>
      <c r="U2" s="131"/>
      <c r="V2" s="131"/>
      <c r="W2" s="131"/>
      <c r="X2" s="131"/>
      <c r="Y2" s="131"/>
      <c r="Z2" s="131"/>
      <c r="AA2" s="131"/>
      <c r="AD2" s="23" t="s">
        <v>312</v>
      </c>
      <c r="AF2" s="131" t="s">
        <v>313</v>
      </c>
      <c r="AG2" s="131"/>
      <c r="AH2" s="131"/>
      <c r="AI2" s="131"/>
      <c r="AK2" s="131" t="s">
        <v>314</v>
      </c>
      <c r="AL2" s="131"/>
      <c r="AM2" s="131"/>
      <c r="AO2" s="131" t="s">
        <v>315</v>
      </c>
      <c r="AP2" s="131"/>
      <c r="AQ2" s="131"/>
      <c r="AS2" s="131" t="s">
        <v>316</v>
      </c>
      <c r="AT2" s="131"/>
      <c r="AU2" s="131"/>
    </row>
    <row r="3" spans="2:47" s="13" customFormat="1" ht="14.65" thickBot="1">
      <c r="T3" s="132" t="s">
        <v>317</v>
      </c>
      <c r="U3" s="132"/>
      <c r="V3" s="132" t="s">
        <v>318</v>
      </c>
      <c r="W3" s="132"/>
      <c r="X3" s="133" t="s">
        <v>319</v>
      </c>
      <c r="Y3" s="133"/>
      <c r="Z3" s="133"/>
      <c r="AA3" s="133"/>
    </row>
    <row r="4" spans="2:47" s="62" customFormat="1" ht="29.25" thickTop="1" thickBot="1">
      <c r="B4" s="120" t="s">
        <v>320</v>
      </c>
      <c r="C4" s="120"/>
      <c r="D4" s="120"/>
      <c r="E4" s="120" t="s">
        <v>6</v>
      </c>
      <c r="F4" s="120" t="s">
        <v>321</v>
      </c>
      <c r="G4" s="120" t="s">
        <v>322</v>
      </c>
      <c r="I4" s="120" t="s">
        <v>317</v>
      </c>
      <c r="J4" s="120" t="s">
        <v>137</v>
      </c>
      <c r="K4" s="120" t="s">
        <v>323</v>
      </c>
      <c r="L4" s="120" t="s">
        <v>140</v>
      </c>
      <c r="M4" s="120" t="s">
        <v>324</v>
      </c>
      <c r="O4" s="120" t="s">
        <v>325</v>
      </c>
      <c r="P4" s="120" t="s">
        <v>326</v>
      </c>
      <c r="Q4" s="120" t="s">
        <v>327</v>
      </c>
      <c r="R4" s="120" t="s">
        <v>328</v>
      </c>
      <c r="T4" s="29" t="s">
        <v>329</v>
      </c>
      <c r="U4" s="29" t="s">
        <v>330</v>
      </c>
      <c r="V4" s="29" t="s">
        <v>331</v>
      </c>
      <c r="W4" s="29" t="s">
        <v>330</v>
      </c>
      <c r="X4" s="29" t="s">
        <v>332</v>
      </c>
      <c r="Y4" s="29" t="s">
        <v>333</v>
      </c>
      <c r="Z4" s="29" t="s">
        <v>334</v>
      </c>
      <c r="AA4" s="29" t="s">
        <v>335</v>
      </c>
      <c r="AD4" s="62" t="s">
        <v>336</v>
      </c>
      <c r="AF4" s="62" t="s">
        <v>337</v>
      </c>
      <c r="AG4" s="62" t="s">
        <v>338</v>
      </c>
      <c r="AH4" s="62" t="s">
        <v>339</v>
      </c>
      <c r="AI4" s="62" t="s">
        <v>340</v>
      </c>
      <c r="AK4" s="62" t="s">
        <v>341</v>
      </c>
      <c r="AL4" s="62" t="s">
        <v>342</v>
      </c>
      <c r="AM4" s="62" t="s">
        <v>343</v>
      </c>
      <c r="AO4" s="62" t="s">
        <v>344</v>
      </c>
      <c r="AP4" s="62" t="s">
        <v>345</v>
      </c>
      <c r="AQ4" s="62" t="s">
        <v>346</v>
      </c>
      <c r="AS4" s="62" t="s">
        <v>347</v>
      </c>
      <c r="AT4" s="62" t="s">
        <v>348</v>
      </c>
      <c r="AU4" s="62" t="s">
        <v>349</v>
      </c>
    </row>
    <row r="5" spans="2:47" s="13" customFormat="1" ht="14.65" thickTop="1">
      <c r="B5" s="13" t="s">
        <v>350</v>
      </c>
      <c r="E5" s="30" t="s">
        <v>7</v>
      </c>
      <c r="F5" s="122">
        <f>((Main!F23)/1000000)</f>
        <v>9050.6047822400014</v>
      </c>
      <c r="G5" s="122">
        <f>((Main!F29))/1000000</f>
        <v>9916.441782240001</v>
      </c>
      <c r="H5" s="122"/>
      <c r="I5" s="122">
        <f>(Main!G123*1000)/1000000</f>
        <v>173.56</v>
      </c>
      <c r="J5" s="122">
        <f>Main!G127/1000</f>
        <v>39.246000000000002</v>
      </c>
      <c r="K5" s="122">
        <f>_xll.ciqfunctions.udf.CIQ($E$5, "IQ_EBITDA", "LTM12026")</f>
        <v>5.8479999999999999</v>
      </c>
      <c r="L5" s="122">
        <f>Main!G131/1000</f>
        <v>-129.804</v>
      </c>
      <c r="M5" s="122">
        <f>Main!G135/1000</f>
        <v>-112.65600000000001</v>
      </c>
      <c r="N5" s="30"/>
      <c r="O5" s="121">
        <f>Main!G128</f>
        <v>0.22612353076745795</v>
      </c>
      <c r="P5" s="121">
        <f>K5/I5</f>
        <v>3.369439963125144E-2</v>
      </c>
      <c r="Q5" s="121">
        <f>L5/I5</f>
        <v>-0.74789121917492507</v>
      </c>
      <c r="R5" s="121">
        <f>M5/I5</f>
        <v>-0.64908965199354696</v>
      </c>
      <c r="S5" s="30"/>
      <c r="T5" s="121">
        <f>Main!G124</f>
        <v>0.76725654468500171</v>
      </c>
      <c r="U5" s="121">
        <v>0.71289999999999998</v>
      </c>
      <c r="V5" s="121">
        <f>Main!G141</f>
        <v>-0.67746134427264115</v>
      </c>
      <c r="W5" s="121">
        <f>60.66/K5-1</f>
        <v>9.3727770177838572</v>
      </c>
      <c r="X5" s="121"/>
      <c r="Y5" s="121">
        <f>(Main!G138+1.17)/-1.17</f>
        <v>-0.57748922920448265</v>
      </c>
      <c r="Z5" s="121">
        <f>(Z7/Main!G138)-1</f>
        <v>-8.9690935236472091E-2</v>
      </c>
      <c r="AA5" s="121" t="s">
        <v>351</v>
      </c>
      <c r="AD5" s="13">
        <f>_xll.ciqfunctions.udf.CIQ($E$5, "IQ_BETA_2YR")</f>
        <v>3.1248</v>
      </c>
      <c r="AF5" s="127">
        <f>'Investment ratios'!F3</f>
        <v>-0.19708700000000001</v>
      </c>
      <c r="AG5" s="127">
        <f>'Investment ratios'!F4</f>
        <v>-0.28755700000000001</v>
      </c>
      <c r="AH5" s="127">
        <f>'Investment ratios'!F5</f>
        <v>-5.2777585829281922E-5</v>
      </c>
      <c r="AI5" s="108">
        <f>'Investment ratios'!F6</f>
        <v>23.109377372187765</v>
      </c>
      <c r="AK5" s="127">
        <f>'Investment ratios'!F9</f>
        <v>0.26898870255267576</v>
      </c>
      <c r="AL5" s="13">
        <f>'Investment ratios'!F10</f>
        <v>-4.0122448979591834</v>
      </c>
      <c r="AM5" s="13">
        <f>'Investment ratios'!F11</f>
        <v>-3.1469387755102036</v>
      </c>
      <c r="AO5" s="13">
        <f>'Investment ratios'!F14</f>
        <v>-10.029239766081872</v>
      </c>
      <c r="AP5" s="13">
        <f>'Investment ratios'!F15</f>
        <v>-61.269005847953224</v>
      </c>
      <c r="AQ5" s="13">
        <f>'Investment ratios'!F16</f>
        <v>-7.5438596491228083</v>
      </c>
    </row>
    <row r="6" spans="2:47" s="118" customFormat="1">
      <c r="B6" s="123" t="s">
        <v>352</v>
      </c>
      <c r="E6" s="119"/>
      <c r="F6" s="124"/>
      <c r="G6" s="124"/>
      <c r="H6" s="124"/>
      <c r="I6" s="124"/>
      <c r="J6" s="124"/>
      <c r="K6" s="124"/>
      <c r="L6" s="124"/>
      <c r="M6" s="124"/>
      <c r="N6" s="119"/>
      <c r="O6" s="125"/>
      <c r="P6" s="125"/>
      <c r="Q6" s="125"/>
      <c r="R6" s="125"/>
      <c r="S6" s="119"/>
      <c r="T6" s="125"/>
      <c r="U6" s="125"/>
      <c r="V6" s="125"/>
      <c r="W6" s="125"/>
      <c r="X6" s="67">
        <v>-8.6999999999999994E-3</v>
      </c>
      <c r="Y6" s="66">
        <v>-1.1785699999999999</v>
      </c>
      <c r="Z6" s="66">
        <v>-0.45</v>
      </c>
      <c r="AA6" s="66">
        <v>-0.26833000000000001</v>
      </c>
      <c r="AL6" s="128" t="s">
        <v>353</v>
      </c>
    </row>
    <row r="7" spans="2:47">
      <c r="Y7" s="6">
        <v>-1.1785699999999999</v>
      </c>
      <c r="Z7" s="6">
        <v>-0.45</v>
      </c>
      <c r="AA7" s="6">
        <v>-0.26833000000000001</v>
      </c>
    </row>
    <row r="8" spans="2:47" s="8" customFormat="1">
      <c r="B8" s="5" t="s">
        <v>354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D8" s="5" t="s">
        <v>354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10" spans="2:47">
      <c r="B10" s="3" t="s">
        <v>355</v>
      </c>
      <c r="E10" s="3" t="s">
        <v>356</v>
      </c>
      <c r="F10" s="113">
        <v>5563.19</v>
      </c>
      <c r="G10" s="113">
        <v>6103.5</v>
      </c>
      <c r="H10" s="113"/>
      <c r="I10" s="113">
        <f>_xll.ciqfunctions.udf.CIQ(E10, "IQ_TOTAL_REV", "LTM32025")</f>
        <v>334.18099999999998</v>
      </c>
      <c r="J10" s="113">
        <f>_xll.ciqfunctions.udf.CIQ(E10, "IQ_GP", "LTM32025")</f>
        <v>34.134999999999998</v>
      </c>
      <c r="K10" s="113">
        <f>_xll.ciqfunctions.udf.CIQ(E10, "IQ_EBITDA_EQ_INC", "LTM32025")</f>
        <v>-54.055</v>
      </c>
      <c r="L10" s="113">
        <f>_xll.ciqfunctions.udf.CIQ(E10, "IQ_EBIT", "LTM32025")</f>
        <v>-156.084</v>
      </c>
      <c r="M10" s="113">
        <f>_xll.ciqfunctions.udf.CIQ(E10, "IQ_NI", "LTM32025")</f>
        <v>-768.30700000000002</v>
      </c>
      <c r="O10" s="111">
        <f>J10/I10</f>
        <v>0.10214524464287317</v>
      </c>
      <c r="P10" s="111">
        <f>K10/I10</f>
        <v>-0.16175366044149728</v>
      </c>
      <c r="Q10" s="111">
        <f>L10/I10</f>
        <v>-0.46706425559801429</v>
      </c>
      <c r="R10" s="111">
        <f>M10/I10</f>
        <v>-2.2990744536643319</v>
      </c>
      <c r="T10" s="111">
        <f>(I10/T11)-1</f>
        <v>-0.40076137398776357</v>
      </c>
      <c r="U10" s="111">
        <f>(U11/I10)-1</f>
        <v>1.3060213776366698</v>
      </c>
      <c r="V10" s="111">
        <f>(K10/V11)-1</f>
        <v>-1.3576296080662662</v>
      </c>
      <c r="W10" s="111">
        <f>-(W11/K10)-1</f>
        <v>5.086776616409213</v>
      </c>
      <c r="X10" s="111"/>
      <c r="Y10" s="111">
        <v>-0.60560000000000003</v>
      </c>
      <c r="Z10" s="111">
        <v>0.95650000000000002</v>
      </c>
      <c r="AA10" s="111">
        <v>0.33339999999999997</v>
      </c>
      <c r="AC10" s="111"/>
      <c r="AD10" s="3">
        <f>_xll.ciqfunctions.udf.CIQ($E$10, "IQ_BETA_2YR")</f>
        <v>2.9414899999999999</v>
      </c>
    </row>
    <row r="11" spans="2:47" s="66" customFormat="1">
      <c r="B11" s="12" t="s">
        <v>352</v>
      </c>
      <c r="T11" s="66">
        <f>_xll.ciqfunctions.udf.CIQ(E10, "IQ_TOTAL_REV", "LTM32024")</f>
        <v>557.67600000000004</v>
      </c>
      <c r="U11" s="66">
        <f>_xll.ciqfunctions.udf.CIQ(E10, "IQ_REVENUE_EST", "FY2026")</f>
        <v>770.62852999999996</v>
      </c>
      <c r="V11" s="66">
        <f>_xll.ciqfunctions.udf.CIQ(E10, "IQ_EBITDA", "LTM32024")</f>
        <v>151.148</v>
      </c>
      <c r="W11" s="66">
        <f>_xll.ciqfunctions.udf.CIQ(E10, "IQ_EBITDA_EST", "FY2026")</f>
        <v>329.02071000000001</v>
      </c>
      <c r="X11" s="66">
        <f>_xll.ciqfunctions.udf.CIQ($E$10, "IQ_EPS_EST", "FY2024")</f>
        <v>-3.9992399999999999</v>
      </c>
      <c r="Y11" s="3">
        <v>-2.6997800000000001</v>
      </c>
      <c r="Z11" s="3">
        <v>0.09</v>
      </c>
      <c r="AA11" s="3">
        <v>0.12</v>
      </c>
    </row>
    <row r="12" spans="2:47">
      <c r="B12" s="3" t="s">
        <v>357</v>
      </c>
      <c r="E12" s="3" t="s">
        <v>358</v>
      </c>
      <c r="F12" s="113">
        <v>669.7</v>
      </c>
      <c r="G12" s="113">
        <v>739</v>
      </c>
      <c r="I12" s="113">
        <f>_xll.ciqfunctions.udf.CIQ(E12, "IQ_TOTAL_REV", "LTM32025")</f>
        <v>105.70314</v>
      </c>
      <c r="J12" s="113">
        <f>_xll.ciqfunctions.udf.CIQ(E12, "IQ_GP", "LTM32025")</f>
        <v>52.0349</v>
      </c>
      <c r="K12" s="113">
        <f>_xll.ciqfunctions.udf.CIQ(E12, "IQ_EBITDA", "LTM32025")</f>
        <v>162.19909000000001</v>
      </c>
      <c r="L12" s="113">
        <f>_xll.ciqfunctions.udf.CIQ(E12, "IQ_EBIT", "LTM32025")</f>
        <v>128.3621</v>
      </c>
      <c r="M12" s="113">
        <f>_xll.ciqfunctions.udf.CIQ(E12, "IQ_NI", "LTM32025")</f>
        <v>137.01881</v>
      </c>
      <c r="O12" s="111">
        <f>J12/I12</f>
        <v>0.49227392866474923</v>
      </c>
      <c r="P12" s="111">
        <f>K12/I12</f>
        <v>1.5344774999115447</v>
      </c>
      <c r="Q12" s="111">
        <f>L12/I12</f>
        <v>1.2143641144435255</v>
      </c>
      <c r="R12" s="111">
        <f>M12/I12</f>
        <v>1.296260546280839</v>
      </c>
      <c r="T12" s="111">
        <f>($I$12/T13)-1</f>
        <v>7.8601158099559365E-2</v>
      </c>
      <c r="U12" s="111">
        <f>(U13/I12)-1</f>
        <v>1.0158034094351405</v>
      </c>
      <c r="V12" s="3">
        <f>(K12/V13)-1</f>
        <v>5.7921628386207393</v>
      </c>
      <c r="W12" s="3">
        <f>(W13/K12)-1</f>
        <v>-0.46968339958010863</v>
      </c>
      <c r="Y12" s="111">
        <f>(X13/Y13)-1</f>
        <v>2.0626134301270418</v>
      </c>
      <c r="Z12" s="111">
        <f>(Z13/X13)-1</f>
        <v>-6.0740740740740744</v>
      </c>
      <c r="AA12" s="111">
        <f>(AA13/X13)-1</f>
        <v>-1.1851851851851851</v>
      </c>
      <c r="AD12" s="3">
        <f>_xll.ciqfunctions.udf.CIQ($E$12, "IQ_BETA_2YR")</f>
        <v>2.3490899999999999</v>
      </c>
    </row>
    <row r="13" spans="2:47" s="66" customFormat="1">
      <c r="B13" s="12" t="s">
        <v>352</v>
      </c>
      <c r="I13" s="126"/>
      <c r="J13" s="126"/>
      <c r="K13" s="126"/>
      <c r="L13" s="126"/>
      <c r="M13" s="126"/>
      <c r="T13" s="66">
        <f>_xll.ciqfunctions.udf.CIQ(E12, "IQ_TOTAL_REV", "LTM32024")</f>
        <v>98.000209999999996</v>
      </c>
      <c r="U13" s="66">
        <f>_xll.ciqfunctions.udf.CIQ(E12, "IQ_REVENUE_EST", "FY2026")</f>
        <v>213.07675</v>
      </c>
      <c r="V13" s="66">
        <f>_xll.ciqfunctions.udf.CIQ(E12, "IQ_EBITDA", "LTM32024")</f>
        <v>23.880330000000001</v>
      </c>
      <c r="W13" s="66">
        <f>_xll.ciqfunctions.udf.CIQ(E12, "IQ_EBITDA_EST", "FY2026")</f>
        <v>86.016869999999997</v>
      </c>
      <c r="X13" s="66">
        <f>_xll.ciqfunctions.udf.CIQ($E$12, "IQ_EPS_EST", "FY2024")</f>
        <v>-6.7500000000000004E-2</v>
      </c>
      <c r="Y13" s="66">
        <f>_xll.ciqfunctions.udf.CIQ(E12, "IQ_BASIC_EPS_INCL", "LTM32024")</f>
        <v>-2.2040000000000001E-2</v>
      </c>
      <c r="Z13" s="66">
        <f>_xll.ciqfunctions.udf.CIQ(E12, "IQ_EPS_EST", "FY2025")</f>
        <v>0.34250000000000003</v>
      </c>
      <c r="AA13" s="66">
        <f>_xll.ciqfunctions.udf.CIQ(E12, "IQ_EPS_EST", "FY2026")</f>
        <v>1.2500000000000001E-2</v>
      </c>
    </row>
    <row r="14" spans="2:47">
      <c r="B14" s="3" t="s">
        <v>359</v>
      </c>
      <c r="E14" s="3" t="s">
        <v>360</v>
      </c>
      <c r="F14" s="113">
        <v>1514.6</v>
      </c>
      <c r="G14" s="113">
        <v>1501.2</v>
      </c>
      <c r="I14" s="113">
        <f>_xll.ciqfunctions.udf.CIQ($E$14, "IQ_TOTAL_REV", "FY2024")</f>
        <v>192.881</v>
      </c>
      <c r="J14" s="113">
        <f>_xll.ciqfunctions.udf.CIQ($E$14, "IQ_GP", "FY2024")</f>
        <v>-32.359000000000002</v>
      </c>
      <c r="K14" s="113">
        <f>_xll.ciqfunctions.udf.CIQ($E$14, "IQ_EBITDA", "FY2024")</f>
        <v>34.231999999999999</v>
      </c>
      <c r="L14" s="113">
        <f>_xll.ciqfunctions.udf.CIQ($E$14, "IQ_EBIT", "FY2024")</f>
        <v>-103.599</v>
      </c>
      <c r="M14" s="113">
        <f>_xll.ciqfunctions.udf.CIQ($E$14, "IQ_NI", "FY2024")</f>
        <v>-54.063000000000002</v>
      </c>
      <c r="O14" s="111">
        <f>J14/I14</f>
        <v>-0.16776665405094335</v>
      </c>
      <c r="P14" s="111">
        <f>K14/I14</f>
        <v>0.17747730465934955</v>
      </c>
      <c r="Q14" s="111">
        <f>L14/I14</f>
        <v>-0.5371135570636818</v>
      </c>
      <c r="R14" s="111">
        <f>M14/I14</f>
        <v>-0.28029199350895112</v>
      </c>
      <c r="T14" s="111">
        <f>(I14/T15)-1</f>
        <v>0.31779921566484015</v>
      </c>
      <c r="U14" s="111">
        <f>(U15/I14)-1</f>
        <v>0.43381152109331667</v>
      </c>
      <c r="V14" s="111">
        <f>(K14/V15)-1</f>
        <v>0.64790834256005381</v>
      </c>
      <c r="W14" s="111">
        <f>(W15/K14)-1</f>
        <v>0.8833766651086703</v>
      </c>
      <c r="X14" s="111"/>
      <c r="Y14" s="111">
        <f>(X15/Y15)-1</f>
        <v>-0.68610362095531596</v>
      </c>
      <c r="Z14" s="111">
        <f>(Z15/X15)-1</f>
        <v>0.95582144500690291</v>
      </c>
      <c r="AA14" s="111">
        <f>(AA15/X15)-1</f>
        <v>0.1965025310630466</v>
      </c>
      <c r="AD14" s="3">
        <f>_xll.ciqfunctions.udf.CIQ($E$14, "IQ_BETA_2YR")</f>
        <v>2.8737699999999999</v>
      </c>
    </row>
    <row r="15" spans="2:47" s="66" customFormat="1">
      <c r="B15" s="12" t="s">
        <v>352</v>
      </c>
      <c r="I15" s="126"/>
      <c r="J15" s="126"/>
      <c r="K15" s="126"/>
      <c r="L15" s="126"/>
      <c r="M15" s="126"/>
      <c r="T15" s="66">
        <f>_xll.ciqfunctions.udf.CIQ($E$14, "IQ_TOTAL_REV", "FY2023")</f>
        <v>146.36600000000001</v>
      </c>
      <c r="U15" s="66">
        <f>_xll.ciqfunctions.udf.CIQ($E$14, "IQ_REVENUE_EST", "FY2025")</f>
        <v>276.55500000000001</v>
      </c>
      <c r="V15" s="66">
        <f>_xll.ciqfunctions.udf.CIQ($E$14, "IQ_EBITDA", "FY2023")</f>
        <v>20.773</v>
      </c>
      <c r="W15" s="66">
        <f>_xll.ciqfunctions.udf.CIQ($E$14, "IQ_EBITDA_EST", "FY2025")</f>
        <v>64.47175</v>
      </c>
      <c r="X15" s="66">
        <f>_xll.ciqfunctions.udf.CIQ($E$14, "IQ_BASIC_EPS_INCL", "FY2024")</f>
        <v>-0.13038</v>
      </c>
      <c r="Y15" s="66">
        <f>_xll.ciqfunctions.udf.CIQ($E$14, "IQ_BASIC_EPS_INCL", "FY2023")</f>
        <v>-0.41536000000000001</v>
      </c>
      <c r="Z15" s="66">
        <f>_xll.ciqfunctions.udf.CIQ($E$14, "IQ_EPS_EST", "FY2025")</f>
        <v>-0.255</v>
      </c>
      <c r="AA15" s="66">
        <f>_xll.ciqfunctions.udf.CIQ($E$14, "IQ_EPS_EST", "FY2026")</f>
        <v>-0.156</v>
      </c>
    </row>
    <row r="16" spans="2:47">
      <c r="B16" s="3" t="s">
        <v>361</v>
      </c>
      <c r="E16" s="3" t="s">
        <v>362</v>
      </c>
      <c r="F16" s="113">
        <v>684</v>
      </c>
      <c r="G16" s="113">
        <v>658.5</v>
      </c>
      <c r="I16" s="113">
        <f>_xll.ciqfunctions.udf.CIQ($E$16, "IQ_TOTAL_REV", "FY2024")</f>
        <v>114.465</v>
      </c>
      <c r="J16" s="113">
        <f>_xll.ciqfunctions.udf.CIQ($E$16, "IQ_GP", "FY2024")</f>
        <v>37.521999999999998</v>
      </c>
      <c r="K16" s="113">
        <f>_xll.ciqfunctions.udf.CIQ($E$16, "IQ_EBITDA", "FY2024")</f>
        <v>96.722999999999999</v>
      </c>
      <c r="L16" s="113">
        <f>_xll.ciqfunctions.udf.CIQ($E$16, "IQ_EBIT", "FY2024")</f>
        <v>35.305</v>
      </c>
      <c r="M16" s="113">
        <f>_xll.ciqfunctions.udf.CIQ($E$16, "IQ_NI", "FY2024")</f>
        <v>26.5</v>
      </c>
      <c r="O16" s="111">
        <f>J16/I16</f>
        <v>0.32780325863801157</v>
      </c>
      <c r="P16" s="111">
        <f>K16/I16</f>
        <v>0.84500065522212031</v>
      </c>
      <c r="Q16" s="111">
        <f>L16/I16</f>
        <v>0.30843489276197961</v>
      </c>
      <c r="R16" s="111">
        <f>M16/I16</f>
        <v>0.23151181583890271</v>
      </c>
      <c r="T16" s="111">
        <f>(I16/T17)-1</f>
        <v>7.6628604751782348E-2</v>
      </c>
      <c r="U16" s="111">
        <f>(U17/I16)-1</f>
        <v>1.3223430743021902E-2</v>
      </c>
      <c r="V16" s="111">
        <f>(K16/V17)-1</f>
        <v>-3.1030396590711429</v>
      </c>
      <c r="W16" s="111">
        <f>(W17/K16)-1</f>
        <v>-0.57467934203860516</v>
      </c>
      <c r="X16" s="111"/>
      <c r="Y16" s="111">
        <f>(X17/Y17)-1</f>
        <v>-1.1032041193316251</v>
      </c>
      <c r="Z16" s="111">
        <f>(X17/Z17)-1</f>
        <v>-2.3322624434389141</v>
      </c>
      <c r="AA16" s="111">
        <f>(AA17/X17)-1</f>
        <v>-1.2969466426654892</v>
      </c>
      <c r="AD16" s="3">
        <f>_xll.ciqfunctions.udf.CIQ($E$16, "IQ_BETA_2YR")</f>
        <v>2.9224399999999999</v>
      </c>
    </row>
    <row r="17" spans="2:47" s="66" customFormat="1">
      <c r="B17" s="12" t="s">
        <v>352</v>
      </c>
      <c r="I17" s="126"/>
      <c r="J17" s="126"/>
      <c r="K17" s="126"/>
      <c r="L17" s="126"/>
      <c r="M17" s="126"/>
      <c r="T17" s="66">
        <f>_xll.ciqfunctions.udf.CIQ($E$16, "IQ_TOTAL_REV", "FY2023")</f>
        <v>106.318</v>
      </c>
      <c r="U17" s="66">
        <f>_xll.ciqfunctions.udf.CIQ($E$16, "IQ_REVENUE_EST", "FY2025")</f>
        <v>115.97862000000001</v>
      </c>
      <c r="V17" s="66">
        <f>_xll.ciqfunctions.udf.CIQ($E$16, "IQ_EBITDA", "FY2023")</f>
        <v>-45.991999999999997</v>
      </c>
      <c r="W17" s="66">
        <f>_xll.ciqfunctions.udf.CIQ($E$16, "IQ_EBITDA_EST", "FY2025")</f>
        <v>41.138289999999998</v>
      </c>
      <c r="X17" s="66">
        <f>_xll.ciqfunctions.udf.CIQ($E$16, "IQ_BASIC_EPS_INCL", "FY2024")</f>
        <v>0.29443000000000003</v>
      </c>
      <c r="Y17" s="66">
        <f>_xll.ciqfunctions.udf.CIQ($E$16, "IQ_BASIC_EPS_INCL", "FY2023")</f>
        <v>-2.8528899999999999</v>
      </c>
      <c r="Z17" s="66">
        <f>_xll.ciqfunctions.udf.CIQ($E$16, "IQ_EPS_EST", "FY2025")</f>
        <v>-0.221</v>
      </c>
      <c r="AA17" s="66">
        <f>_xll.ciqfunctions.udf.CIQ($E$16, "IQ_EPS_EST", "FY2026")</f>
        <v>-8.7429999999999994E-2</v>
      </c>
    </row>
    <row r="18" spans="2:47">
      <c r="B18" s="3" t="s">
        <v>363</v>
      </c>
      <c r="E18" s="3" t="s">
        <v>364</v>
      </c>
      <c r="F18" s="113">
        <v>5444</v>
      </c>
      <c r="G18" s="113">
        <v>6012.7</v>
      </c>
      <c r="I18" s="113">
        <f>_xll.ciqfunctions.udf.CIQ(E18, "IQ_TOTAL_REV", "LTM32025")</f>
        <v>178.31800000000001</v>
      </c>
      <c r="J18" s="113">
        <f>_xll.ciqfunctions.udf.CIQ(E18, "IQ_GP", "LTM32025")</f>
        <v>85.24</v>
      </c>
      <c r="K18" s="113">
        <f>(65969-50858+41270)/1000</f>
        <v>56.381</v>
      </c>
      <c r="L18" s="113">
        <f>(65969+3325+(41279+2679)-(50858+2411))/1000</f>
        <v>59.982999999999997</v>
      </c>
      <c r="M18" s="113">
        <f>(6775-1215-6456)/1000</f>
        <v>-0.89600000000000002</v>
      </c>
      <c r="O18" s="111">
        <f>J18/I18</f>
        <v>0.47802240940342527</v>
      </c>
      <c r="P18" s="111">
        <f>K18/I18</f>
        <v>0.31618232595699813</v>
      </c>
      <c r="Q18" s="111">
        <f>L18/I18</f>
        <v>0.3363821936091701</v>
      </c>
      <c r="R18" s="111">
        <f>M18/I18</f>
        <v>-5.0247310983748137E-3</v>
      </c>
      <c r="T18" s="111">
        <f>(I18/T19)-1</f>
        <v>1.5489293576145688</v>
      </c>
      <c r="U18" s="111">
        <f>(U19/L18)-1</f>
        <v>5.5189120250737718</v>
      </c>
      <c r="V18" s="111">
        <f>(K18/V19)-1</f>
        <v>-0.88753468350491405</v>
      </c>
      <c r="W18" s="111">
        <f>(W19/K18)-1</f>
        <v>2.2161047161277736</v>
      </c>
      <c r="X18" s="7" t="s">
        <v>30</v>
      </c>
      <c r="Y18" s="7" t="s">
        <v>30</v>
      </c>
      <c r="Z18" s="7" t="s">
        <v>30</v>
      </c>
      <c r="AA18" s="7" t="s">
        <v>30</v>
      </c>
      <c r="AD18" s="3">
        <f>_xll.ciqfunctions.udf.CIQ($E$18, "IQ_BETA_2YR")</f>
        <v>2.6446999999999998</v>
      </c>
    </row>
    <row r="19" spans="2:47">
      <c r="B19" s="3" t="s">
        <v>352</v>
      </c>
      <c r="T19" s="113">
        <f>_xll.ciqfunctions.udf.CIQ(E18, "IQ_REV", "FY2023")</f>
        <v>69.957999999999998</v>
      </c>
      <c r="U19" s="3">
        <v>391.02390000000003</v>
      </c>
      <c r="V19" s="3">
        <v>501.31900000000002</v>
      </c>
      <c r="W19" s="3">
        <v>181.3272</v>
      </c>
    </row>
    <row r="20" spans="2:47">
      <c r="B20" s="3" t="s">
        <v>365</v>
      </c>
      <c r="E20" s="3" t="s">
        <v>366</v>
      </c>
      <c r="F20" s="3">
        <v>4201.6000000000004</v>
      </c>
      <c r="G20" s="3">
        <v>7034.4</v>
      </c>
      <c r="I20" s="3">
        <f>_xll.ciqfunctions.udf.CIQ(E20, "IQ_TOTAL_REV", "LTM32025")</f>
        <v>919.173</v>
      </c>
      <c r="J20" s="3">
        <f>_xll.ciqfunctions.udf.CIQ(E20, "IQ_GP", "LTM32025")</f>
        <v>412.43</v>
      </c>
      <c r="K20" s="3">
        <f>_xll.ciqfunctions.udf.CIQ(E20, "IQ_EBITDA_LEASE_ADJUSTED", "LTM32025")</f>
        <v>1237.818</v>
      </c>
      <c r="L20" s="3">
        <f>_xll.ciqfunctions.udf.CIQ(E20, "IQ_EBIT", "LTM32025")</f>
        <v>505.05599999999998</v>
      </c>
      <c r="M20" s="3">
        <f>_xll.ciqfunctions.udf.CIQ(E20, "IQ_NI", "LTM32025")</f>
        <v>926.69200000000001</v>
      </c>
      <c r="O20" s="111">
        <f>J20/I20</f>
        <v>0.44869681768285186</v>
      </c>
      <c r="P20" s="111">
        <f>K20/I20</f>
        <v>1.346664882454119</v>
      </c>
      <c r="Q20" s="111">
        <f>L20/I20</f>
        <v>0.54946783684899358</v>
      </c>
      <c r="R20" s="111">
        <f>M20/I20</f>
        <v>1.0081801793568783</v>
      </c>
      <c r="T20" s="111">
        <f>(I20/T21)-1</f>
        <v>0.40037143231491612</v>
      </c>
      <c r="U20" s="111">
        <f>(U21/I20)-1</f>
        <v>0.14785192776550216</v>
      </c>
      <c r="V20" s="111">
        <f>(K20/V21)-1</f>
        <v>0.60164846540034156</v>
      </c>
      <c r="W20" s="111">
        <f>(W21/K20)-1</f>
        <v>-0.64704245696863349</v>
      </c>
      <c r="Y20" s="111">
        <f>(X21/Y21)-1</f>
        <v>-0.71606585129350753</v>
      </c>
      <c r="Z20" s="111">
        <f>(Z21/X21)-1</f>
        <v>-2.0973584905660374</v>
      </c>
      <c r="AA20" s="111">
        <f>(AA21/Z21)-1</f>
        <v>-2.3253954607977994</v>
      </c>
      <c r="AD20" s="3">
        <f>_xll.ciqfunctions.udf.CIQ($E$20, "IQ_BETA_2YR")</f>
        <v>2.39411</v>
      </c>
    </row>
    <row r="21" spans="2:47">
      <c r="B21" s="3" t="s">
        <v>352</v>
      </c>
      <c r="T21" s="113">
        <f>_xll.ciqfunctions.udf.CIQ($E$20, "IQ_TOTAL_REV", "FY2024")</f>
        <v>656.37800000000004</v>
      </c>
      <c r="U21" s="113">
        <f>_xll.ciqfunctions.udf.CIQ($E$20, "IQ_REVENUE_EST", IQ_NTM)</f>
        <v>1055.0744999999999</v>
      </c>
      <c r="V21" s="113">
        <f>_xll.ciqfunctions.udf.CIQ($E$20, "IQ_EBITDA", "FY2024")</f>
        <v>772.84</v>
      </c>
      <c r="W21" s="113">
        <f>_xll.ciqfunctions.udf.CIQ($E$20, "IQ_EBITDA_EST", IQ_NTM)</f>
        <v>436.8972</v>
      </c>
      <c r="X21" s="3">
        <v>0.53</v>
      </c>
      <c r="Y21" s="3">
        <f>_xll.ciqfunctions.udf.CIQ($E$20, "IQ_BASIC_EPS_INCL", "FY2024")</f>
        <v>1.86663</v>
      </c>
      <c r="Z21" s="3">
        <f>_xll.ciqfunctions.udf.CIQ($E$20, "IQ_EPS_EST", IQ_NTM)</f>
        <v>-0.58160000000000001</v>
      </c>
      <c r="AA21" s="3">
        <f>_xll.ciqfunctions.udf.CIQ($E$20, "IQ_EPS_EST", "FY2027")</f>
        <v>0.77085000000000004</v>
      </c>
    </row>
    <row r="22" spans="2:47">
      <c r="B22" s="3" t="s">
        <v>367</v>
      </c>
      <c r="E22" s="3" t="s">
        <v>368</v>
      </c>
      <c r="F22" s="3">
        <v>6436</v>
      </c>
      <c r="G22" s="3">
        <v>6977.1</v>
      </c>
      <c r="I22" s="3">
        <f>_xll.ciqfunctions.udf.CIQ($E$22, "IQ_TOTAL_REV", "LTM32025")</f>
        <v>637.16200000000003</v>
      </c>
      <c r="J22" s="3">
        <f>_xll.ciqfunctions.udf.CIQ($E$22, "IQ_GP", "LTM32025")</f>
        <v>251.98699999999999</v>
      </c>
      <c r="K22" s="3">
        <f>_xll.ciqfunctions.udf.CIQ($E$22, "IQ_EBITDA_LEASE_ADJUSTED", "LTM32025")</f>
        <v>515.03499999999997</v>
      </c>
      <c r="L22" s="3">
        <f>_xll.ciqfunctions.udf.CIQ($E$22, "IQ_EBIT", "LTM32025")</f>
        <v>182.17099999999999</v>
      </c>
      <c r="M22" s="3">
        <f>_xll.ciqfunctions.udf.CIQ($E$22, "IQ_NI", "LTM32025")</f>
        <v>164.00200000000001</v>
      </c>
      <c r="O22" s="111">
        <f>J22/I22</f>
        <v>0.39548340924286129</v>
      </c>
      <c r="P22" s="111">
        <f>K22/I22</f>
        <v>0.80832661081483193</v>
      </c>
      <c r="Q22" s="111">
        <f>L22/I22</f>
        <v>0.28591001974380137</v>
      </c>
      <c r="R22" s="111">
        <f>M22/I22</f>
        <v>0.25739450877484849</v>
      </c>
      <c r="T22" s="111">
        <f>(I22/T23)-1</f>
        <v>0.6916194531909583</v>
      </c>
      <c r="U22" s="111">
        <f>(U23/I22)-1</f>
        <v>0.1746350378710595</v>
      </c>
      <c r="V22" s="111">
        <f>(K22/V23)-1</f>
        <v>0.69198448079317454</v>
      </c>
      <c r="W22" s="111">
        <f>(W23/K22)-1</f>
        <v>-0.4068090129797004</v>
      </c>
      <c r="Y22" s="111">
        <f>(X23/Y23)-1</f>
        <v>-1.2270376630256552</v>
      </c>
      <c r="Z22" s="111">
        <f>-(Z23/X23)-1</f>
        <v>-6.283666666666667</v>
      </c>
      <c r="AA22" s="111">
        <f>-(AA23/X23)-1</f>
        <v>-7.4685555555555556</v>
      </c>
      <c r="AD22" s="3">
        <f>_xll.ciqfunctions.udf.CIQ($E$22, "IQ_BETA_2YR")</f>
        <v>2.6078299999999999</v>
      </c>
    </row>
    <row r="23" spans="2:47">
      <c r="B23" s="3" t="s">
        <v>352</v>
      </c>
      <c r="T23" s="113">
        <f>_xll.ciqfunctions.udf.CIQ($E$22, "IQ_TOTAL_REV", "FY2024")</f>
        <v>376.65800000000002</v>
      </c>
      <c r="U23" s="113">
        <f>_xll.ciqfunctions.udf.CIQ($E$22, "IQ_REVENUE_EST", "FY2026")</f>
        <v>748.43281000000002</v>
      </c>
      <c r="V23" s="113">
        <f>_xll.ciqfunctions.udf.CIQ($E$22, "IQ_EBITDA", "FY2024")</f>
        <v>304.39699999999999</v>
      </c>
      <c r="W23" s="113">
        <f>_xll.ciqfunctions.udf.CIQ($E$22, "IQ_EBITDA_EST", "FY2026")</f>
        <v>305.51411999999999</v>
      </c>
      <c r="X23" s="3">
        <v>-0.09</v>
      </c>
      <c r="Y23" s="3">
        <f>_xll.ciqfunctions.udf.CIQ($E$22, "IQ_BASIC_EPS_INCL", "FY2024")</f>
        <v>0.39640999999999998</v>
      </c>
      <c r="Z23" s="3">
        <f>_xll.ciqfunctions.udf.CIQ($E$22, "IQ_EPS_EST", "FY2026")</f>
        <v>-0.47553000000000001</v>
      </c>
      <c r="AA23" s="3">
        <f>_xll.ciqfunctions.udf.CIQ($E$22, "IQ_EPS_EST", "FY2027")</f>
        <v>-0.58216999999999997</v>
      </c>
    </row>
    <row r="24" spans="2:47">
      <c r="B24" s="3" t="s">
        <v>369</v>
      </c>
      <c r="E24" s="3" t="s">
        <v>370</v>
      </c>
      <c r="F24" s="3">
        <v>5949.5</v>
      </c>
      <c r="G24" s="3">
        <v>6332.7</v>
      </c>
      <c r="I24" s="3">
        <f>_xll.ciqfunctions.udf.CIQ($E$24, "IQ_TOTAL_REV", "LTM32025")</f>
        <v>167.60400000000001</v>
      </c>
      <c r="J24" s="3">
        <f>_xll.ciqfunctions.udf.CIQ($E$24, "IQ_GP", "LTM32025")</f>
        <v>84.212000000000003</v>
      </c>
      <c r="K24" s="3">
        <f>_xll.ciqfunctions.udf.CIQ($E$24, "IQ_EBITDA", "LTM32025")</f>
        <v>-35.249000000000002</v>
      </c>
      <c r="L24" s="3">
        <f>_xll.ciqfunctions.udf.CIQ($E$24, "IQ_EBIT", "LTM32025")</f>
        <v>-108.355</v>
      </c>
      <c r="M24" s="3">
        <f>_xll.ciqfunctions.udf.CIQ($E$24, "IQ_NI", "LTM32025")</f>
        <v>-564.03399999999999</v>
      </c>
      <c r="O24" s="3">
        <f>J24/I24</f>
        <v>0.50244624233311852</v>
      </c>
      <c r="P24" s="3">
        <f>K24/I24</f>
        <v>-0.21031120975633039</v>
      </c>
      <c r="Q24" s="3">
        <f>L24/I24</f>
        <v>-0.64649411708551108</v>
      </c>
      <c r="R24" s="3">
        <f>M24/I24</f>
        <v>-3.3652776783370322</v>
      </c>
      <c r="T24" s="111">
        <f>(I24/T25)-1</f>
        <v>0.19673547493413124</v>
      </c>
      <c r="U24" s="111">
        <f>(U25/I24)-1</f>
        <v>1.3901289945347366</v>
      </c>
      <c r="V24" s="111">
        <f>(K24/V25)-1</f>
        <v>-6.4096071209330878</v>
      </c>
      <c r="W24" s="111">
        <f>(W25/K24)-1</f>
        <v>-12.364724673040371</v>
      </c>
      <c r="Y24" s="111">
        <f>(X25/Y25)-1</f>
        <v>6.0343957696599233</v>
      </c>
      <c r="Z24" s="111">
        <f>(Z25/X25)-1</f>
        <v>-0.63620689655172413</v>
      </c>
      <c r="AA24" s="111">
        <f>(AA25/X25)-1</f>
        <v>-1.1379310344827587</v>
      </c>
      <c r="AD24" s="3">
        <f>_xll.ciqfunctions.udf.CIQ($E$24, "IQ_BETA_2YR")</f>
        <v>3.2082000000000002</v>
      </c>
    </row>
    <row r="25" spans="2:47">
      <c r="B25" s="3" t="s">
        <v>352</v>
      </c>
      <c r="T25" s="113">
        <f>_xll.ciqfunctions.udf.CIQ($E$24, "IQ_TOTAL_REV", "FY2024")</f>
        <v>140.05099999999999</v>
      </c>
      <c r="U25" s="113">
        <f>_xll.ciqfunctions.udf.CIQ($E$24, "IQ_REVENUE_EST", "FY2026")</f>
        <v>400.59518000000003</v>
      </c>
      <c r="V25" s="113">
        <f>_xll.ciqfunctions.udf.CIQ($E$24, "IQ_EBITDA", "FY2024")</f>
        <v>6.516</v>
      </c>
      <c r="W25" s="113">
        <f>_xll.ciqfunctions.udf.CIQ($E$24, "IQ_REVENUE_EST", "FY2026")</f>
        <v>400.59518000000003</v>
      </c>
      <c r="X25" s="3">
        <v>-1.45</v>
      </c>
      <c r="Y25" s="3">
        <f>_xll.ciqfunctions.udf.CIQ($E$24, "IQ_BASIC_EPS_INCL", "FY2024")</f>
        <v>-0.20613000000000001</v>
      </c>
      <c r="Z25" s="3">
        <f>_xll.ciqfunctions.udf.CIQ($E$24, "IQ_EPS_EST", "FY2026")</f>
        <v>-0.52749999999999997</v>
      </c>
      <c r="AA25" s="3">
        <f>_xll.ciqfunctions.udf.CIQ($E$24, "IQ_EPS_EST", "FY2027")</f>
        <v>0.2</v>
      </c>
    </row>
    <row r="26" spans="2:47">
      <c r="B26" s="3" t="s">
        <v>371</v>
      </c>
      <c r="E26" s="3" t="s">
        <v>372</v>
      </c>
      <c r="F26" s="3">
        <v>15260</v>
      </c>
      <c r="G26" s="3">
        <v>17296.099999999999</v>
      </c>
      <c r="I26" s="3">
        <f>_xll.ciqfunctions.udf.CIQ($E$26, "IQ_TOTAL_REV", "LTM32025")</f>
        <v>374.62900000000002</v>
      </c>
      <c r="J26" s="3">
        <f>_xll.ciqfunctions.udf.CIQ($E$26, "IQ_GP", "LTM32025")</f>
        <v>254.09800000000001</v>
      </c>
      <c r="K26" s="3">
        <f>_xll.ciqfunctions.udf.CIQ($E$26, "IQ_EBITDA", "LTM32025")</f>
        <v>137.15100000000001</v>
      </c>
      <c r="L26" s="3">
        <f>_xll.ciqfunctions.udf.CIQ($E$26, "IQ_EBIT", "LTM32025")</f>
        <v>-6.9710000000000001</v>
      </c>
      <c r="M26" s="3">
        <f>_xll.ciqfunctions.udf.CIQ($E$26, "IQ_NI", "LTM32025")</f>
        <v>-35.631999999999998</v>
      </c>
      <c r="O26" s="111">
        <f>J26/I26</f>
        <v>0.67826569753008981</v>
      </c>
      <c r="P26" s="111">
        <f>K26/I26</f>
        <v>0.3660981931457522</v>
      </c>
      <c r="Q26" s="111">
        <f>L26/I26</f>
        <v>-1.860774259333901E-2</v>
      </c>
      <c r="R26" s="111">
        <f>M26/I26</f>
        <v>-9.5112764895403171E-2</v>
      </c>
      <c r="T26" s="113">
        <f>(I26/T27)-1</f>
        <v>1.0013088166160946</v>
      </c>
      <c r="U26" s="113">
        <f>(U27/I26)-1</f>
        <v>2.0645658237883344</v>
      </c>
      <c r="V26" s="113">
        <f>(K26/V27)-1</f>
        <v>3.3941753171856979</v>
      </c>
      <c r="W26" s="113">
        <f>(W27/K26)-1</f>
        <v>3.9642667570779651</v>
      </c>
      <c r="AD26" s="3">
        <f>_xll.ciqfunctions.udf.CIQ($E$26, "IQ_BETA_2YR")</f>
        <v>2.8384900000000002</v>
      </c>
    </row>
    <row r="27" spans="2:47">
      <c r="B27" s="3" t="s">
        <v>352</v>
      </c>
      <c r="T27" s="113">
        <f>_xll.ciqfunctions.udf.CIQ($E$26, "IQ_TOTAL_REV", "FY2024")</f>
        <v>187.19200000000001</v>
      </c>
      <c r="U27" s="113">
        <f>_xll.ciqfunctions.udf.CIQ($E$26, "IQ_REVENUE_EST", "FY2026")</f>
        <v>1148.0752299999999</v>
      </c>
      <c r="V27" s="113">
        <f>_xll.ciqfunctions.udf.CIQ($E$26, "IQ_EBITDA", "FY2024")</f>
        <v>31.212</v>
      </c>
      <c r="W27" s="113">
        <f>_xll.ciqfunctions.udf.CIQ($E$26, "IQ_EBITDA_EST", "FY2026")</f>
        <v>680.85415</v>
      </c>
      <c r="X27" s="3">
        <f>_xll.ciqfunctions.udf.CIQ($E$26, "IQ_BASIC_EPS_INCL", "FY2025")</f>
        <v>0.40516000000000002</v>
      </c>
      <c r="Y27" s="3">
        <f>_xll.ciqfunctions.udf.CIQ($E$26, "IQ_BASIC_EPS_INCL", "FY2024")</f>
        <v>-0.29024</v>
      </c>
      <c r="Z27" s="3">
        <f>_xll.ciqfunctions.udf.CIQ($E$26, "IQ_EPS_EST", "FY2026")</f>
        <v>1.0563499999999999</v>
      </c>
      <c r="AA27" s="3">
        <f>_xll.ciqfunctions.udf.CIQ($E$26, "IQ_EPS_EST", "FY2027")</f>
        <v>1.05969</v>
      </c>
    </row>
    <row r="28" spans="2:47">
      <c r="B28" s="3" t="s">
        <v>373</v>
      </c>
      <c r="E28" s="3" t="s">
        <v>374</v>
      </c>
      <c r="F28" s="3">
        <v>3409.5</v>
      </c>
      <c r="G28" s="3">
        <v>4192.3</v>
      </c>
      <c r="I28" s="3">
        <f>_xll.ciqfunctions.udf.CIQ($E$28, "IQ_TOTAL_REV", "LTM32025")</f>
        <v>631.93700000000001</v>
      </c>
      <c r="J28" s="3">
        <f>_xll.ciqfunctions.udf.CIQ($E$28, "IQ_GP", "LTM32025")</f>
        <v>328.95299999999997</v>
      </c>
      <c r="K28" s="3">
        <f>_xll.ciqfunctions.udf.CIQ($E$28, "IQ_EBITDA", "LTM32025")</f>
        <v>553.32399999999996</v>
      </c>
      <c r="L28" s="3">
        <f>_xll.ciqfunctions.udf.CIQ($E$28, "IQ_EBIT", "LTM32025")</f>
        <v>261.46600000000001</v>
      </c>
      <c r="M28" s="3">
        <f>_xll.ciqfunctions.udf.CIQ($E$28, "IQ_NI", "LTM32025")</f>
        <v>303.20999999999998</v>
      </c>
      <c r="O28" s="111">
        <f>J28/$I$28</f>
        <v>0.52054714314876316</v>
      </c>
      <c r="P28" s="111">
        <f t="shared" ref="P28:R28" si="0">K28/$I$28</f>
        <v>0.87559994113337236</v>
      </c>
      <c r="Q28" s="111">
        <f t="shared" si="0"/>
        <v>0.41375326970884757</v>
      </c>
      <c r="R28" s="111">
        <f t="shared" si="0"/>
        <v>0.47981048743783</v>
      </c>
      <c r="AD28" s="3">
        <f>_xll.ciqfunctions.udf.CIQ($E$28, "IQ_BETA_2YR")</f>
        <v>2.4053599999999999</v>
      </c>
    </row>
    <row r="29" spans="2:47">
      <c r="B29" s="3" t="s">
        <v>352</v>
      </c>
      <c r="T29" s="113">
        <f>_xll.ciqfunctions.udf.CIQ($E$28, "IQ_TOTAL_REV", "FY2024")</f>
        <v>378.96800000000002</v>
      </c>
      <c r="U29" s="113">
        <f>_xll.ciqfunctions.udf.CIQ($E$28, "IQ_REVENUE_EST", "FY2026")</f>
        <v>805.79142000000002</v>
      </c>
      <c r="V29" s="113">
        <f>_xll.ciqfunctions.udf.CIQ($E$28, "IQ_EBITDA", "FY2024")</f>
        <v>95.366</v>
      </c>
      <c r="W29" s="113">
        <f>_xll.ciqfunctions.udf.CIQ($E$28, "IQ_EBITDA_EST", "FY2026")</f>
        <v>327.45</v>
      </c>
      <c r="X29" s="3">
        <f>_xll.ciqfunctions.udf.CIQ($E$28, "IQ_BASIC_EPS_INCL", "FY2025")</f>
        <v>1.2521100000000001</v>
      </c>
      <c r="Y29" s="3">
        <f>_xll.ciqfunctions.udf.CIQ($E$28, "IQ_BASIC_EPS_INCL", "FY2024")</f>
        <v>-0.68798999999999999</v>
      </c>
      <c r="Z29" s="3">
        <f>_xll.ciqfunctions.udf.CIQ($E$28, "IQ_EPS_EST", "FY2026")</f>
        <v>0.72667000000000004</v>
      </c>
      <c r="AA29" s="3">
        <f>_xll.ciqfunctions.udf.CIQ($E$28, "IQ_EPS_EST", "FY2027")</f>
        <v>0.93500000000000005</v>
      </c>
    </row>
    <row r="31" spans="2:47" s="6" customFormat="1">
      <c r="B31" s="5" t="s">
        <v>375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D31" s="5" t="s">
        <v>375</v>
      </c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2:47" s="8" customFormat="1">
      <c r="B32" s="5" t="s">
        <v>376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D32" s="5" t="s">
        <v>376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4" spans="2:47" s="8" customFormat="1">
      <c r="B34" s="5" t="s">
        <v>377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D34" s="5" t="s">
        <v>377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6" spans="2:47">
      <c r="B36" s="3" t="s">
        <v>378</v>
      </c>
      <c r="E36" s="3" t="s">
        <v>379</v>
      </c>
      <c r="F36" s="3">
        <v>44748.9</v>
      </c>
      <c r="G36" s="3">
        <v>61616.7</v>
      </c>
      <c r="I36" s="3">
        <f>_xll.ciqfunctions.udf.CIQ($E$36, "IQ_TOTAL_REV", "LTM32025")</f>
        <v>4306.5259999999998</v>
      </c>
      <c r="J36" s="3">
        <f>_xll.ciqfunctions.udf.CIQ($E$36, "IQ_GP", "LTM32025")</f>
        <v>3180.4830000000002</v>
      </c>
      <c r="K36" s="3">
        <f>_xll.ciqfunctions.udf.CIQ($E$36, "IQ_EBITDA", "LTM32025")</f>
        <v>2184.1390000000001</v>
      </c>
      <c r="L36" s="3">
        <f>_xll.ciqfunctions.udf.CIQ($E$36, "IQ_EBIT", "LTM32025")</f>
        <v>185.26300000000001</v>
      </c>
      <c r="M36" s="3">
        <f>_xll.ciqfunctions.udf.CIQ($E$36, "IQ_NI", "LTM32025")</f>
        <v>-766.64599999999996</v>
      </c>
      <c r="O36" s="111">
        <f>J36/$I$36</f>
        <v>0.73852636672807737</v>
      </c>
      <c r="P36" s="111">
        <f t="shared" ref="P36:R36" si="1">K36/$I$36</f>
        <v>0.50716958402201684</v>
      </c>
      <c r="Q36" s="111">
        <f t="shared" si="1"/>
        <v>4.3019129572188813E-2</v>
      </c>
      <c r="R36" s="111">
        <f t="shared" si="1"/>
        <v>-0.17801959166158524</v>
      </c>
      <c r="AD36" s="3">
        <f>_xll.ciqfunctions.udf.CIQ($E$36, "IQ_BETA_2YR")</f>
        <v>0</v>
      </c>
    </row>
    <row r="37" spans="2:47">
      <c r="B37" s="3" t="s">
        <v>352</v>
      </c>
      <c r="O37" s="111"/>
      <c r="P37" s="111"/>
      <c r="Q37" s="111"/>
      <c r="R37" s="111"/>
    </row>
    <row r="38" spans="2:47">
      <c r="B38" s="3" t="s">
        <v>380</v>
      </c>
      <c r="E38" s="7" t="s">
        <v>30</v>
      </c>
      <c r="F38" s="7" t="s">
        <v>30</v>
      </c>
      <c r="G38" s="7" t="s">
        <v>30</v>
      </c>
      <c r="H38" s="7"/>
      <c r="I38" s="7" t="s">
        <v>30</v>
      </c>
      <c r="J38" s="7" t="s">
        <v>30</v>
      </c>
      <c r="K38" s="7" t="s">
        <v>30</v>
      </c>
      <c r="L38" s="7" t="s">
        <v>30</v>
      </c>
      <c r="M38" s="7" t="s">
        <v>30</v>
      </c>
      <c r="N38" s="7"/>
      <c r="O38" s="7" t="s">
        <v>30</v>
      </c>
      <c r="P38" s="7" t="s">
        <v>30</v>
      </c>
      <c r="Q38" s="7" t="s">
        <v>30</v>
      </c>
      <c r="R38" s="7" t="s">
        <v>30</v>
      </c>
      <c r="S38" s="7"/>
      <c r="T38" s="7" t="s">
        <v>30</v>
      </c>
      <c r="U38" s="7" t="s">
        <v>30</v>
      </c>
      <c r="V38" s="7" t="s">
        <v>30</v>
      </c>
      <c r="W38" s="7" t="s">
        <v>30</v>
      </c>
      <c r="X38" s="7" t="s">
        <v>30</v>
      </c>
      <c r="Y38" s="7" t="s">
        <v>30</v>
      </c>
      <c r="Z38" s="7" t="s">
        <v>30</v>
      </c>
      <c r="AA38" s="7" t="s">
        <v>30</v>
      </c>
    </row>
    <row r="39" spans="2:47">
      <c r="B39" s="3" t="s">
        <v>352</v>
      </c>
      <c r="E39" s="7" t="s">
        <v>30</v>
      </c>
      <c r="F39" s="7" t="s">
        <v>30</v>
      </c>
      <c r="G39" s="7" t="s">
        <v>30</v>
      </c>
      <c r="H39" s="7"/>
      <c r="I39" s="7" t="s">
        <v>30</v>
      </c>
      <c r="J39" s="7" t="s">
        <v>30</v>
      </c>
      <c r="K39" s="7" t="s">
        <v>30</v>
      </c>
      <c r="L39" s="7" t="s">
        <v>30</v>
      </c>
      <c r="M39" s="7" t="s">
        <v>30</v>
      </c>
      <c r="N39" s="7"/>
      <c r="O39" s="7" t="s">
        <v>30</v>
      </c>
      <c r="P39" s="7" t="s">
        <v>30</v>
      </c>
      <c r="Q39" s="7" t="s">
        <v>30</v>
      </c>
      <c r="R39" s="7" t="s">
        <v>30</v>
      </c>
      <c r="S39" s="7"/>
      <c r="T39" s="7" t="s">
        <v>30</v>
      </c>
      <c r="U39" s="7" t="s">
        <v>30</v>
      </c>
      <c r="V39" s="7" t="s">
        <v>30</v>
      </c>
      <c r="W39" s="7" t="s">
        <v>30</v>
      </c>
      <c r="X39" s="7" t="s">
        <v>30</v>
      </c>
      <c r="Y39" s="7" t="s">
        <v>30</v>
      </c>
      <c r="Z39" s="7" t="s">
        <v>30</v>
      </c>
      <c r="AA39" s="7" t="s">
        <v>30</v>
      </c>
    </row>
    <row r="40" spans="2:47">
      <c r="B40" s="3" t="s">
        <v>381</v>
      </c>
      <c r="E40" s="7" t="s">
        <v>30</v>
      </c>
      <c r="F40" s="7" t="s">
        <v>30</v>
      </c>
      <c r="G40" s="7" t="s">
        <v>30</v>
      </c>
      <c r="H40" s="7"/>
      <c r="I40" s="7" t="s">
        <v>30</v>
      </c>
      <c r="J40" s="7" t="s">
        <v>30</v>
      </c>
      <c r="K40" s="7" t="s">
        <v>30</v>
      </c>
      <c r="L40" s="7" t="s">
        <v>30</v>
      </c>
      <c r="M40" s="7" t="s">
        <v>30</v>
      </c>
      <c r="N40" s="7"/>
      <c r="O40" s="7" t="s">
        <v>30</v>
      </c>
      <c r="P40" s="7" t="s">
        <v>30</v>
      </c>
      <c r="Q40" s="7" t="s">
        <v>30</v>
      </c>
      <c r="R40" s="7" t="s">
        <v>30</v>
      </c>
      <c r="S40" s="7"/>
      <c r="T40" s="7" t="s">
        <v>30</v>
      </c>
      <c r="U40" s="7" t="s">
        <v>30</v>
      </c>
      <c r="V40" s="7" t="s">
        <v>30</v>
      </c>
      <c r="W40" s="7" t="s">
        <v>30</v>
      </c>
      <c r="X40" s="7" t="s">
        <v>30</v>
      </c>
      <c r="Y40" s="7" t="s">
        <v>30</v>
      </c>
      <c r="Z40" s="7" t="s">
        <v>30</v>
      </c>
      <c r="AA40" s="7" t="s">
        <v>30</v>
      </c>
    </row>
    <row r="41" spans="2:47">
      <c r="B41" s="3" t="s">
        <v>352</v>
      </c>
      <c r="E41" s="7" t="s">
        <v>30</v>
      </c>
      <c r="F41" s="7" t="s">
        <v>30</v>
      </c>
      <c r="G41" s="7" t="s">
        <v>30</v>
      </c>
      <c r="H41" s="7"/>
      <c r="I41" s="7" t="s">
        <v>30</v>
      </c>
      <c r="J41" s="7" t="s">
        <v>30</v>
      </c>
      <c r="K41" s="7" t="s">
        <v>30</v>
      </c>
      <c r="L41" s="7" t="s">
        <v>30</v>
      </c>
      <c r="M41" s="7" t="s">
        <v>30</v>
      </c>
      <c r="N41" s="7"/>
      <c r="O41" s="7" t="s">
        <v>30</v>
      </c>
      <c r="P41" s="7" t="s">
        <v>30</v>
      </c>
      <c r="Q41" s="7" t="s">
        <v>30</v>
      </c>
      <c r="R41" s="7" t="s">
        <v>30</v>
      </c>
      <c r="S41" s="7"/>
      <c r="T41" s="7" t="s">
        <v>30</v>
      </c>
      <c r="U41" s="7" t="s">
        <v>30</v>
      </c>
      <c r="V41" s="7" t="s">
        <v>30</v>
      </c>
      <c r="W41" s="7" t="s">
        <v>30</v>
      </c>
      <c r="X41" s="7" t="s">
        <v>30</v>
      </c>
      <c r="Y41" s="7" t="s">
        <v>30</v>
      </c>
      <c r="Z41" s="7" t="s">
        <v>30</v>
      </c>
      <c r="AA41" s="7" t="s">
        <v>30</v>
      </c>
    </row>
    <row r="42" spans="2:47">
      <c r="B42" s="3" t="s">
        <v>382</v>
      </c>
      <c r="E42" s="7" t="s">
        <v>30</v>
      </c>
      <c r="F42" s="7" t="s">
        <v>30</v>
      </c>
      <c r="G42" s="7" t="s">
        <v>30</v>
      </c>
      <c r="H42" s="7"/>
      <c r="I42" s="7" t="s">
        <v>30</v>
      </c>
      <c r="J42" s="7" t="s">
        <v>30</v>
      </c>
      <c r="K42" s="7" t="s">
        <v>30</v>
      </c>
      <c r="L42" s="7" t="s">
        <v>30</v>
      </c>
      <c r="M42" s="7" t="s">
        <v>30</v>
      </c>
      <c r="N42" s="7"/>
      <c r="O42" s="7" t="s">
        <v>30</v>
      </c>
      <c r="P42" s="7" t="s">
        <v>30</v>
      </c>
      <c r="Q42" s="7" t="s">
        <v>30</v>
      </c>
      <c r="R42" s="7" t="s">
        <v>30</v>
      </c>
      <c r="S42" s="7"/>
      <c r="T42" s="7" t="s">
        <v>30</v>
      </c>
      <c r="U42" s="7" t="s">
        <v>30</v>
      </c>
      <c r="V42" s="7" t="s">
        <v>30</v>
      </c>
      <c r="W42" s="7" t="s">
        <v>30</v>
      </c>
      <c r="X42" s="7" t="s">
        <v>30</v>
      </c>
      <c r="Y42" s="7" t="s">
        <v>30</v>
      </c>
      <c r="Z42" s="7" t="s">
        <v>30</v>
      </c>
      <c r="AA42" s="7" t="s">
        <v>30</v>
      </c>
    </row>
    <row r="43" spans="2:47">
      <c r="B43" s="3" t="s">
        <v>352</v>
      </c>
      <c r="E43" s="7" t="s">
        <v>30</v>
      </c>
      <c r="F43" s="7" t="s">
        <v>30</v>
      </c>
      <c r="G43" s="7" t="s">
        <v>30</v>
      </c>
      <c r="H43" s="7"/>
      <c r="I43" s="7" t="s">
        <v>30</v>
      </c>
      <c r="J43" s="7" t="s">
        <v>30</v>
      </c>
      <c r="K43" s="7" t="s">
        <v>30</v>
      </c>
      <c r="L43" s="7" t="s">
        <v>30</v>
      </c>
      <c r="M43" s="7" t="s">
        <v>30</v>
      </c>
      <c r="N43" s="7"/>
      <c r="O43" s="7" t="s">
        <v>30</v>
      </c>
      <c r="P43" s="7" t="s">
        <v>30</v>
      </c>
      <c r="Q43" s="7" t="s">
        <v>30</v>
      </c>
      <c r="R43" s="7" t="s">
        <v>30</v>
      </c>
      <c r="S43" s="7"/>
      <c r="T43" s="7" t="s">
        <v>30</v>
      </c>
      <c r="U43" s="7" t="s">
        <v>30</v>
      </c>
      <c r="V43" s="7" t="s">
        <v>30</v>
      </c>
      <c r="W43" s="7" t="s">
        <v>30</v>
      </c>
      <c r="X43" s="7" t="s">
        <v>30</v>
      </c>
      <c r="Y43" s="7" t="s">
        <v>30</v>
      </c>
      <c r="Z43" s="7" t="s">
        <v>30</v>
      </c>
      <c r="AA43" s="7" t="s">
        <v>30</v>
      </c>
    </row>
    <row r="45" spans="2:47" s="6" customFormat="1">
      <c r="B45" s="5" t="s">
        <v>375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D45" s="5" t="s">
        <v>375</v>
      </c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2:47" s="8" customFormat="1">
      <c r="B46" s="5" t="s">
        <v>376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D46" s="5" t="s">
        <v>376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8" spans="2:47" s="8" customFormat="1">
      <c r="B48" s="5" t="s">
        <v>383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D48" s="5" t="s">
        <v>383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50" spans="2:52">
      <c r="B50" s="3" t="s">
        <v>384</v>
      </c>
      <c r="E50" s="3" t="s">
        <v>385</v>
      </c>
      <c r="F50" s="3">
        <v>54706.1</v>
      </c>
      <c r="G50" s="3">
        <v>55693.9</v>
      </c>
      <c r="I50" s="3">
        <f>_xll.ciqfunctions.udf.CIQ(E50, "IQ_TOTAL_REV", "LTM32025")</f>
        <v>5841.0360000000001</v>
      </c>
      <c r="J50" s="3">
        <f>_xll.ciqfunctions.udf.CIQ(E50, "IQ_GP", "LTM32025")</f>
        <v>3201.2449999999999</v>
      </c>
      <c r="K50" s="3">
        <f>_xll.ciqfunctions.udf.CIQ(E50, "IQ_EBITDA", "LTM32025")</f>
        <v>2662.9609999999998</v>
      </c>
      <c r="L50" s="3">
        <f>_xll.ciqfunctions.udf.CIQ(E50, "IQ_EBIT", "LTM32025")</f>
        <v>801.02800000000002</v>
      </c>
      <c r="M50" s="3">
        <f>_xll.ciqfunctions.udf.CIQ(E50, "IQ_NI", "LTM32025")</f>
        <v>1399.511</v>
      </c>
      <c r="O50" s="111">
        <f>J50/$I$50</f>
        <v>0.54806116586167242</v>
      </c>
      <c r="P50" s="111">
        <f t="shared" ref="P50:R50" si="2">K50/$I$50</f>
        <v>0.45590559619903043</v>
      </c>
      <c r="Q50" s="111">
        <f t="shared" si="2"/>
        <v>0.137138000861491</v>
      </c>
      <c r="R50" s="111">
        <f t="shared" si="2"/>
        <v>0.23959979017420882</v>
      </c>
      <c r="AD50" s="3">
        <f>_xll.ciqfunctions.udf.CIQ($E$50, "IQ_BETA_2YR")</f>
        <v>0.76200000000000001</v>
      </c>
    </row>
    <row r="51" spans="2:52">
      <c r="B51" s="3" t="s">
        <v>352</v>
      </c>
      <c r="T51" s="113">
        <f>_xll.ciqfunctions.udf.CIQ($E$50, "IQ_TOTAL_REV", "FY2024")</f>
        <v>5434.83</v>
      </c>
      <c r="U51" s="113">
        <f>_xll.ciqfunctions.udf.CIQ($E$50, "IQ_REVENUE_EST", "FY2026")</f>
        <v>6732.3513499999999</v>
      </c>
      <c r="V51" s="113">
        <f>_xll.ciqfunctions.udf.CIQ($E$50, "IQ_EBITDA", "FY2024")</f>
        <v>2413.8090000000002</v>
      </c>
      <c r="W51" s="113">
        <f>_xll.ciqfunctions.udf.CIQ($E$50, "IQ_REVENUE_EST", "FY2026")</f>
        <v>6732.3513499999999</v>
      </c>
      <c r="X51" s="3">
        <v>3</v>
      </c>
      <c r="Y51" s="3">
        <f>_xll.ciqfunctions.udf.CIQ($E$50, "IQ_BASIC_EPS_INCL", "FY2024")</f>
        <v>1.7374099999999999</v>
      </c>
      <c r="Z51" s="3">
        <f>_xll.ciqfunctions.udf.CIQ($E$50, "IQ_EPS_EST", "FY2026")</f>
        <v>1.59833</v>
      </c>
      <c r="AA51" s="3">
        <f>_xll.ciqfunctions.udf.CIQ($E$50, "IQ_EPS_EST", "FY2027")</f>
        <v>2.1305200000000002</v>
      </c>
    </row>
    <row r="52" spans="2:52">
      <c r="B52" s="3" t="s">
        <v>386</v>
      </c>
      <c r="E52" s="3" t="s">
        <v>387</v>
      </c>
      <c r="F52" s="3">
        <v>78452.600000000006</v>
      </c>
      <c r="G52" s="3">
        <v>97380.6</v>
      </c>
      <c r="I52" s="3">
        <f>_xll.ciqfunctions.udf.CIQ($E$52, "IQ_TOTAL_REV", "LTM32025")</f>
        <v>9076</v>
      </c>
      <c r="J52" s="3">
        <f>_xll.ciqfunctions.udf.CIQ($E$52, "IQ_GP", "LTM32025")</f>
        <v>4570</v>
      </c>
      <c r="K52" s="3">
        <f>_xll.ciqfunctions.udf.CIQ($E$52, "IQ_EBITDA", "LTM32025")</f>
        <v>3900</v>
      </c>
      <c r="L52" s="3">
        <f>_xll.ciqfunctions.udf.CIQ($E$52, "IQ_EBIT", "LTM32025")</f>
        <v>1879</v>
      </c>
      <c r="M52" s="3">
        <f>_xll.ciqfunctions.udf.CIQ($E$52, "IQ_NI", "LTM32025")</f>
        <v>1071</v>
      </c>
      <c r="O52" s="111">
        <f>J52/$I$52</f>
        <v>0.50352578228294398</v>
      </c>
      <c r="P52" s="111">
        <f t="shared" ref="P52:R52" si="3">K52/$I$52</f>
        <v>0.42970471573380342</v>
      </c>
      <c r="Q52" s="111">
        <f t="shared" si="3"/>
        <v>0.20702952842661965</v>
      </c>
      <c r="R52" s="111">
        <f t="shared" si="3"/>
        <v>0.11800352578228294</v>
      </c>
      <c r="AD52" s="3">
        <f>_xll.ciqfunctions.udf.CIQ($E$52, "IQ_BETA_2YR")</f>
        <v>0.65637999999999996</v>
      </c>
    </row>
    <row r="53" spans="2:52">
      <c r="B53" s="3" t="s">
        <v>352</v>
      </c>
      <c r="T53" s="113">
        <f>_xll.ciqfunctions.udf.CIQ($E$52, "IQ_TOTAL_REV", "FY2024")</f>
        <v>8737</v>
      </c>
      <c r="U53" s="113">
        <f>_xll.ciqfunctions.udf.CIQ($E$52, "IQ_REVENUE_EST", "FY2026")</f>
        <v>10074.29941</v>
      </c>
      <c r="V53" s="113">
        <f>_xll.ciqfunctions.udf.CIQ($E$52, "IQ_EBITDA", "FY2024")</f>
        <v>3625</v>
      </c>
      <c r="W53" s="113">
        <f>_xll.ciqfunctions.udf.CIQ($E$52, "IQ_REVENUE_EST", "FY2026")</f>
        <v>10074.29941</v>
      </c>
      <c r="X53" s="3">
        <v>15.09</v>
      </c>
      <c r="Y53" s="3">
        <f>_xll.ciqfunctions.udf.CIQ($E$52, "IQ_BASIC_EPS_INCL", "FY2024")</f>
        <v>8.5378799999999995</v>
      </c>
      <c r="Z53" s="3">
        <f>_xll.ciqfunctions.udf.CIQ($E$52, "IQ_EPS_EST", "FY2026")</f>
        <v>15.122260000000001</v>
      </c>
      <c r="AA53" s="3">
        <f>_xll.ciqfunctions.udf.CIQ($E$52, "IQ_EPS_EST", "FY2027")</f>
        <v>16.465240000000001</v>
      </c>
    </row>
    <row r="54" spans="2:52">
      <c r="B54" s="3" t="s">
        <v>388</v>
      </c>
      <c r="E54" s="3" t="s">
        <v>389</v>
      </c>
      <c r="F54" s="3">
        <v>6451.1</v>
      </c>
      <c r="G54" s="3">
        <v>7011.9</v>
      </c>
      <c r="I54" s="3">
        <f>_xll.ciqfunctions.udf.CIQ($E$54, "IQ_TOTAL_REV", "FY2024")</f>
        <v>1900.15</v>
      </c>
      <c r="J54" s="3">
        <f>_xll.ciqfunctions.udf.CIQ($E$54, "IQ_GP", "FY2024")</f>
        <v>972.35400000000004</v>
      </c>
      <c r="K54" s="3">
        <f>_xll.ciqfunctions.udf.CIQ($E$54, "IQ_EBITDA", "FY2024")</f>
        <v>820.79899999999998</v>
      </c>
      <c r="L54" s="3">
        <f>_xll.ciqfunctions.udf.CIQ($E$54, "IQ_EBIT", "FY2024")</f>
        <v>376.334</v>
      </c>
      <c r="M54" s="3">
        <f>_xll.ciqfunctions.udf.CIQ($E$54, "IQ_NI", "FY2024")</f>
        <v>70.387</v>
      </c>
      <c r="O54" s="111">
        <f>J54/$I$54</f>
        <v>0.51172486382654003</v>
      </c>
      <c r="P54" s="111">
        <f t="shared" ref="P54:R54" si="4">K54/$I$54</f>
        <v>0.43196537115490879</v>
      </c>
      <c r="Q54" s="111">
        <f t="shared" si="4"/>
        <v>0.19805489040338919</v>
      </c>
      <c r="R54" s="111">
        <f t="shared" si="4"/>
        <v>3.7042865036970761E-2</v>
      </c>
      <c r="AD54" s="3">
        <f>_xll.ciqfunctions.udf.CIQ($E$54, "IQ_BETA_2YR")</f>
        <v>1.2637499999999999</v>
      </c>
    </row>
    <row r="55" spans="2:52">
      <c r="B55" s="3" t="s">
        <v>352</v>
      </c>
      <c r="T55" s="113">
        <f>_xll.ciqfunctions.udf.CIQ($E$54, "IQ_TOTAL_REV", "FY2024")</f>
        <v>1900.15</v>
      </c>
      <c r="U55" s="113">
        <f>_xll.ciqfunctions.udf.CIQ($E$54, "IQ_REVENUE_EST", "FY2026")</f>
        <v>1813.64175</v>
      </c>
      <c r="V55" s="113">
        <f>_xll.ciqfunctions.udf.CIQ($E$54, "IQ_EBITDA", "FY2024")</f>
        <v>820.79899999999998</v>
      </c>
      <c r="W55" s="113">
        <f>_xll.ciqfunctions.udf.CIQ($E$54, "IQ_EBITDA_EST", "FY2026")</f>
        <v>698.76378</v>
      </c>
      <c r="X55" s="7" t="s">
        <v>30</v>
      </c>
      <c r="Y55" s="3">
        <f>_xll.ciqfunctions.udf.CIQ($E$54, "IQ_BASIC_EPS_INCL", "FY2024")</f>
        <v>4.3430000000000003E-2</v>
      </c>
      <c r="Z55" s="3">
        <f>_xll.ciqfunctions.udf.CIQ($E$54, "IQ_EPS_EST", "FY2026")</f>
        <v>-0.185</v>
      </c>
      <c r="AA55" s="3">
        <f>_xll.ciqfunctions.udf.CIQ($E$54, "IQ_EPS_EST", "FY2027")</f>
        <v>-0.05</v>
      </c>
    </row>
    <row r="57" spans="2:52">
      <c r="B57" s="5" t="s">
        <v>375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D57" s="5" t="s">
        <v>375</v>
      </c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2:52">
      <c r="B58" s="5" t="s">
        <v>376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D58" s="5" t="s">
        <v>376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</row>
  </sheetData>
  <mergeCells count="11">
    <mergeCell ref="AS2:AU2"/>
    <mergeCell ref="AO2:AQ2"/>
    <mergeCell ref="AK2:AM2"/>
    <mergeCell ref="AF2:AI2"/>
    <mergeCell ref="F2:G2"/>
    <mergeCell ref="I2:M2"/>
    <mergeCell ref="O2:R2"/>
    <mergeCell ref="T2:AA2"/>
    <mergeCell ref="T3:U3"/>
    <mergeCell ref="V3:W3"/>
    <mergeCell ref="X3:AA3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3cd3a07-0b78-4440-8285-be5ccf8c65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89AB50CD18D4898702709A912CF12" ma:contentTypeVersion="14" ma:contentTypeDescription="Create a new document." ma:contentTypeScope="" ma:versionID="234ff9caac5730d991f042e9a43a2de2">
  <xsd:schema xmlns:xsd="http://www.w3.org/2001/XMLSchema" xmlns:xs="http://www.w3.org/2001/XMLSchema" xmlns:p="http://schemas.microsoft.com/office/2006/metadata/properties" xmlns:ns3="d3cd3a07-0b78-4440-8285-be5ccf8c6550" xmlns:ns4="c8dd7d69-4949-4121-9881-576e3509f80b" targetNamespace="http://schemas.microsoft.com/office/2006/metadata/properties" ma:root="true" ma:fieldsID="3a901be800a37763c37f9130f367df34" ns3:_="" ns4:_="">
    <xsd:import namespace="d3cd3a07-0b78-4440-8285-be5ccf8c6550"/>
    <xsd:import namespace="c8dd7d69-4949-4121-9881-576e3509f80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d3a07-0b78-4440-8285-be5ccf8c655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d7d69-4949-4121-9881-576e3509f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DCB285-99CF-4E18-ADE3-943FF34C2361}"/>
</file>

<file path=customXml/itemProps2.xml><?xml version="1.0" encoding="utf-8"?>
<ds:datastoreItem xmlns:ds="http://schemas.openxmlformats.org/officeDocument/2006/customXml" ds:itemID="{E97EBB14-718B-4765-9F03-B7C69F23A170}"/>
</file>

<file path=customXml/itemProps3.xml><?xml version="1.0" encoding="utf-8"?>
<ds:datastoreItem xmlns:ds="http://schemas.openxmlformats.org/officeDocument/2006/customXml" ds:itemID="{EE5FAB09-F848-4D4D-8C9F-7A8A6FD81A3C}"/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#TRIPATHI AYMAN#</dc:creator>
  <cp:keywords/>
  <dc:description/>
  <cp:lastModifiedBy/>
  <cp:revision/>
  <dcterms:created xsi:type="dcterms:W3CDTF">2025-11-30T07:59:23Z</dcterms:created>
  <dcterms:modified xsi:type="dcterms:W3CDTF">2026-02-25T13:10:51Z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0x01010088B89AB50CD18D4898702709A912CF12</vt:lpwstr>
  </property>
</Properties>
</file>